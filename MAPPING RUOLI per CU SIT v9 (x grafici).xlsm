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66925"/>
  <mc:AlternateContent xmlns:mc="http://schemas.openxmlformats.org/markup-compatibility/2006">
    <mc:Choice Requires="x15">
      <x15ac:absPath xmlns:x15ac="http://schemas.microsoft.com/office/spreadsheetml/2010/11/ac" url="C:\profili\U035423\Desktop\"/>
    </mc:Choice>
  </mc:AlternateContent>
  <bookViews>
    <workbookView xWindow="0" yWindow="0" windowWidth="19200" windowHeight="7095" tabRatio="760" activeTab="5"/>
  </bookViews>
  <sheets>
    <sheet name="Cover" sheetId="12" r:id="rId1"/>
    <sheet name="Ruoli AS-IS (2015)" sheetId="20" state="hidden" r:id="rId2"/>
    <sheet name="SINTESI RISULTATI" sheetId="23" state="hidden" r:id="rId3"/>
    <sheet name="INPUT" sheetId="3" state="hidden" r:id="rId4"/>
    <sheet name="Glossario Ruoli" sheetId="24" r:id="rId5"/>
    <sheet name="Famiglie vs Ruoli" sheetId="32" r:id="rId6"/>
    <sheet name="Famiglie" sheetId="30" r:id="rId7"/>
    <sheet name="Conteggi VLOOKUP" sheetId="19" state="hidden" r:id="rId8"/>
    <sheet name="ATTIVITA" sheetId="9" state="hidden" r:id="rId9"/>
  </sheets>
  <definedNames>
    <definedName name="_xlnm._FilterDatabase" localSheetId="8" hidden="1">ATTIVITA!$A$1:$E$822</definedName>
    <definedName name="_xlnm._FilterDatabase" localSheetId="4" hidden="1">'Glossario Ruoli'!$A$2:$D$65</definedName>
    <definedName name="_xlnm._FilterDatabase" localSheetId="3" hidden="1">INPUT!$A$1:$F$37</definedName>
    <definedName name="_xlnm._FilterDatabase" localSheetId="1" hidden="1">'Ruoli AS-IS (2015)'!$B$1:$CF$644</definedName>
    <definedName name="Case">#REF!</definedName>
    <definedName name="Scelta1">#REF!</definedName>
  </definedNames>
  <calcPr calcId="171027"/>
  <pivotCaches>
    <pivotCache cacheId="0" r:id="rId10"/>
    <pivotCache cacheId="1" r:id="rId11"/>
    <pivotCache cacheId="4" r:id="rId12"/>
  </pivotCaches>
</workbook>
</file>

<file path=xl/calcChain.xml><?xml version="1.0" encoding="utf-8"?>
<calcChain xmlns="http://schemas.openxmlformats.org/spreadsheetml/2006/main">
  <c r="C9" i="24" l="1"/>
  <c r="D9" i="24"/>
  <c r="C10" i="24"/>
  <c r="D10" i="24"/>
  <c r="C11" i="24"/>
  <c r="D11" i="24"/>
  <c r="E6" i="24" l="1"/>
  <c r="D4" i="24"/>
  <c r="D5" i="24"/>
  <c r="D6" i="24"/>
  <c r="D7" i="24"/>
  <c r="D8"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3" i="24"/>
  <c r="C3" i="24"/>
  <c r="C4" i="24"/>
  <c r="C5" i="24"/>
  <c r="C6" i="24"/>
  <c r="C7" i="24"/>
  <c r="C8" i="24"/>
  <c r="C12" i="24"/>
  <c r="C13" i="24"/>
  <c r="C14" i="24"/>
  <c r="C15" i="24"/>
  <c r="C16" i="24"/>
  <c r="C17" i="24"/>
  <c r="C18" i="24"/>
  <c r="C19" i="24"/>
  <c r="C20" i="24"/>
  <c r="C21" i="24"/>
  <c r="C22" i="24"/>
  <c r="C23" i="24"/>
  <c r="C24" i="24"/>
  <c r="C25" i="24"/>
  <c r="C26" i="24"/>
  <c r="C27" i="24"/>
  <c r="C28" i="24"/>
  <c r="C29" i="24"/>
  <c r="C30" i="24"/>
  <c r="C31" i="24"/>
  <c r="C32" i="24"/>
  <c r="C33" i="24"/>
  <c r="C34" i="24"/>
  <c r="C35" i="24"/>
  <c r="C36" i="24"/>
  <c r="C37" i="24"/>
  <c r="C38" i="24"/>
  <c r="C39" i="24"/>
  <c r="C40" i="24"/>
  <c r="C41" i="24"/>
  <c r="C42" i="24"/>
  <c r="C43" i="24"/>
  <c r="C44" i="24"/>
  <c r="C45" i="24"/>
  <c r="C46" i="24"/>
  <c r="C47" i="24"/>
  <c r="C48" i="24"/>
  <c r="C49" i="24"/>
  <c r="C50" i="24"/>
  <c r="C51" i="24"/>
  <c r="C52" i="24"/>
  <c r="C53" i="24"/>
  <c r="C54" i="24"/>
  <c r="C55" i="24"/>
  <c r="C56" i="24"/>
  <c r="C57" i="24"/>
  <c r="C58" i="24"/>
  <c r="C59" i="24"/>
  <c r="C60" i="24"/>
  <c r="C61" i="24"/>
  <c r="C62" i="24"/>
  <c r="C63" i="24"/>
  <c r="C64" i="24"/>
  <c r="C65" i="24"/>
  <c r="G4" i="19" l="1"/>
  <c r="G6" i="19"/>
  <c r="G8" i="19" s="1"/>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I105" i="20"/>
  <c r="I106" i="20"/>
  <c r="I107" i="20"/>
  <c r="I108" i="20"/>
  <c r="I109" i="20"/>
  <c r="I110" i="20"/>
  <c r="I111" i="20"/>
  <c r="I112" i="20"/>
  <c r="I113" i="20"/>
  <c r="I114" i="20"/>
  <c r="I115" i="20"/>
  <c r="I116" i="20"/>
  <c r="I117" i="20"/>
  <c r="I118" i="20"/>
  <c r="I119" i="20"/>
  <c r="I120" i="20"/>
  <c r="I121" i="20"/>
  <c r="I122" i="20"/>
  <c r="I123" i="20"/>
  <c r="I124" i="20"/>
  <c r="I125" i="20"/>
  <c r="I126" i="20"/>
  <c r="I127" i="20"/>
  <c r="I128" i="20"/>
  <c r="I129" i="20"/>
  <c r="I130" i="20"/>
  <c r="I131" i="20"/>
  <c r="I132" i="20"/>
  <c r="I133" i="20"/>
  <c r="I134" i="20"/>
  <c r="I135" i="20"/>
  <c r="I136" i="20"/>
  <c r="I137" i="20"/>
  <c r="I138" i="20"/>
  <c r="I139" i="20"/>
  <c r="I140" i="20"/>
  <c r="I141" i="20"/>
  <c r="I142" i="20"/>
  <c r="I143" i="20"/>
  <c r="I144" i="20"/>
  <c r="I145" i="20"/>
  <c r="I146" i="20"/>
  <c r="I147" i="20"/>
  <c r="I148" i="20"/>
  <c r="I149" i="20"/>
  <c r="I150" i="20"/>
  <c r="I151" i="20"/>
  <c r="I152" i="20"/>
  <c r="I153" i="20"/>
  <c r="I154" i="20"/>
  <c r="I155" i="20"/>
  <c r="I156" i="20"/>
  <c r="I157" i="20"/>
  <c r="I158" i="20"/>
  <c r="I159" i="20"/>
  <c r="I160" i="20"/>
  <c r="I161" i="20"/>
  <c r="I162" i="20"/>
  <c r="I163" i="20"/>
  <c r="I164" i="20"/>
  <c r="I165" i="20"/>
  <c r="I166" i="20"/>
  <c r="I167" i="20"/>
  <c r="I168" i="20"/>
  <c r="I169" i="20"/>
  <c r="I170" i="20"/>
  <c r="I171" i="20"/>
  <c r="I172" i="20"/>
  <c r="I173" i="20"/>
  <c r="I174" i="20"/>
  <c r="I175" i="20"/>
  <c r="I176" i="20"/>
  <c r="I177" i="20"/>
  <c r="I178" i="20"/>
  <c r="I179" i="20"/>
  <c r="I180" i="20"/>
  <c r="I181" i="20"/>
  <c r="I182" i="20"/>
  <c r="I183" i="20"/>
  <c r="I184" i="20"/>
  <c r="I185" i="20"/>
  <c r="I186" i="20"/>
  <c r="I187" i="20"/>
  <c r="I188" i="20"/>
  <c r="I189" i="20"/>
  <c r="I190" i="20"/>
  <c r="I191" i="20"/>
  <c r="I192" i="20"/>
  <c r="I193" i="20"/>
  <c r="I194" i="20"/>
  <c r="I195" i="20"/>
  <c r="I196" i="20"/>
  <c r="I197" i="20"/>
  <c r="I198" i="20"/>
  <c r="I199" i="20"/>
  <c r="I200" i="20"/>
  <c r="I201" i="20"/>
  <c r="I202" i="20"/>
  <c r="I203" i="20"/>
  <c r="I204" i="20"/>
  <c r="I205" i="20"/>
  <c r="I206" i="20"/>
  <c r="I207" i="20"/>
  <c r="I208" i="20"/>
  <c r="I209" i="20"/>
  <c r="I210" i="20"/>
  <c r="I211" i="20"/>
  <c r="I212" i="20"/>
  <c r="I213" i="20"/>
  <c r="I214" i="20"/>
  <c r="I215" i="20"/>
  <c r="I216" i="20"/>
  <c r="I217" i="20"/>
  <c r="I218" i="20"/>
  <c r="I219" i="20"/>
  <c r="I220" i="20"/>
  <c r="I221" i="20"/>
  <c r="I222" i="20"/>
  <c r="I223" i="20"/>
  <c r="I224" i="20"/>
  <c r="I225" i="20"/>
  <c r="I226" i="20"/>
  <c r="I227" i="20"/>
  <c r="I228" i="20"/>
  <c r="I229" i="20"/>
  <c r="I230" i="20"/>
  <c r="I231" i="20"/>
  <c r="I232" i="20"/>
  <c r="I233" i="20"/>
  <c r="I234" i="20"/>
  <c r="I235" i="20"/>
  <c r="I236" i="20"/>
  <c r="I237" i="20"/>
  <c r="I238" i="20"/>
  <c r="I239" i="20"/>
  <c r="I240" i="20"/>
  <c r="I241" i="20"/>
  <c r="I242" i="20"/>
  <c r="I243" i="20"/>
  <c r="I244" i="20"/>
  <c r="I245" i="20"/>
  <c r="I246" i="20"/>
  <c r="I247" i="20"/>
  <c r="I248" i="20"/>
  <c r="I249" i="20"/>
  <c r="I250" i="20"/>
  <c r="I251" i="20"/>
  <c r="I252" i="20"/>
  <c r="I253" i="20"/>
  <c r="I254" i="20"/>
  <c r="I255" i="20"/>
  <c r="I256" i="20"/>
  <c r="I257" i="20"/>
  <c r="I258" i="20"/>
  <c r="I259" i="20"/>
  <c r="I260" i="20"/>
  <c r="I261" i="20"/>
  <c r="I262" i="20"/>
  <c r="I263" i="20"/>
  <c r="I264" i="20"/>
  <c r="I265" i="20"/>
  <c r="I266" i="20"/>
  <c r="I267" i="20"/>
  <c r="I268" i="20"/>
  <c r="I269" i="20"/>
  <c r="I270" i="20"/>
  <c r="I271" i="20"/>
  <c r="I272" i="20"/>
  <c r="I273" i="20"/>
  <c r="I274" i="20"/>
  <c r="I275" i="20"/>
  <c r="I276" i="20"/>
  <c r="I277" i="20"/>
  <c r="I278" i="20"/>
  <c r="I279" i="20"/>
  <c r="I280" i="20"/>
  <c r="I281" i="20"/>
  <c r="I282" i="20"/>
  <c r="I283" i="20"/>
  <c r="I284" i="20"/>
  <c r="I285" i="20"/>
  <c r="I286" i="20"/>
  <c r="I287" i="20"/>
  <c r="I288" i="20"/>
  <c r="I289" i="20"/>
  <c r="I290" i="20"/>
  <c r="I291" i="20"/>
  <c r="I292" i="20"/>
  <c r="I293" i="20"/>
  <c r="I294" i="20"/>
  <c r="I295" i="20"/>
  <c r="I296" i="20"/>
  <c r="I297" i="20"/>
  <c r="I298" i="20"/>
  <c r="I299" i="20"/>
  <c r="I300" i="20"/>
  <c r="I301" i="20"/>
  <c r="I302" i="20"/>
  <c r="I303" i="20"/>
  <c r="I304" i="20"/>
  <c r="I305" i="20"/>
  <c r="I306" i="20"/>
  <c r="I307" i="20"/>
  <c r="I308" i="20"/>
  <c r="I309" i="20"/>
  <c r="I310" i="20"/>
  <c r="I311" i="20"/>
  <c r="I312" i="20"/>
  <c r="I313" i="20"/>
  <c r="I314" i="20"/>
  <c r="I315" i="20"/>
  <c r="I316" i="20"/>
  <c r="I317" i="20"/>
  <c r="I318" i="20"/>
  <c r="I319" i="20"/>
  <c r="I320" i="20"/>
  <c r="I321" i="20"/>
  <c r="I322" i="20"/>
  <c r="I323" i="20"/>
  <c r="I324" i="20"/>
  <c r="I325" i="20"/>
  <c r="I326" i="20"/>
  <c r="I327" i="20"/>
  <c r="I328" i="20"/>
  <c r="I329" i="20"/>
  <c r="I330" i="20"/>
  <c r="I331" i="20"/>
  <c r="I332" i="20"/>
  <c r="I333" i="20"/>
  <c r="I334" i="20"/>
  <c r="I335" i="20"/>
  <c r="I336" i="20"/>
  <c r="I337" i="20"/>
  <c r="I338" i="20"/>
  <c r="I339" i="20"/>
  <c r="I340" i="20"/>
  <c r="I341" i="20"/>
  <c r="I342" i="20"/>
  <c r="I343" i="20"/>
  <c r="I344" i="20"/>
  <c r="I345" i="20"/>
  <c r="I346" i="20"/>
  <c r="I347" i="20"/>
  <c r="I348" i="20"/>
  <c r="I349" i="20"/>
  <c r="I350" i="20"/>
  <c r="I351" i="20"/>
  <c r="I352" i="20"/>
  <c r="I353" i="20"/>
  <c r="I354" i="20"/>
  <c r="I355" i="20"/>
  <c r="I356" i="20"/>
  <c r="I357" i="20"/>
  <c r="I358" i="20"/>
  <c r="I359" i="20"/>
  <c r="I360" i="20"/>
  <c r="I361" i="20"/>
  <c r="I362" i="20"/>
  <c r="I363" i="20"/>
  <c r="I364" i="20"/>
  <c r="I365" i="20"/>
  <c r="I366" i="20"/>
  <c r="I367" i="20"/>
  <c r="I368" i="20"/>
  <c r="I369" i="20"/>
  <c r="I370" i="20"/>
  <c r="I371" i="20"/>
  <c r="I372" i="20"/>
  <c r="I373" i="20"/>
  <c r="I374" i="20"/>
  <c r="I375" i="20"/>
  <c r="I376" i="20"/>
  <c r="I377" i="20"/>
  <c r="I378" i="20"/>
  <c r="I379" i="20"/>
  <c r="I380" i="20"/>
  <c r="I381" i="20"/>
  <c r="I382" i="20"/>
  <c r="I383" i="20"/>
  <c r="I384" i="20"/>
  <c r="I385" i="20"/>
  <c r="I386" i="20"/>
  <c r="I387" i="20"/>
  <c r="I388" i="20"/>
  <c r="I389" i="20"/>
  <c r="I390" i="20"/>
  <c r="I391" i="20"/>
  <c r="I392" i="20"/>
  <c r="I393" i="20"/>
  <c r="I394" i="20"/>
  <c r="I395" i="20"/>
  <c r="I396" i="20"/>
  <c r="I397" i="20"/>
  <c r="I398" i="20"/>
  <c r="I399" i="20"/>
  <c r="I400" i="20"/>
  <c r="I401" i="20"/>
  <c r="I402" i="20"/>
  <c r="I403" i="20"/>
  <c r="I404" i="20"/>
  <c r="I405" i="20"/>
  <c r="I406" i="20"/>
  <c r="I407" i="20"/>
  <c r="I408" i="20"/>
  <c r="I409" i="20"/>
  <c r="I410" i="20"/>
  <c r="I411" i="20"/>
  <c r="I412" i="20"/>
  <c r="I413" i="20"/>
  <c r="I414" i="20"/>
  <c r="I415" i="20"/>
  <c r="I416" i="20"/>
  <c r="I417" i="20"/>
  <c r="I418" i="20"/>
  <c r="I419" i="20"/>
  <c r="I420" i="20"/>
  <c r="I421" i="20"/>
  <c r="I422" i="20"/>
  <c r="I423" i="20"/>
  <c r="I424" i="20"/>
  <c r="I425" i="20"/>
  <c r="I426" i="20"/>
  <c r="I427" i="20"/>
  <c r="I428" i="20"/>
  <c r="I429" i="20"/>
  <c r="I430" i="20"/>
  <c r="I431" i="20"/>
  <c r="I432" i="20"/>
  <c r="I433" i="20"/>
  <c r="I434" i="20"/>
  <c r="I435" i="20"/>
  <c r="I436" i="20"/>
  <c r="I437" i="20"/>
  <c r="I438" i="20"/>
  <c r="I439" i="20"/>
  <c r="I440" i="20"/>
  <c r="I441" i="20"/>
  <c r="I442" i="20"/>
  <c r="I443" i="20"/>
  <c r="I444" i="20"/>
  <c r="I445" i="20"/>
  <c r="I446" i="20"/>
  <c r="I447" i="20"/>
  <c r="I448" i="20"/>
  <c r="I449" i="20"/>
  <c r="I450" i="20"/>
  <c r="I451" i="20"/>
  <c r="I452" i="20"/>
  <c r="I453" i="20"/>
  <c r="I454" i="20"/>
  <c r="I455" i="20"/>
  <c r="I456" i="20"/>
  <c r="I457" i="20"/>
  <c r="I458" i="20"/>
  <c r="I459" i="20"/>
  <c r="I460" i="20"/>
  <c r="I461" i="20"/>
  <c r="I462" i="20"/>
  <c r="I463" i="20"/>
  <c r="I464" i="20"/>
  <c r="I465" i="20"/>
  <c r="I466" i="20"/>
  <c r="I467" i="20"/>
  <c r="I468" i="20"/>
  <c r="I469" i="20"/>
  <c r="I470" i="20"/>
  <c r="I471" i="20"/>
  <c r="I472" i="20"/>
  <c r="I473" i="20"/>
  <c r="I474" i="20"/>
  <c r="I475" i="20"/>
  <c r="I476" i="20"/>
  <c r="I477" i="20"/>
  <c r="I478" i="20"/>
  <c r="I479" i="20"/>
  <c r="I480" i="20"/>
  <c r="I481" i="20"/>
  <c r="I482" i="20"/>
  <c r="I483" i="20"/>
  <c r="I484" i="20"/>
  <c r="I485" i="20"/>
  <c r="I486" i="20"/>
  <c r="I487" i="20"/>
  <c r="I488" i="20"/>
  <c r="I489" i="20"/>
  <c r="I490" i="20"/>
  <c r="I491" i="20"/>
  <c r="I492" i="20"/>
  <c r="I493" i="20"/>
  <c r="I494" i="20"/>
  <c r="I495" i="20"/>
  <c r="I496" i="20"/>
  <c r="I497" i="20"/>
  <c r="I498" i="20"/>
  <c r="I499" i="20"/>
  <c r="I500" i="20"/>
  <c r="I501" i="20"/>
  <c r="I502" i="20"/>
  <c r="I503" i="20"/>
  <c r="I504" i="20"/>
  <c r="I505" i="20"/>
  <c r="I506" i="20"/>
  <c r="I507" i="20"/>
  <c r="I508" i="20"/>
  <c r="I509" i="20"/>
  <c r="I510" i="20"/>
  <c r="I511" i="20"/>
  <c r="I512" i="20"/>
  <c r="I513" i="20"/>
  <c r="I514" i="20"/>
  <c r="I515" i="20"/>
  <c r="I516" i="20"/>
  <c r="I517" i="20"/>
  <c r="I518" i="20"/>
  <c r="I519" i="20"/>
  <c r="I520" i="20"/>
  <c r="I521" i="20"/>
  <c r="I522" i="20"/>
  <c r="I523" i="20"/>
  <c r="I524" i="20"/>
  <c r="I525" i="20"/>
  <c r="I526" i="20"/>
  <c r="I527" i="20"/>
  <c r="I528" i="20"/>
  <c r="I529" i="20"/>
  <c r="I530" i="20"/>
  <c r="I531" i="20"/>
  <c r="I532" i="20"/>
  <c r="I533" i="20"/>
  <c r="I534" i="20"/>
  <c r="I535" i="20"/>
  <c r="I536" i="20"/>
  <c r="I537" i="20"/>
  <c r="I538" i="20"/>
  <c r="I539" i="20"/>
  <c r="I540" i="20"/>
  <c r="I541" i="20"/>
  <c r="I542" i="20"/>
  <c r="I543" i="20"/>
  <c r="I544" i="20"/>
  <c r="I545" i="20"/>
  <c r="I546" i="20"/>
  <c r="I547" i="20"/>
  <c r="I548" i="20"/>
  <c r="I549" i="20"/>
  <c r="I550" i="20"/>
  <c r="I551" i="20"/>
  <c r="I552" i="20"/>
  <c r="I553" i="20"/>
  <c r="I554" i="20"/>
  <c r="I555" i="20"/>
  <c r="I556" i="20"/>
  <c r="I557" i="20"/>
  <c r="I558" i="20"/>
  <c r="I559" i="20"/>
  <c r="I560" i="20"/>
  <c r="I561" i="20"/>
  <c r="I562" i="20"/>
  <c r="I563" i="20"/>
  <c r="I564" i="20"/>
  <c r="I565" i="20"/>
  <c r="I566" i="20"/>
  <c r="I567" i="20"/>
  <c r="I568" i="20"/>
  <c r="I569" i="20"/>
  <c r="I570" i="20"/>
  <c r="I571" i="20"/>
  <c r="I572" i="20"/>
  <c r="I573" i="20"/>
  <c r="I574" i="20"/>
  <c r="I575" i="20"/>
  <c r="I576" i="20"/>
  <c r="I577" i="20"/>
  <c r="I578" i="20"/>
  <c r="I579" i="20"/>
  <c r="I580" i="20"/>
  <c r="I581" i="20"/>
  <c r="I582" i="20"/>
  <c r="I583" i="20"/>
  <c r="I584" i="20"/>
  <c r="I585" i="20"/>
  <c r="I586" i="20"/>
  <c r="I587" i="20"/>
  <c r="I588" i="20"/>
  <c r="I589" i="20"/>
  <c r="I590" i="20"/>
  <c r="I591" i="20"/>
  <c r="I592" i="20"/>
  <c r="I593" i="20"/>
  <c r="I594" i="20"/>
  <c r="I595" i="20"/>
  <c r="I596" i="20"/>
  <c r="I597" i="20"/>
  <c r="I598" i="20"/>
  <c r="I599" i="20"/>
  <c r="I600" i="20"/>
  <c r="I601" i="20"/>
  <c r="I602" i="20"/>
  <c r="I603" i="20"/>
  <c r="I604" i="20"/>
  <c r="I605" i="20"/>
  <c r="I606" i="20"/>
  <c r="I607" i="20"/>
  <c r="I608" i="20"/>
  <c r="I609" i="20"/>
  <c r="I610" i="20"/>
  <c r="I611" i="20"/>
  <c r="I612" i="20"/>
  <c r="I613" i="20"/>
  <c r="I614" i="20"/>
  <c r="I615" i="20"/>
  <c r="I616" i="20"/>
  <c r="I617" i="20"/>
  <c r="I618" i="20"/>
  <c r="I619" i="20"/>
  <c r="I620" i="20"/>
  <c r="I621" i="20"/>
  <c r="I622" i="20"/>
  <c r="I623" i="20"/>
  <c r="I624" i="20"/>
  <c r="I625" i="20"/>
  <c r="I626" i="20"/>
  <c r="I627" i="20"/>
  <c r="I628" i="20"/>
  <c r="I629" i="20"/>
  <c r="I630" i="20"/>
  <c r="I631" i="20"/>
  <c r="I632" i="20"/>
  <c r="I633" i="20"/>
  <c r="I634" i="20"/>
  <c r="I635" i="20"/>
  <c r="I636" i="20"/>
  <c r="I637" i="20"/>
  <c r="I638" i="20"/>
  <c r="I639" i="20"/>
  <c r="I640" i="20"/>
  <c r="I641" i="20"/>
  <c r="I642" i="20"/>
  <c r="I643" i="20"/>
  <c r="I644" i="20"/>
  <c r="I2" i="20"/>
</calcChain>
</file>

<file path=xl/sharedStrings.xml><?xml version="1.0" encoding="utf-8"?>
<sst xmlns="http://schemas.openxmlformats.org/spreadsheetml/2006/main" count="7092" uniqueCount="2278">
  <si>
    <t>Ufficio</t>
  </si>
  <si>
    <t>Attività</t>
  </si>
  <si>
    <t>Cognome</t>
  </si>
  <si>
    <t>Nome</t>
  </si>
  <si>
    <t>Matricola</t>
  </si>
  <si>
    <t>Cluster</t>
  </si>
  <si>
    <t>Coordinamento Servizi Infrastrutturali</t>
  </si>
  <si>
    <t>FILIPPI</t>
  </si>
  <si>
    <t>DANILO</t>
  </si>
  <si>
    <t>U023790</t>
  </si>
  <si>
    <t>IT Coordinator</t>
  </si>
  <si>
    <t>Transition e Innovation</t>
  </si>
  <si>
    <t>FERRARI</t>
  </si>
  <si>
    <t>U085934</t>
  </si>
  <si>
    <t>Project Manager</t>
  </si>
  <si>
    <t>GIULIANO</t>
  </si>
  <si>
    <t>MARGHERITA</t>
  </si>
  <si>
    <t>U018941</t>
  </si>
  <si>
    <t>IT Process FM Specialist</t>
  </si>
  <si>
    <t>LAROCCA</t>
  </si>
  <si>
    <t>MANGIARUGA</t>
  </si>
  <si>
    <t>CHRISTOPHER</t>
  </si>
  <si>
    <t>PRIOR</t>
  </si>
  <si>
    <t>ALBERTO</t>
  </si>
  <si>
    <t>SCHILLACI</t>
  </si>
  <si>
    <t>ANDREA</t>
  </si>
  <si>
    <t>VAROTTO</t>
  </si>
  <si>
    <t>ROBERTO</t>
  </si>
  <si>
    <t>U085922</t>
  </si>
  <si>
    <t>Infrastr. Sistemi Specialistici</t>
  </si>
  <si>
    <t>MAURIZIO</t>
  </si>
  <si>
    <t>Gest. Arch. Banca IMI, Risk, Tesoreria</t>
  </si>
  <si>
    <t>ALBERTINI</t>
  </si>
  <si>
    <t>PAOLO</t>
  </si>
  <si>
    <t>U086187</t>
  </si>
  <si>
    <t>Supporto Open Servizi Specialistici</t>
  </si>
  <si>
    <t>BARBIERO</t>
  </si>
  <si>
    <t>LUCA</t>
  </si>
  <si>
    <t>U086181</t>
  </si>
  <si>
    <t>Arch. Dist Polo Assicurativo</t>
  </si>
  <si>
    <t>CONTARDI</t>
  </si>
  <si>
    <t>Arch. Dist. Banca IMI, Risk, Tesoreria</t>
  </si>
  <si>
    <t>DALLERA</t>
  </si>
  <si>
    <t>GIUSEPPE</t>
  </si>
  <si>
    <t>U014033</t>
  </si>
  <si>
    <t>Arch. Dist Eurizon Capital</t>
  </si>
  <si>
    <t>LANCIA</t>
  </si>
  <si>
    <t>SERGIO</t>
  </si>
  <si>
    <t>U301222</t>
  </si>
  <si>
    <t>Arch. Dist. Fideuram</t>
  </si>
  <si>
    <t>RUBERTI</t>
  </si>
  <si>
    <t>U301265</t>
  </si>
  <si>
    <t>System Administrator</t>
  </si>
  <si>
    <t>Estero e Sistemi Specialistici</t>
  </si>
  <si>
    <t>VIGNALI</t>
  </si>
  <si>
    <t>MICHELE</t>
  </si>
  <si>
    <t>U086394</t>
  </si>
  <si>
    <t>ACQUA</t>
  </si>
  <si>
    <t>TIZIANO</t>
  </si>
  <si>
    <t>U301150</t>
  </si>
  <si>
    <t>ADRIANI</t>
  </si>
  <si>
    <t>JOSEMANUEL</t>
  </si>
  <si>
    <t>U301151</t>
  </si>
  <si>
    <t>ALLEGRETTI</t>
  </si>
  <si>
    <t>GABRIELE</t>
  </si>
  <si>
    <t>BARRECA</t>
  </si>
  <si>
    <t>BECCATO</t>
  </si>
  <si>
    <t>GIOVANNI</t>
  </si>
  <si>
    <t>U014209</t>
  </si>
  <si>
    <t>BELLATORRE</t>
  </si>
  <si>
    <t>SILVANO</t>
  </si>
  <si>
    <t>U093191</t>
  </si>
  <si>
    <t>BERTI</t>
  </si>
  <si>
    <t>FABIO</t>
  </si>
  <si>
    <t>U019700</t>
  </si>
  <si>
    <t>BIANCARDI</t>
  </si>
  <si>
    <t>FLAVIO</t>
  </si>
  <si>
    <t>U093207</t>
  </si>
  <si>
    <t>Operator</t>
  </si>
  <si>
    <t>BIANCHI</t>
  </si>
  <si>
    <t>UMBERTO</t>
  </si>
  <si>
    <t>U086192</t>
  </si>
  <si>
    <t>BIANCHINI</t>
  </si>
  <si>
    <t>FULVIO</t>
  </si>
  <si>
    <t>U301163</t>
  </si>
  <si>
    <t>BIFFI</t>
  </si>
  <si>
    <t>ENRICO</t>
  </si>
  <si>
    <t>U086306</t>
  </si>
  <si>
    <t>BIGGI</t>
  </si>
  <si>
    <t>MATTIA</t>
  </si>
  <si>
    <t>BIONDO</t>
  </si>
  <si>
    <t>ALESSANDRO</t>
  </si>
  <si>
    <t>BOCCHI</t>
  </si>
  <si>
    <t>U086190</t>
  </si>
  <si>
    <t>BONATI</t>
  </si>
  <si>
    <t>ILARIA</t>
  </si>
  <si>
    <t>U086162</t>
  </si>
  <si>
    <t>Data Base Administrator</t>
  </si>
  <si>
    <t>BRAGA</t>
  </si>
  <si>
    <t>DIEGO</t>
  </si>
  <si>
    <t>BREGA</t>
  </si>
  <si>
    <t>CAMOSSO</t>
  </si>
  <si>
    <t>U018732</t>
  </si>
  <si>
    <t>CAMPECE</t>
  </si>
  <si>
    <t>ARMANDO</t>
  </si>
  <si>
    <t>U093203</t>
  </si>
  <si>
    <t>CAMPOLI</t>
  </si>
  <si>
    <t>MARCO</t>
  </si>
  <si>
    <t>U301168</t>
  </si>
  <si>
    <t>U301169</t>
  </si>
  <si>
    <t>CANCELLARIO</t>
  </si>
  <si>
    <t>U301170</t>
  </si>
  <si>
    <t>CARMELA</t>
  </si>
  <si>
    <t>CARDILLO</t>
  </si>
  <si>
    <t>GIULIA</t>
  </si>
  <si>
    <t>CARDINALE</t>
  </si>
  <si>
    <t>SIMONE</t>
  </si>
  <si>
    <t>CEFALO</t>
  </si>
  <si>
    <t>CEGLIA</t>
  </si>
  <si>
    <t>STEFANO</t>
  </si>
  <si>
    <t>U363906</t>
  </si>
  <si>
    <t>CHIANCA</t>
  </si>
  <si>
    <t>CRISTINA</t>
  </si>
  <si>
    <t>U086178</t>
  </si>
  <si>
    <t>CHIOFALO</t>
  </si>
  <si>
    <t>CHIOVINI</t>
  </si>
  <si>
    <t>FEDERICO</t>
  </si>
  <si>
    <t>U301180</t>
  </si>
  <si>
    <t>CIRILLO</t>
  </si>
  <si>
    <t>U085971</t>
  </si>
  <si>
    <t>COLELLA</t>
  </si>
  <si>
    <t>VITO</t>
  </si>
  <si>
    <t>COMINETTI</t>
  </si>
  <si>
    <t>U096759</t>
  </si>
  <si>
    <t>CONSALVI</t>
  </si>
  <si>
    <t>DOMENICO</t>
  </si>
  <si>
    <t>U301184</t>
  </si>
  <si>
    <t>CORBANI</t>
  </si>
  <si>
    <t>U086255</t>
  </si>
  <si>
    <t>COSTANTINO</t>
  </si>
  <si>
    <t>U304268</t>
  </si>
  <si>
    <t>CUOMO</t>
  </si>
  <si>
    <t>TOMMASO</t>
  </si>
  <si>
    <t>U028753</t>
  </si>
  <si>
    <t>PAOLA</t>
  </si>
  <si>
    <t>U086179</t>
  </si>
  <si>
    <t>D'ALESSIO</t>
  </si>
  <si>
    <t>D'ANGELO</t>
  </si>
  <si>
    <t>CLAUDIO</t>
  </si>
  <si>
    <t>U023765</t>
  </si>
  <si>
    <t>DEL VECCHIO</t>
  </si>
  <si>
    <t>ANNA MARIA</t>
  </si>
  <si>
    <t>U085891</t>
  </si>
  <si>
    <t>DELLA RAGIONE</t>
  </si>
  <si>
    <t>FAUSTO</t>
  </si>
  <si>
    <t>U086372</t>
  </si>
  <si>
    <t>DI BIASE</t>
  </si>
  <si>
    <t>U086375</t>
  </si>
  <si>
    <t>ELEONORA</t>
  </si>
  <si>
    <t>DONSI</t>
  </si>
  <si>
    <t>U025189</t>
  </si>
  <si>
    <t>D'ORTONA</t>
  </si>
  <si>
    <t>ESPOSITO</t>
  </si>
  <si>
    <t>FRANCO</t>
  </si>
  <si>
    <t>U301203</t>
  </si>
  <si>
    <t>FEDERICI</t>
  </si>
  <si>
    <t>U086154</t>
  </si>
  <si>
    <t>FERRADINI</t>
  </si>
  <si>
    <t>U086184</t>
  </si>
  <si>
    <t>FODDAI</t>
  </si>
  <si>
    <t>VALERIA</t>
  </si>
  <si>
    <t>U086379</t>
  </si>
  <si>
    <t>FRAIOLI</t>
  </si>
  <si>
    <t>ANTONIO</t>
  </si>
  <si>
    <t>U301208</t>
  </si>
  <si>
    <t>CRISTIANA</t>
  </si>
  <si>
    <t>U301209</t>
  </si>
  <si>
    <t>GALASSI</t>
  </si>
  <si>
    <t>U086405</t>
  </si>
  <si>
    <t>NADIA</t>
  </si>
  <si>
    <t>U028729</t>
  </si>
  <si>
    <t>GARCIA</t>
  </si>
  <si>
    <t>U301212</t>
  </si>
  <si>
    <t>GERVASONI</t>
  </si>
  <si>
    <t>U086387</t>
  </si>
  <si>
    <t>GHISINI</t>
  </si>
  <si>
    <t>LODOVICO</t>
  </si>
  <si>
    <t>U086378</t>
  </si>
  <si>
    <t>GIORDANI</t>
  </si>
  <si>
    <t>GORLA</t>
  </si>
  <si>
    <t>U301218</t>
  </si>
  <si>
    <t>GOZZI</t>
  </si>
  <si>
    <t>GIANMARCO</t>
  </si>
  <si>
    <t>U363972</t>
  </si>
  <si>
    <t>GRAMMATICO</t>
  </si>
  <si>
    <t>FRANCESCO</t>
  </si>
  <si>
    <t>GRAZIOLI</t>
  </si>
  <si>
    <t>CARLO</t>
  </si>
  <si>
    <t>U086353</t>
  </si>
  <si>
    <t>INGEGNERI</t>
  </si>
  <si>
    <t>MATTEO</t>
  </si>
  <si>
    <t>LUSARDI</t>
  </si>
  <si>
    <t>FABRIZIO</t>
  </si>
  <si>
    <t>U086406</t>
  </si>
  <si>
    <t>MADDIONA</t>
  </si>
  <si>
    <t>MANCLOSSI</t>
  </si>
  <si>
    <t>U301227</t>
  </si>
  <si>
    <t>MANGANIELLO</t>
  </si>
  <si>
    <t>U301228</t>
  </si>
  <si>
    <t>MANGANO</t>
  </si>
  <si>
    <t>MANFREDI</t>
  </si>
  <si>
    <t>MARCHESI</t>
  </si>
  <si>
    <t>U093199</t>
  </si>
  <si>
    <t>MARVENTANO</t>
  </si>
  <si>
    <t>U086368</t>
  </si>
  <si>
    <t>WALTER</t>
  </si>
  <si>
    <t>U086358</t>
  </si>
  <si>
    <t>MATTEI</t>
  </si>
  <si>
    <t>U301232</t>
  </si>
  <si>
    <t>MAZZOTTA</t>
  </si>
  <si>
    <t>U301233</t>
  </si>
  <si>
    <t>MERLINI</t>
  </si>
  <si>
    <t>MORATO</t>
  </si>
  <si>
    <t>U025221</t>
  </si>
  <si>
    <t>MUNEGATO</t>
  </si>
  <si>
    <t>DAVIDE</t>
  </si>
  <si>
    <t>U086364</t>
  </si>
  <si>
    <t>MUSSINI</t>
  </si>
  <si>
    <t>MAURO</t>
  </si>
  <si>
    <t>U301240</t>
  </si>
  <si>
    <t>NARDIN</t>
  </si>
  <si>
    <t>DANIEL</t>
  </si>
  <si>
    <t>U304273</t>
  </si>
  <si>
    <t>NOBILE</t>
  </si>
  <si>
    <t>VALENTINO</t>
  </si>
  <si>
    <t>U093186</t>
  </si>
  <si>
    <t>NOVA</t>
  </si>
  <si>
    <t>LAURA</t>
  </si>
  <si>
    <t>PANTALEONE</t>
  </si>
  <si>
    <t>MASSIMILIANO</t>
  </si>
  <si>
    <t>U301247</t>
  </si>
  <si>
    <t>PASSARELLA</t>
  </si>
  <si>
    <t>U093233</t>
  </si>
  <si>
    <t>PAVIA</t>
  </si>
  <si>
    <t>U301250</t>
  </si>
  <si>
    <t>PIATTI</t>
  </si>
  <si>
    <t>RENZO</t>
  </si>
  <si>
    <t>U342818</t>
  </si>
  <si>
    <t>PREVETE</t>
  </si>
  <si>
    <t>VINCENZO</t>
  </si>
  <si>
    <t>U301254</t>
  </si>
  <si>
    <t>QUERZE'</t>
  </si>
  <si>
    <t>U028716</t>
  </si>
  <si>
    <t>QUINTILI</t>
  </si>
  <si>
    <t>U301257</t>
  </si>
  <si>
    <t>REIBALDI</t>
  </si>
  <si>
    <t>U301261</t>
  </si>
  <si>
    <t>ROMEO</t>
  </si>
  <si>
    <t>MARIANO</t>
  </si>
  <si>
    <t>RONCAGLIO</t>
  </si>
  <si>
    <t>RUGORA</t>
  </si>
  <si>
    <t>GIORGIO</t>
  </si>
  <si>
    <t>U301266</t>
  </si>
  <si>
    <t>SALERNO</t>
  </si>
  <si>
    <t>OLIVIERO</t>
  </si>
  <si>
    <t>U301267</t>
  </si>
  <si>
    <t>SALI</t>
  </si>
  <si>
    <t>U301268</t>
  </si>
  <si>
    <t>SCAFIDI</t>
  </si>
  <si>
    <t>U028712</t>
  </si>
  <si>
    <t>SCARAMASTRA</t>
  </si>
  <si>
    <t>U363987</t>
  </si>
  <si>
    <t>SICIGNANO</t>
  </si>
  <si>
    <t>RAFFAELE</t>
  </si>
  <si>
    <t>U301276</t>
  </si>
  <si>
    <t>SIRACUSA</t>
  </si>
  <si>
    <t>DARIO</t>
  </si>
  <si>
    <t>SPINELLI</t>
  </si>
  <si>
    <t>MONICA</t>
  </si>
  <si>
    <t>U084063</t>
  </si>
  <si>
    <t>UGENTI</t>
  </si>
  <si>
    <t>VILLO'</t>
  </si>
  <si>
    <t>OLIVIO</t>
  </si>
  <si>
    <t>U301291</t>
  </si>
  <si>
    <t>ZANELLA</t>
  </si>
  <si>
    <t>U086409</t>
  </si>
  <si>
    <t>ZANETTI</t>
  </si>
  <si>
    <t>ZANOTTA</t>
  </si>
  <si>
    <t>U085958</t>
  </si>
  <si>
    <t>Network Administrator</t>
  </si>
  <si>
    <t>Progett. e Sviluppo Infr. Elaborative</t>
  </si>
  <si>
    <t>CC Database</t>
  </si>
  <si>
    <t>BRUNO</t>
  </si>
  <si>
    <t>U018933</t>
  </si>
  <si>
    <t>CC Server Farm e Storage</t>
  </si>
  <si>
    <t>CAVALIERE</t>
  </si>
  <si>
    <t>U016369</t>
  </si>
  <si>
    <t>Coordinamento Progetti</t>
  </si>
  <si>
    <t>EINAUDI</t>
  </si>
  <si>
    <t>U018221</t>
  </si>
  <si>
    <t>CC Application</t>
  </si>
  <si>
    <t>FASANO</t>
  </si>
  <si>
    <t>U019659</t>
  </si>
  <si>
    <t>CC DC SW e Rete</t>
  </si>
  <si>
    <t>GRIBAUDO</t>
  </si>
  <si>
    <t>EZIO</t>
  </si>
  <si>
    <t>U017377</t>
  </si>
  <si>
    <t>CC Sistemi DWH e BI</t>
  </si>
  <si>
    <t>NOVARO</t>
  </si>
  <si>
    <t>U028140</t>
  </si>
  <si>
    <t>Data Mgmt e Supporto Storage</t>
  </si>
  <si>
    <t>PARISI</t>
  </si>
  <si>
    <t>GIANMARIO</t>
  </si>
  <si>
    <t>U023180</t>
  </si>
  <si>
    <t>DR e BC</t>
  </si>
  <si>
    <t>TRAFICANTE</t>
  </si>
  <si>
    <t>GIANLUCA</t>
  </si>
  <si>
    <t>U024722</t>
  </si>
  <si>
    <t>ADDARIO</t>
  </si>
  <si>
    <t>ALESSANDRIA</t>
  </si>
  <si>
    <t>ALLOISIO</t>
  </si>
  <si>
    <t>PIERMARIO</t>
  </si>
  <si>
    <t>U026567</t>
  </si>
  <si>
    <t>ANDREIS</t>
  </si>
  <si>
    <t>PIERO</t>
  </si>
  <si>
    <t>U017976</t>
  </si>
  <si>
    <t>ANELLI</t>
  </si>
  <si>
    <t>U086189</t>
  </si>
  <si>
    <t>ANSELMINO</t>
  </si>
  <si>
    <t>U023944</t>
  </si>
  <si>
    <t>ARUTA</t>
  </si>
  <si>
    <t>U024675</t>
  </si>
  <si>
    <t>ASTORINO</t>
  </si>
  <si>
    <t>BALBI SETTINO</t>
  </si>
  <si>
    <t>DANIELE</t>
  </si>
  <si>
    <t>BELLINI</t>
  </si>
  <si>
    <t>BELLUCCI</t>
  </si>
  <si>
    <t>ELIO</t>
  </si>
  <si>
    <t>U074627</t>
  </si>
  <si>
    <t>IT Consultant</t>
  </si>
  <si>
    <t>BENINCASA</t>
  </si>
  <si>
    <t>SARA</t>
  </si>
  <si>
    <t>BERNARDO</t>
  </si>
  <si>
    <t>BERTOLOTTI</t>
  </si>
  <si>
    <t>ERMANNO</t>
  </si>
  <si>
    <t>U086198</t>
  </si>
  <si>
    <t>BINELLO</t>
  </si>
  <si>
    <t>U018062</t>
  </si>
  <si>
    <t>BROGLIA</t>
  </si>
  <si>
    <t>CHIARA</t>
  </si>
  <si>
    <t>U086167</t>
  </si>
  <si>
    <t>BUCCIGROSSI</t>
  </si>
  <si>
    <t>MARIO</t>
  </si>
  <si>
    <t>U076218</t>
  </si>
  <si>
    <t>BUSANI</t>
  </si>
  <si>
    <t>DANIELA</t>
  </si>
  <si>
    <t>CAMINO</t>
  </si>
  <si>
    <t>CANUTO</t>
  </si>
  <si>
    <t>U022895</t>
  </si>
  <si>
    <t>CAPOBIANCO</t>
  </si>
  <si>
    <t>U028057</t>
  </si>
  <si>
    <t>CARACO'</t>
  </si>
  <si>
    <t>LORENZO</t>
  </si>
  <si>
    <t>CARENA</t>
  </si>
  <si>
    <t>LILIANA</t>
  </si>
  <si>
    <t>U023931</t>
  </si>
  <si>
    <t>CARITA'</t>
  </si>
  <si>
    <t>ELISABETTA</t>
  </si>
  <si>
    <t>CATALANO</t>
  </si>
  <si>
    <t>CENCI</t>
  </si>
  <si>
    <t>ERIK</t>
  </si>
  <si>
    <t>U357314</t>
  </si>
  <si>
    <t>CENTONZE</t>
  </si>
  <si>
    <t>MARIANGELA</t>
  </si>
  <si>
    <t>U357646</t>
  </si>
  <si>
    <t>CERRINA</t>
  </si>
  <si>
    <t>U025882</t>
  </si>
  <si>
    <t>CHIALVA</t>
  </si>
  <si>
    <t>MILENA</t>
  </si>
  <si>
    <t>CHIANTELLO</t>
  </si>
  <si>
    <t>U014947</t>
  </si>
  <si>
    <t>FLORIANA</t>
  </si>
  <si>
    <t>U027006</t>
  </si>
  <si>
    <t>CHIRIACO</t>
  </si>
  <si>
    <t>PIETRO</t>
  </si>
  <si>
    <t>U040177</t>
  </si>
  <si>
    <t>COGNI</t>
  </si>
  <si>
    <t>COLOMBRITA</t>
  </si>
  <si>
    <t>U025243</t>
  </si>
  <si>
    <t>COMPARI</t>
  </si>
  <si>
    <t>U086131</t>
  </si>
  <si>
    <t>CONCONI</t>
  </si>
  <si>
    <t>U357595</t>
  </si>
  <si>
    <t>CONTI</t>
  </si>
  <si>
    <t>CORGIOLU</t>
  </si>
  <si>
    <t>U083411</t>
  </si>
  <si>
    <t>CROVAGNA</t>
  </si>
  <si>
    <t>ANDREA DARIO</t>
  </si>
  <si>
    <t>CURATOLO</t>
  </si>
  <si>
    <t>CRISTIAN</t>
  </si>
  <si>
    <t>U028059</t>
  </si>
  <si>
    <t>CUTRUPI</t>
  </si>
  <si>
    <t>ALESSIA</t>
  </si>
  <si>
    <t>U026604</t>
  </si>
  <si>
    <t>D'ACUNTO</t>
  </si>
  <si>
    <t>U018263</t>
  </si>
  <si>
    <t>D'AGOSTINO</t>
  </si>
  <si>
    <t>NUNZIO</t>
  </si>
  <si>
    <t>DAMI</t>
  </si>
  <si>
    <t>U301190</t>
  </si>
  <si>
    <t>D'ANDREA</t>
  </si>
  <si>
    <t>D'APICE</t>
  </si>
  <si>
    <t>MASSIMO</t>
  </si>
  <si>
    <t>U085930</t>
  </si>
  <si>
    <t>DE MARTINO</t>
  </si>
  <si>
    <t>U024932</t>
  </si>
  <si>
    <t>U035919</t>
  </si>
  <si>
    <t>DELLI QUADRI</t>
  </si>
  <si>
    <t>U085953</t>
  </si>
  <si>
    <t>DERLI</t>
  </si>
  <si>
    <t>VEACESLAV</t>
  </si>
  <si>
    <t>DURANDO</t>
  </si>
  <si>
    <t>MANUEL</t>
  </si>
  <si>
    <t>FOGLIASSO</t>
  </si>
  <si>
    <t>U019817</t>
  </si>
  <si>
    <t>FOLLI</t>
  </si>
  <si>
    <t>U086369</t>
  </si>
  <si>
    <t>FORTI</t>
  </si>
  <si>
    <t>FRAUDATARIO</t>
  </si>
  <si>
    <t>BIAGIO</t>
  </si>
  <si>
    <t>U030639</t>
  </si>
  <si>
    <t>FUCILLI</t>
  </si>
  <si>
    <t>NICOLA</t>
  </si>
  <si>
    <t>U086429</t>
  </si>
  <si>
    <t>GARIBALDI</t>
  </si>
  <si>
    <t>U024950</t>
  </si>
  <si>
    <t>GARRUTO</t>
  </si>
  <si>
    <t>EUGENIO</t>
  </si>
  <si>
    <t>U028005</t>
  </si>
  <si>
    <t>GENTA</t>
  </si>
  <si>
    <t>GILI</t>
  </si>
  <si>
    <t>SILVIA</t>
  </si>
  <si>
    <t>U023819</t>
  </si>
  <si>
    <t>VALENTINA</t>
  </si>
  <si>
    <t>GRASSO</t>
  </si>
  <si>
    <t>SALVATORE</t>
  </si>
  <si>
    <t>KHALILI BIJARGAHI</t>
  </si>
  <si>
    <t>MOSTAFA</t>
  </si>
  <si>
    <t>LABATE</t>
  </si>
  <si>
    <t>FABRIZIO PAOLO ALBERTO</t>
  </si>
  <si>
    <t>LACAVALLA</t>
  </si>
  <si>
    <t>EMMANUELE</t>
  </si>
  <si>
    <t>LOMBARDI</t>
  </si>
  <si>
    <t>RICCARDO</t>
  </si>
  <si>
    <t>LOMBARDO</t>
  </si>
  <si>
    <t>U086354</t>
  </si>
  <si>
    <t>LOTITO</t>
  </si>
  <si>
    <t>ARIANNA</t>
  </si>
  <si>
    <t>LUPO</t>
  </si>
  <si>
    <t>LORENA</t>
  </si>
  <si>
    <t>U028068</t>
  </si>
  <si>
    <t>MAIAROTA</t>
  </si>
  <si>
    <t>ELENA</t>
  </si>
  <si>
    <t>MANCIAGLI</t>
  </si>
  <si>
    <t>MANGIAPANE</t>
  </si>
  <si>
    <t>MARANO</t>
  </si>
  <si>
    <t>U076151</t>
  </si>
  <si>
    <t>MARCHISIO</t>
  </si>
  <si>
    <t>U024977</t>
  </si>
  <si>
    <t>MASSI</t>
  </si>
  <si>
    <t>MASTRONARDI</t>
  </si>
  <si>
    <t>MELLI</t>
  </si>
  <si>
    <t>U014932</t>
  </si>
  <si>
    <t>MENARDI</t>
  </si>
  <si>
    <t>MIOLA</t>
  </si>
  <si>
    <t>U364034</t>
  </si>
  <si>
    <t>MONACO</t>
  </si>
  <si>
    <t>FLORINDA</t>
  </si>
  <si>
    <t>MONARDO</t>
  </si>
  <si>
    <t>GIUSEPPE ANDREA</t>
  </si>
  <si>
    <t>U029642</t>
  </si>
  <si>
    <t>MONCALERO</t>
  </si>
  <si>
    <t>U364035</t>
  </si>
  <si>
    <t>MORABITO</t>
  </si>
  <si>
    <t>ANNA</t>
  </si>
  <si>
    <t>MORELLO</t>
  </si>
  <si>
    <t>U015017</t>
  </si>
  <si>
    <t>MUREDDU</t>
  </si>
  <si>
    <t>MIRKO WALTER</t>
  </si>
  <si>
    <t>U085951</t>
  </si>
  <si>
    <t>MUSSO</t>
  </si>
  <si>
    <t>U020787</t>
  </si>
  <si>
    <t>OCCELLI</t>
  </si>
  <si>
    <t>U012793</t>
  </si>
  <si>
    <t>OLIVETTA</t>
  </si>
  <si>
    <t>FRANCESCA</t>
  </si>
  <si>
    <t>U357655</t>
  </si>
  <si>
    <t>OLLARI</t>
  </si>
  <si>
    <t>CHRISTIAN</t>
  </si>
  <si>
    <t>U086365</t>
  </si>
  <si>
    <t>OPPICI</t>
  </si>
  <si>
    <t>U086366</t>
  </si>
  <si>
    <t>PANARESE</t>
  </si>
  <si>
    <t>U015609</t>
  </si>
  <si>
    <t>PARODI</t>
  </si>
  <si>
    <t>U017259</t>
  </si>
  <si>
    <t>PERFETTI</t>
  </si>
  <si>
    <t>LUIGI</t>
  </si>
  <si>
    <t>U086414</t>
  </si>
  <si>
    <t>PETITTO</t>
  </si>
  <si>
    <t>CIRO</t>
  </si>
  <si>
    <t>U086367</t>
  </si>
  <si>
    <t>PILLON</t>
  </si>
  <si>
    <t>U015482</t>
  </si>
  <si>
    <t>PIRAS</t>
  </si>
  <si>
    <t>ANGELO</t>
  </si>
  <si>
    <t>U029728</t>
  </si>
  <si>
    <t>PISANI MASSAMORMILE</t>
  </si>
  <si>
    <t>UGO</t>
  </si>
  <si>
    <t>U086404</t>
  </si>
  <si>
    <t>PIZZATO</t>
  </si>
  <si>
    <t>FEDERICA</t>
  </si>
  <si>
    <t>POMPEO</t>
  </si>
  <si>
    <t>GUIDO</t>
  </si>
  <si>
    <t>U077878</t>
  </si>
  <si>
    <t>RAGONE</t>
  </si>
  <si>
    <t>RASO</t>
  </si>
  <si>
    <t>RASTELLI</t>
  </si>
  <si>
    <t>U086418</t>
  </si>
  <si>
    <t>REVELLI</t>
  </si>
  <si>
    <t>U030274</t>
  </si>
  <si>
    <t>RICCHETTI</t>
  </si>
  <si>
    <t>U086420</t>
  </si>
  <si>
    <t>RIVOTTO</t>
  </si>
  <si>
    <t>U015024</t>
  </si>
  <si>
    <t>ROSSATO</t>
  </si>
  <si>
    <t>RUTIGLIANO</t>
  </si>
  <si>
    <t>U077347</t>
  </si>
  <si>
    <t>SAGGINO</t>
  </si>
  <si>
    <t>SANFILIPPO</t>
  </si>
  <si>
    <t>U014957</t>
  </si>
  <si>
    <t>SANTACROCE</t>
  </si>
  <si>
    <t>SANTINI</t>
  </si>
  <si>
    <t>U086426</t>
  </si>
  <si>
    <t>SBRANA</t>
  </si>
  <si>
    <t>U083603</t>
  </si>
  <si>
    <t>SPADARO</t>
  </si>
  <si>
    <t>STRIANO</t>
  </si>
  <si>
    <t>LIBERATO</t>
  </si>
  <si>
    <t>U078572</t>
  </si>
  <si>
    <t>TORRENGO</t>
  </si>
  <si>
    <t>U022894</t>
  </si>
  <si>
    <t>TRAMONTANA</t>
  </si>
  <si>
    <t>TROMBIN</t>
  </si>
  <si>
    <t>U357346</t>
  </si>
  <si>
    <t>UCCELLATORE</t>
  </si>
  <si>
    <t>VACCHIANO</t>
  </si>
  <si>
    <t>VALTER</t>
  </si>
  <si>
    <t>U076165</t>
  </si>
  <si>
    <t>VEZZANI</t>
  </si>
  <si>
    <t>GABRIELLA</t>
  </si>
  <si>
    <t>U086393</t>
  </si>
  <si>
    <t>VLACHODIMOS</t>
  </si>
  <si>
    <t>IOANNIS</t>
  </si>
  <si>
    <t>U086397</t>
  </si>
  <si>
    <t>ZUCCONE</t>
  </si>
  <si>
    <t>U023193</t>
  </si>
  <si>
    <t>ZULIANI</t>
  </si>
  <si>
    <t>U023861</t>
  </si>
  <si>
    <t>Responsabile SIT</t>
  </si>
  <si>
    <t>Service Delivery e Supp. Infr.</t>
  </si>
  <si>
    <t>Supporto Open Applic e Servizi</t>
  </si>
  <si>
    <t>FRANZI</t>
  </si>
  <si>
    <t>U041370</t>
  </si>
  <si>
    <t>Supporto Open DB e Sistemi</t>
  </si>
  <si>
    <t>GIORCELLI</t>
  </si>
  <si>
    <t>U024674</t>
  </si>
  <si>
    <t>Telecomunicazioni</t>
  </si>
  <si>
    <t>Physical Planning</t>
  </si>
  <si>
    <t>LIVIGNI</t>
  </si>
  <si>
    <t>U011911</t>
  </si>
  <si>
    <t>Flussi Trasmissivi</t>
  </si>
  <si>
    <t>LONGAGNANI</t>
  </si>
  <si>
    <t>U086355</t>
  </si>
  <si>
    <t>Supporto Tecnico MF</t>
  </si>
  <si>
    <t>ZANELLATO</t>
  </si>
  <si>
    <t>U013494</t>
  </si>
  <si>
    <t>AIELLO</t>
  </si>
  <si>
    <t>U301152</t>
  </si>
  <si>
    <t>ANTONELLI</t>
  </si>
  <si>
    <t>EMANUELA</t>
  </si>
  <si>
    <t>U301156</t>
  </si>
  <si>
    <t>AUDERO</t>
  </si>
  <si>
    <t>U017970</t>
  </si>
  <si>
    <t>AVIDANO</t>
  </si>
  <si>
    <t>U027969</t>
  </si>
  <si>
    <t>BALLONE</t>
  </si>
  <si>
    <t>U027945</t>
  </si>
  <si>
    <t>BAMBARA</t>
  </si>
  <si>
    <t>U364021</t>
  </si>
  <si>
    <t>BARRERA</t>
  </si>
  <si>
    <t>U028055</t>
  </si>
  <si>
    <t>BATTAGLIO</t>
  </si>
  <si>
    <t>ALICE</t>
  </si>
  <si>
    <t>U369647</t>
  </si>
  <si>
    <t>no def</t>
  </si>
  <si>
    <t>BELFIORE</t>
  </si>
  <si>
    <t>DAVIDE SALVATORE</t>
  </si>
  <si>
    <t>BELLINGERI</t>
  </si>
  <si>
    <t>GIANFRANCO</t>
  </si>
  <si>
    <t>U086196</t>
  </si>
  <si>
    <t>BERTOZZI</t>
  </si>
  <si>
    <t>SAURO</t>
  </si>
  <si>
    <t>U028735</t>
  </si>
  <si>
    <t>BIONDI</t>
  </si>
  <si>
    <t>U369643</t>
  </si>
  <si>
    <t>BORSATO</t>
  </si>
  <si>
    <t>RENATO</t>
  </si>
  <si>
    <t>BOSI</t>
  </si>
  <si>
    <t>U086308</t>
  </si>
  <si>
    <t>BOTRUGNO</t>
  </si>
  <si>
    <t>COSIMO</t>
  </si>
  <si>
    <t>U086309</t>
  </si>
  <si>
    <t>BRASA</t>
  </si>
  <si>
    <t>U045372</t>
  </si>
  <si>
    <t>BRAVIN</t>
  </si>
  <si>
    <t>MAXIMILIAN</t>
  </si>
  <si>
    <t>U369646</t>
  </si>
  <si>
    <t>BRESCIA</t>
  </si>
  <si>
    <t>CANNAVIELLO</t>
  </si>
  <si>
    <t>U301171</t>
  </si>
  <si>
    <t>CAPACCIO</t>
  </si>
  <si>
    <t>CARELLA</t>
  </si>
  <si>
    <t>CARPI</t>
  </si>
  <si>
    <t>FIORENZO</t>
  </si>
  <si>
    <t>U357315</t>
  </si>
  <si>
    <t>CARTA</t>
  </si>
  <si>
    <t>CELLI</t>
  </si>
  <si>
    <t>FABRIZIO ANTONIO</t>
  </si>
  <si>
    <t>U364369</t>
  </si>
  <si>
    <t>CENA</t>
  </si>
  <si>
    <t>U017967</t>
  </si>
  <si>
    <t>CENTOMANI</t>
  </si>
  <si>
    <t>CHIARAVALLE</t>
  </si>
  <si>
    <t>PASQUALE</t>
  </si>
  <si>
    <t>CIPOLLONE</t>
  </si>
  <si>
    <t>ANTONINO</t>
  </si>
  <si>
    <t>U345437</t>
  </si>
  <si>
    <t>COLETTA</t>
  </si>
  <si>
    <t>U301183</t>
  </si>
  <si>
    <t>CONTEGIACOMO</t>
  </si>
  <si>
    <t>COTTONE</t>
  </si>
  <si>
    <t>FILIPPO</t>
  </si>
  <si>
    <t>CUCCOLINI</t>
  </si>
  <si>
    <t>DE CRESCENZO</t>
  </si>
  <si>
    <t>U023915</t>
  </si>
  <si>
    <t>DE ROSA</t>
  </si>
  <si>
    <t>U086303</t>
  </si>
  <si>
    <t>DEL RE</t>
  </si>
  <si>
    <t>TOMMASO M.RICCARDO</t>
  </si>
  <si>
    <t>U301194</t>
  </si>
  <si>
    <t>DETTONI</t>
  </si>
  <si>
    <t>DI LABIO</t>
  </si>
  <si>
    <t>DI LEO</t>
  </si>
  <si>
    <t>ORNELLA</t>
  </si>
  <si>
    <t>U301197</t>
  </si>
  <si>
    <t>DI ROMA</t>
  </si>
  <si>
    <t>ENZO</t>
  </si>
  <si>
    <t>U301198</t>
  </si>
  <si>
    <t>DONNARUMMA</t>
  </si>
  <si>
    <t>U301200</t>
  </si>
  <si>
    <t>DONNINI</t>
  </si>
  <si>
    <t>U086376</t>
  </si>
  <si>
    <t>FAVA</t>
  </si>
  <si>
    <t>EMANUELE</t>
  </si>
  <si>
    <t>U086389</t>
  </si>
  <si>
    <t>FERRARESE</t>
  </si>
  <si>
    <t>U044866</t>
  </si>
  <si>
    <t>FONTANOT</t>
  </si>
  <si>
    <t>U024067</t>
  </si>
  <si>
    <t>FRAGNI</t>
  </si>
  <si>
    <t>U086280</t>
  </si>
  <si>
    <t>GIANPAOLO</t>
  </si>
  <si>
    <t>U014237</t>
  </si>
  <si>
    <t>U017972</t>
  </si>
  <si>
    <t>GANDOLFI</t>
  </si>
  <si>
    <t>U086384</t>
  </si>
  <si>
    <t>GARAVAGLIA</t>
  </si>
  <si>
    <t>U086385</t>
  </si>
  <si>
    <t>GERMANO</t>
  </si>
  <si>
    <t>GIACALONE</t>
  </si>
  <si>
    <t>U052427</t>
  </si>
  <si>
    <t>GIORDANO</t>
  </si>
  <si>
    <t>U305499</t>
  </si>
  <si>
    <t>GIOVANELLI</t>
  </si>
  <si>
    <t>U086351</t>
  </si>
  <si>
    <t>GORLATO</t>
  </si>
  <si>
    <t>ENNIO ORLANDO</t>
  </si>
  <si>
    <t>INCANNILA</t>
  </si>
  <si>
    <t>LA STELLA</t>
  </si>
  <si>
    <t>U023763</t>
  </si>
  <si>
    <t>LACATUSU</t>
  </si>
  <si>
    <t>LATINO</t>
  </si>
  <si>
    <t>FLAVIA</t>
  </si>
  <si>
    <t>LAZZARI</t>
  </si>
  <si>
    <t>U086277</t>
  </si>
  <si>
    <t>LEUZZI</t>
  </si>
  <si>
    <t>MALDINI</t>
  </si>
  <si>
    <t>GILBERTO</t>
  </si>
  <si>
    <t>U301225</t>
  </si>
  <si>
    <t>MANGIALARDO</t>
  </si>
  <si>
    <t>U029729</t>
  </si>
  <si>
    <t>MARCIANO'</t>
  </si>
  <si>
    <t>U301229</t>
  </si>
  <si>
    <t>MAROTTA</t>
  </si>
  <si>
    <t>MASSARI</t>
  </si>
  <si>
    <t>U086350</t>
  </si>
  <si>
    <t>MATTALIA</t>
  </si>
  <si>
    <t>SERENA</t>
  </si>
  <si>
    <t>MIGLIORI</t>
  </si>
  <si>
    <t>ELEUTERIO</t>
  </si>
  <si>
    <t>MONTEFERRANTE</t>
  </si>
  <si>
    <t>MONTICONE</t>
  </si>
  <si>
    <t>U017374</t>
  </si>
  <si>
    <t>MORZA</t>
  </si>
  <si>
    <t>U086362</t>
  </si>
  <si>
    <t>MOSCHELLI</t>
  </si>
  <si>
    <t>U020444</t>
  </si>
  <si>
    <t>NEGOSSI</t>
  </si>
  <si>
    <t>PATELLI</t>
  </si>
  <si>
    <t>U042855</t>
  </si>
  <si>
    <t>PEDRAZZINI</t>
  </si>
  <si>
    <t>CRISTIANO</t>
  </si>
  <si>
    <t>U086411</t>
  </si>
  <si>
    <t>PIAZZA</t>
  </si>
  <si>
    <t>U086416</t>
  </si>
  <si>
    <t>PIERI</t>
  </si>
  <si>
    <t>U301251</t>
  </si>
  <si>
    <t>PIRON</t>
  </si>
  <si>
    <t>U301252</t>
  </si>
  <si>
    <t>RAMUNDO</t>
  </si>
  <si>
    <t>RECCHIONI</t>
  </si>
  <si>
    <t>U301260</t>
  </si>
  <si>
    <t>RIPAMONTI</t>
  </si>
  <si>
    <t>U086410</t>
  </si>
  <si>
    <t>ROGNONI</t>
  </si>
  <si>
    <t>U086322</t>
  </si>
  <si>
    <t>ROMANO</t>
  </si>
  <si>
    <t>ROVERE</t>
  </si>
  <si>
    <t>SIMONA</t>
  </si>
  <si>
    <t>RUBBA</t>
  </si>
  <si>
    <t>U364040</t>
  </si>
  <si>
    <t>SALEEM</t>
  </si>
  <si>
    <t>KHURRAM</t>
  </si>
  <si>
    <t>SALVINI</t>
  </si>
  <si>
    <t>U086335</t>
  </si>
  <si>
    <t>SAPONARO</t>
  </si>
  <si>
    <t>ANTONIA</t>
  </si>
  <si>
    <t>SASSI</t>
  </si>
  <si>
    <t>U086427</t>
  </si>
  <si>
    <t>SCARPARO</t>
  </si>
  <si>
    <t>SENNO</t>
  </si>
  <si>
    <t>SINA</t>
  </si>
  <si>
    <t>U025660</t>
  </si>
  <si>
    <t>SOAVI</t>
  </si>
  <si>
    <t>U086400</t>
  </si>
  <si>
    <t>SORGENTE</t>
  </si>
  <si>
    <t>SPOTTI</t>
  </si>
  <si>
    <t>U086421</t>
  </si>
  <si>
    <t>STROSCIO</t>
  </si>
  <si>
    <t>ELISA</t>
  </si>
  <si>
    <t>TAMIETTI</t>
  </si>
  <si>
    <t>U016376</t>
  </si>
  <si>
    <t>THIMJO</t>
  </si>
  <si>
    <t>KRIST</t>
  </si>
  <si>
    <t>TRON</t>
  </si>
  <si>
    <t>U364135</t>
  </si>
  <si>
    <t>VANNONI</t>
  </si>
  <si>
    <t>FABIO LUCA</t>
  </si>
  <si>
    <t>U086392</t>
  </si>
  <si>
    <t>VINCENZI</t>
  </si>
  <si>
    <t>U086395</t>
  </si>
  <si>
    <t>VISIOLI</t>
  </si>
  <si>
    <t>U086396</t>
  </si>
  <si>
    <t>ZELFERINO</t>
  </si>
  <si>
    <t>U369820</t>
  </si>
  <si>
    <t>Tecnologie Distribuite</t>
  </si>
  <si>
    <t>Sist Base e Sol. Specialistiche</t>
  </si>
  <si>
    <t>AMORETTI</t>
  </si>
  <si>
    <t>U083779</t>
  </si>
  <si>
    <t>Supporto Specialistico e SWD</t>
  </si>
  <si>
    <t>CRISPINO</t>
  </si>
  <si>
    <t>U075427</t>
  </si>
  <si>
    <t>Sistemi di Automazione</t>
  </si>
  <si>
    <t>IZZO</t>
  </si>
  <si>
    <t>U035850</t>
  </si>
  <si>
    <t>Presidi Territoriali</t>
  </si>
  <si>
    <t>LEONI</t>
  </si>
  <si>
    <t>U083777</t>
  </si>
  <si>
    <t>Servizi Infrastrutturali AP e DB MS</t>
  </si>
  <si>
    <t>LIONETTI</t>
  </si>
  <si>
    <t>ANNALISA</t>
  </si>
  <si>
    <t>U026366</t>
  </si>
  <si>
    <t>CC Infr Microsoft</t>
  </si>
  <si>
    <t>LODDO</t>
  </si>
  <si>
    <t>U364093</t>
  </si>
  <si>
    <t>Gestione progetti e manutenzione</t>
  </si>
  <si>
    <t>VECCHIERELLI</t>
  </si>
  <si>
    <t>U085895</t>
  </si>
  <si>
    <t>GST IMAC e Beni ICT</t>
  </si>
  <si>
    <t>ZATTI</t>
  </si>
  <si>
    <t>ELIANA</t>
  </si>
  <si>
    <t>U085925</t>
  </si>
  <si>
    <t>ABATE</t>
  </si>
  <si>
    <t>U077427</t>
  </si>
  <si>
    <t>ALESSANDRINO</t>
  </si>
  <si>
    <t>U086188</t>
  </si>
  <si>
    <t>ALOI</t>
  </si>
  <si>
    <t>CLAUDIA</t>
  </si>
  <si>
    <t>U077565</t>
  </si>
  <si>
    <t>AMBROGIO</t>
  </si>
  <si>
    <t>AMETRANO</t>
  </si>
  <si>
    <t>U086342</t>
  </si>
  <si>
    <t>AZZALI</t>
  </si>
  <si>
    <t>U093156</t>
  </si>
  <si>
    <t>AZZINI</t>
  </si>
  <si>
    <t>GIAMBATTISTA</t>
  </si>
  <si>
    <t>U032953</t>
  </si>
  <si>
    <t>BARRI</t>
  </si>
  <si>
    <t>RITO</t>
  </si>
  <si>
    <t>U086316</t>
  </si>
  <si>
    <t>BASTIANELLO</t>
  </si>
  <si>
    <t>U085946</t>
  </si>
  <si>
    <t>BATTIATO</t>
  </si>
  <si>
    <t>U010000</t>
  </si>
  <si>
    <t>BELVISI</t>
  </si>
  <si>
    <t>GIAN LUCA</t>
  </si>
  <si>
    <t>U035790</t>
  </si>
  <si>
    <t>BENSI</t>
  </si>
  <si>
    <t>PIER LUIGI</t>
  </si>
  <si>
    <t>U010041</t>
  </si>
  <si>
    <t>BERNUZZI</t>
  </si>
  <si>
    <t>BEATRICE</t>
  </si>
  <si>
    <t>U085894</t>
  </si>
  <si>
    <t>BERTE'</t>
  </si>
  <si>
    <t>SANTI</t>
  </si>
  <si>
    <t>BEVILACQUA</t>
  </si>
  <si>
    <t>CORRADO</t>
  </si>
  <si>
    <t>U013191</t>
  </si>
  <si>
    <t>BIROLINI</t>
  </si>
  <si>
    <t>AURELIO</t>
  </si>
  <si>
    <t>U043004</t>
  </si>
  <si>
    <t>BIZZARRI</t>
  </si>
  <si>
    <t>IVANO</t>
  </si>
  <si>
    <t>U014515</t>
  </si>
  <si>
    <t>BONADEO</t>
  </si>
  <si>
    <t>U086317</t>
  </si>
  <si>
    <t>U086318</t>
  </si>
  <si>
    <t>BONATTI</t>
  </si>
  <si>
    <t>U086150</t>
  </si>
  <si>
    <t>BONSIGNORE</t>
  </si>
  <si>
    <t>VERONICA</t>
  </si>
  <si>
    <t>U085965</t>
  </si>
  <si>
    <t>BORELLO</t>
  </si>
  <si>
    <t>U012674</t>
  </si>
  <si>
    <t>BOSETTI</t>
  </si>
  <si>
    <t>U086164</t>
  </si>
  <si>
    <t>BUZZI</t>
  </si>
  <si>
    <t>U086334</t>
  </si>
  <si>
    <t>CAGLIO</t>
  </si>
  <si>
    <t>U086180</t>
  </si>
  <si>
    <t>CALVARESE</t>
  </si>
  <si>
    <t>U036157</t>
  </si>
  <si>
    <t>CARICATI</t>
  </si>
  <si>
    <t>U086323</t>
  </si>
  <si>
    <t>CARINO</t>
  </si>
  <si>
    <t>U086161</t>
  </si>
  <si>
    <t>CAROSSO</t>
  </si>
  <si>
    <t>U016273</t>
  </si>
  <si>
    <t>CARRABS</t>
  </si>
  <si>
    <t>U034995</t>
  </si>
  <si>
    <t>CASELLI</t>
  </si>
  <si>
    <t>U086325</t>
  </si>
  <si>
    <t>CASTELLI</t>
  </si>
  <si>
    <t>GRAZIANO</t>
  </si>
  <si>
    <t>U033009</t>
  </si>
  <si>
    <t>CASTELLIN</t>
  </si>
  <si>
    <t>GIONATA</t>
  </si>
  <si>
    <t>U035015</t>
  </si>
  <si>
    <t>CASTIGLIONE</t>
  </si>
  <si>
    <t>U028162</t>
  </si>
  <si>
    <t>U086172</t>
  </si>
  <si>
    <t>CATELLANI</t>
  </si>
  <si>
    <t>U086326</t>
  </si>
  <si>
    <t>CATINO</t>
  </si>
  <si>
    <t>U019744</t>
  </si>
  <si>
    <t>CAVALLI</t>
  </si>
  <si>
    <t>U086175</t>
  </si>
  <si>
    <t>CAVANUS</t>
  </si>
  <si>
    <t>U085892</t>
  </si>
  <si>
    <t>CERRATO</t>
  </si>
  <si>
    <t>U023976</t>
  </si>
  <si>
    <t>CHELI</t>
  </si>
  <si>
    <t>U035779</t>
  </si>
  <si>
    <t>CHOJWA</t>
  </si>
  <si>
    <t>U086328</t>
  </si>
  <si>
    <t>CIFARIELLO</t>
  </si>
  <si>
    <t>U075769</t>
  </si>
  <si>
    <t>CINQUESANTI</t>
  </si>
  <si>
    <t>FERRUCCIO</t>
  </si>
  <si>
    <t>U033635</t>
  </si>
  <si>
    <t>CLEMENTI</t>
  </si>
  <si>
    <t>U051424</t>
  </si>
  <si>
    <t>COLABONA</t>
  </si>
  <si>
    <t>U086330</t>
  </si>
  <si>
    <t>COLAIZZI</t>
  </si>
  <si>
    <t>MARIELLA</t>
  </si>
  <si>
    <t>U301182</t>
  </si>
  <si>
    <t>COLOMBO</t>
  </si>
  <si>
    <t>U086331</t>
  </si>
  <si>
    <t>COPPOLA</t>
  </si>
  <si>
    <t>U077424</t>
  </si>
  <si>
    <t>COSCO</t>
  </si>
  <si>
    <t>U076143</t>
  </si>
  <si>
    <t>CRISETTI</t>
  </si>
  <si>
    <t>CUTOLO</t>
  </si>
  <si>
    <t>U077428</t>
  </si>
  <si>
    <t>D'ALBA</t>
  </si>
  <si>
    <t>U036168</t>
  </si>
  <si>
    <t>D'AMBROSIO</t>
  </si>
  <si>
    <t>U301189</t>
  </si>
  <si>
    <t>DE BERNARDI</t>
  </si>
  <si>
    <t>U085931</t>
  </si>
  <si>
    <t>DE LINDEMANN</t>
  </si>
  <si>
    <t>U301192</t>
  </si>
  <si>
    <t>ALESSANDRA</t>
  </si>
  <si>
    <t>DE NARDO</t>
  </si>
  <si>
    <t>PIER GIUSEPPE</t>
  </si>
  <si>
    <t>U085932</t>
  </si>
  <si>
    <t>DE SANTIS</t>
  </si>
  <si>
    <t>U076145</t>
  </si>
  <si>
    <t>DEGREGORI</t>
  </si>
  <si>
    <t>U083599</t>
  </si>
  <si>
    <t>U075719</t>
  </si>
  <si>
    <t>DI BONITO</t>
  </si>
  <si>
    <t>U075226</t>
  </si>
  <si>
    <t>DI DOMENICO</t>
  </si>
  <si>
    <t>U077570</t>
  </si>
  <si>
    <t>DI GUIDA</t>
  </si>
  <si>
    <t>ATTILIO</t>
  </si>
  <si>
    <t>U025558</t>
  </si>
  <si>
    <t>DIANIN</t>
  </si>
  <si>
    <t>U035805</t>
  </si>
  <si>
    <t>DIMITRI</t>
  </si>
  <si>
    <t>ANTONELLO</t>
  </si>
  <si>
    <t>U010252</t>
  </si>
  <si>
    <t>U077572</t>
  </si>
  <si>
    <t>FERRONI</t>
  </si>
  <si>
    <t>FIORILLO</t>
  </si>
  <si>
    <t>U078507</t>
  </si>
  <si>
    <t>FLAUTO</t>
  </si>
  <si>
    <t>U077573</t>
  </si>
  <si>
    <t>GABAGLIO</t>
  </si>
  <si>
    <t>SANDRO</t>
  </si>
  <si>
    <t>U033074</t>
  </si>
  <si>
    <t>GALTAROSSA</t>
  </si>
  <si>
    <t>GAMBAZZA</t>
  </si>
  <si>
    <t>ENNIO</t>
  </si>
  <si>
    <t>GARAGNANI</t>
  </si>
  <si>
    <t>U035818</t>
  </si>
  <si>
    <t>GERUSSI</t>
  </si>
  <si>
    <t>U085938</t>
  </si>
  <si>
    <t>GHERARDI</t>
  </si>
  <si>
    <t>U085928</t>
  </si>
  <si>
    <t>GHIDINI</t>
  </si>
  <si>
    <t>U086359</t>
  </si>
  <si>
    <t>GHITTI</t>
  </si>
  <si>
    <t>EMILIO</t>
  </si>
  <si>
    <t>U016812</t>
  </si>
  <si>
    <t>GIACON</t>
  </si>
  <si>
    <t>U035389</t>
  </si>
  <si>
    <t>GIANDOMENICO</t>
  </si>
  <si>
    <t>U085940</t>
  </si>
  <si>
    <t>GIANNI</t>
  </si>
  <si>
    <t>U085941</t>
  </si>
  <si>
    <t>GIUFFRE'</t>
  </si>
  <si>
    <t>U083778</t>
  </si>
  <si>
    <t>GIULIANI</t>
  </si>
  <si>
    <t>U078786</t>
  </si>
  <si>
    <t>GRECO</t>
  </si>
  <si>
    <t>U328880</t>
  </si>
  <si>
    <t>GRIGOLATO</t>
  </si>
  <si>
    <t>U301220</t>
  </si>
  <si>
    <t>INVERARDI</t>
  </si>
  <si>
    <t>IACOPO</t>
  </si>
  <si>
    <t>U085943</t>
  </si>
  <si>
    <t>LANZARA</t>
  </si>
  <si>
    <t>GIANCARLO</t>
  </si>
  <si>
    <t>U085944</t>
  </si>
  <si>
    <t>LAVAGETTO</t>
  </si>
  <si>
    <t>U013731</t>
  </si>
  <si>
    <t>LETTIERI</t>
  </si>
  <si>
    <t>U078509</t>
  </si>
  <si>
    <t>LIARDO</t>
  </si>
  <si>
    <t>ALFREDO</t>
  </si>
  <si>
    <t>U076598</t>
  </si>
  <si>
    <t>LUCCI</t>
  </si>
  <si>
    <t>LUCIANO</t>
  </si>
  <si>
    <t>U301606</t>
  </si>
  <si>
    <t>YURI</t>
  </si>
  <si>
    <t>MADRIGALI</t>
  </si>
  <si>
    <t>U085939</t>
  </si>
  <si>
    <t>MAFFUCCI</t>
  </si>
  <si>
    <t>U301224</t>
  </si>
  <si>
    <t>MAGLIONE</t>
  </si>
  <si>
    <t>U077877</t>
  </si>
  <si>
    <t>MALACRINO</t>
  </si>
  <si>
    <t>MANZONI</t>
  </si>
  <si>
    <t>U044245</t>
  </si>
  <si>
    <t>U033857</t>
  </si>
  <si>
    <t>BARBARA</t>
  </si>
  <si>
    <t>U086287</t>
  </si>
  <si>
    <t>MARCHETTI</t>
  </si>
  <si>
    <t>U085911</t>
  </si>
  <si>
    <t>MARGIO</t>
  </si>
  <si>
    <t>U077989</t>
  </si>
  <si>
    <t>MARINO</t>
  </si>
  <si>
    <t>ERNESTO</t>
  </si>
  <si>
    <t>U073983</t>
  </si>
  <si>
    <t>MARZADURI</t>
  </si>
  <si>
    <t>U035855</t>
  </si>
  <si>
    <t>MATTA</t>
  </si>
  <si>
    <t>U301231</t>
  </si>
  <si>
    <t>MEDICI</t>
  </si>
  <si>
    <t>BARI</t>
  </si>
  <si>
    <t>MEO</t>
  </si>
  <si>
    <t>U085963</t>
  </si>
  <si>
    <t>MILANO</t>
  </si>
  <si>
    <t>U078511</t>
  </si>
  <si>
    <t>MONTECROCI</t>
  </si>
  <si>
    <t>MARTINA</t>
  </si>
  <si>
    <t>MORESSA</t>
  </si>
  <si>
    <t>MORO</t>
  </si>
  <si>
    <t>NAPOLITANO</t>
  </si>
  <si>
    <t>U078135</t>
  </si>
  <si>
    <t>NOCCIOLATI</t>
  </si>
  <si>
    <t>U085913</t>
  </si>
  <si>
    <t>OMEGNA</t>
  </si>
  <si>
    <t>U044550</t>
  </si>
  <si>
    <t>ONGARO</t>
  </si>
  <si>
    <t>U035386</t>
  </si>
  <si>
    <t>ORLANDINI</t>
  </si>
  <si>
    <t>IVO</t>
  </si>
  <si>
    <t>U085915</t>
  </si>
  <si>
    <t>PALAZZO</t>
  </si>
  <si>
    <t>ORIETTA</t>
  </si>
  <si>
    <t>U011821</t>
  </si>
  <si>
    <t>U083720</t>
  </si>
  <si>
    <t>PASTORINO</t>
  </si>
  <si>
    <t>U026821</t>
  </si>
  <si>
    <t>PATRUNO</t>
  </si>
  <si>
    <t>PIERPAOLO</t>
  </si>
  <si>
    <t>PEGORIN</t>
  </si>
  <si>
    <t>PELLEGRINO</t>
  </si>
  <si>
    <t>U078355</t>
  </si>
  <si>
    <t>PEPI</t>
  </si>
  <si>
    <t>U332443</t>
  </si>
  <si>
    <t>PICARDI</t>
  </si>
  <si>
    <t>U076490</t>
  </si>
  <si>
    <t>PIEDEPALUMBO</t>
  </si>
  <si>
    <t>U078062</t>
  </si>
  <si>
    <t>PINCELLI</t>
  </si>
  <si>
    <t>U085916</t>
  </si>
  <si>
    <t>PUCCI</t>
  </si>
  <si>
    <t>U085917</t>
  </si>
  <si>
    <t>RABONI</t>
  </si>
  <si>
    <t>U085927</t>
  </si>
  <si>
    <t>RAGUSA</t>
  </si>
  <si>
    <t>U085961</t>
  </si>
  <si>
    <t>RE</t>
  </si>
  <si>
    <t>RINALDI</t>
  </si>
  <si>
    <t>U309688</t>
  </si>
  <si>
    <t>RIPPA</t>
  </si>
  <si>
    <t>U076108</t>
  </si>
  <si>
    <t>RIZZATI</t>
  </si>
  <si>
    <t>RIZZUTO</t>
  </si>
  <si>
    <t>U078384</t>
  </si>
  <si>
    <t>ROLLA</t>
  </si>
  <si>
    <t>U014199</t>
  </si>
  <si>
    <t>Gestione Operativa PR</t>
  </si>
  <si>
    <t>ROSSETTI</t>
  </si>
  <si>
    <t>U076109</t>
  </si>
  <si>
    <t>SALVADORI</t>
  </si>
  <si>
    <t>U085920</t>
  </si>
  <si>
    <t>SAMBRUNA</t>
  </si>
  <si>
    <t>SAMMITO</t>
  </si>
  <si>
    <t>SCOGNAMIGLIO</t>
  </si>
  <si>
    <t>U075667</t>
  </si>
  <si>
    <t>SERINO</t>
  </si>
  <si>
    <t>U076162</t>
  </si>
  <si>
    <t>SERRA</t>
  </si>
  <si>
    <t>U018218</t>
  </si>
  <si>
    <t>SIMONETTI</t>
  </si>
  <si>
    <t>U301277</t>
  </si>
  <si>
    <t>SORATO</t>
  </si>
  <si>
    <t>U036040</t>
  </si>
  <si>
    <t>SPINA</t>
  </si>
  <si>
    <t>STABILE</t>
  </si>
  <si>
    <t>U028143</t>
  </si>
  <si>
    <t>STUCCHI</t>
  </si>
  <si>
    <t>U083600</t>
  </si>
  <si>
    <t>TORRESI</t>
  </si>
  <si>
    <t>U301282</t>
  </si>
  <si>
    <t>TOSI</t>
  </si>
  <si>
    <t>U035823</t>
  </si>
  <si>
    <t>TROMBOTTO</t>
  </si>
  <si>
    <t>U024673</t>
  </si>
  <si>
    <t>TROULLIER</t>
  </si>
  <si>
    <t>U085855</t>
  </si>
  <si>
    <t>TUCCI</t>
  </si>
  <si>
    <t>TURI</t>
  </si>
  <si>
    <t>DONATELLA</t>
  </si>
  <si>
    <t>U035462</t>
  </si>
  <si>
    <t>VAI</t>
  </si>
  <si>
    <t>U086139</t>
  </si>
  <si>
    <t>VAIR</t>
  </si>
  <si>
    <t>U029646</t>
  </si>
  <si>
    <t>VALIA</t>
  </si>
  <si>
    <t>U301288</t>
  </si>
  <si>
    <t>VENTURIERO</t>
  </si>
  <si>
    <t>U073750</t>
  </si>
  <si>
    <t>VIANI</t>
  </si>
  <si>
    <t>RAFFAELLA</t>
  </si>
  <si>
    <t>U086341</t>
  </si>
  <si>
    <t>VILLANO</t>
  </si>
  <si>
    <t>VINCI</t>
  </si>
  <si>
    <t>U078114</t>
  </si>
  <si>
    <t>VIOLA</t>
  </si>
  <si>
    <t>U301292</t>
  </si>
  <si>
    <t>VITALE</t>
  </si>
  <si>
    <t>U035016</t>
  </si>
  <si>
    <t>VITALINI</t>
  </si>
  <si>
    <t>U301295</t>
  </si>
  <si>
    <t>ZAGNI</t>
  </si>
  <si>
    <t>U085923</t>
  </si>
  <si>
    <t>ZUCCHI</t>
  </si>
  <si>
    <t>CARETTI</t>
  </si>
  <si>
    <t>U093220</t>
  </si>
  <si>
    <t>Prog. Telecomunicazioni</t>
  </si>
  <si>
    <t>BARILLA'</t>
  </si>
  <si>
    <t>U018268</t>
  </si>
  <si>
    <t>Coord. Servizi Presidi TLC</t>
  </si>
  <si>
    <t>U083602</t>
  </si>
  <si>
    <t>Supporto Telecomunicazioni</t>
  </si>
  <si>
    <t>U026283</t>
  </si>
  <si>
    <t>CC Contact Unit</t>
  </si>
  <si>
    <t>SALA</t>
  </si>
  <si>
    <t>U085956</t>
  </si>
  <si>
    <t>AMADORI</t>
  </si>
  <si>
    <t>U083842</t>
  </si>
  <si>
    <t>AMAYEH</t>
  </si>
  <si>
    <t>SOMAYEH</t>
  </si>
  <si>
    <t>BALDINA</t>
  </si>
  <si>
    <t>U081511</t>
  </si>
  <si>
    <t>BARBIERI</t>
  </si>
  <si>
    <t>U028747</t>
  </si>
  <si>
    <t>BARLETTA</t>
  </si>
  <si>
    <t>BATTISTI</t>
  </si>
  <si>
    <t>BAYAT</t>
  </si>
  <si>
    <t>AHMAD</t>
  </si>
  <si>
    <t>BIROLI</t>
  </si>
  <si>
    <t>U085967</t>
  </si>
  <si>
    <t>BORLA</t>
  </si>
  <si>
    <t>U085976</t>
  </si>
  <si>
    <t>CARRER</t>
  </si>
  <si>
    <t>U018266</t>
  </si>
  <si>
    <t>U083604</t>
  </si>
  <si>
    <t>CASTOLDI</t>
  </si>
  <si>
    <t>U086153</t>
  </si>
  <si>
    <t>U086313</t>
  </si>
  <si>
    <t>CELLINI</t>
  </si>
  <si>
    <t>U087608</t>
  </si>
  <si>
    <t>CHIAVETTIERI</t>
  </si>
  <si>
    <t>U040114</t>
  </si>
  <si>
    <t>COMERCI</t>
  </si>
  <si>
    <t>MANJU</t>
  </si>
  <si>
    <t>COSTE</t>
  </si>
  <si>
    <t>U015892</t>
  </si>
  <si>
    <t>DELL'ORTO</t>
  </si>
  <si>
    <t>U086373</t>
  </si>
  <si>
    <t>DOGLIO</t>
  </si>
  <si>
    <t>U015436</t>
  </si>
  <si>
    <t>FACCHINETTI</t>
  </si>
  <si>
    <t>U085959</t>
  </si>
  <si>
    <t>FUDA</t>
  </si>
  <si>
    <t>U029643</t>
  </si>
  <si>
    <t>GATTO</t>
  </si>
  <si>
    <t>GELATO</t>
  </si>
  <si>
    <t>U017591</t>
  </si>
  <si>
    <t>GIRIBONO</t>
  </si>
  <si>
    <t>U083843</t>
  </si>
  <si>
    <t>GREGORIO</t>
  </si>
  <si>
    <t>U339489</t>
  </si>
  <si>
    <t>MACCARIO</t>
  </si>
  <si>
    <t>U016070</t>
  </si>
  <si>
    <t>MAGLIANO</t>
  </si>
  <si>
    <t>U020961</t>
  </si>
  <si>
    <t>MAJERNA</t>
  </si>
  <si>
    <t>U087616</t>
  </si>
  <si>
    <t>MASTROTI</t>
  </si>
  <si>
    <t>U085948</t>
  </si>
  <si>
    <t>MIATELLO</t>
  </si>
  <si>
    <t>U018262</t>
  </si>
  <si>
    <t>MONDINO</t>
  </si>
  <si>
    <t>U018267</t>
  </si>
  <si>
    <t>NOVI</t>
  </si>
  <si>
    <t>U040376</t>
  </si>
  <si>
    <t>PARPANESI</t>
  </si>
  <si>
    <t>U085952</t>
  </si>
  <si>
    <t>PEPE</t>
  </si>
  <si>
    <t>U024494</t>
  </si>
  <si>
    <t>PERSIANI</t>
  </si>
  <si>
    <t>U028758</t>
  </si>
  <si>
    <t>PIETRANGELO</t>
  </si>
  <si>
    <t>U014035</t>
  </si>
  <si>
    <t>POGGI</t>
  </si>
  <si>
    <t>U304274</t>
  </si>
  <si>
    <t>RADAELLI</t>
  </si>
  <si>
    <t>LUCIO</t>
  </si>
  <si>
    <t>U301258</t>
  </si>
  <si>
    <t>RENDINIELLO</t>
  </si>
  <si>
    <t>U363982</t>
  </si>
  <si>
    <t>RUCI</t>
  </si>
  <si>
    <t>LEDIO</t>
  </si>
  <si>
    <t>SALVATI</t>
  </si>
  <si>
    <t>TAGLIABUE</t>
  </si>
  <si>
    <t>U083410</t>
  </si>
  <si>
    <t>TENACE</t>
  </si>
  <si>
    <t>U028144</t>
  </si>
  <si>
    <t>TURRA</t>
  </si>
  <si>
    <t>KEVIN</t>
  </si>
  <si>
    <t>VALSANIA</t>
  </si>
  <si>
    <t>VARRESE</t>
  </si>
  <si>
    <t>MICHAEL</t>
  </si>
  <si>
    <t>VENTRA</t>
  </si>
  <si>
    <t>U034788</t>
  </si>
  <si>
    <t>VENTURA</t>
  </si>
  <si>
    <t>U028156</t>
  </si>
  <si>
    <t>VOLPI</t>
  </si>
  <si>
    <t>PIERPILADE</t>
  </si>
  <si>
    <t>U085957</t>
  </si>
  <si>
    <t>Ambienti Sviluppo e DevOps</t>
  </si>
  <si>
    <t>Procedure Operative SIT</t>
  </si>
  <si>
    <t>BONANDIN</t>
  </si>
  <si>
    <t>U020695</t>
  </si>
  <si>
    <t>Pianificazione e Ottimizzazione Risorse</t>
  </si>
  <si>
    <t>CALABRO'</t>
  </si>
  <si>
    <t>LUDOVICO</t>
  </si>
  <si>
    <t>U017375</t>
  </si>
  <si>
    <t>Tuning e Performance</t>
  </si>
  <si>
    <t>MEZZOFRANCO</t>
  </si>
  <si>
    <t>U024473</t>
  </si>
  <si>
    <t>Change Mgmt e Orchestrazione Servizi</t>
  </si>
  <si>
    <t>PADOVANI</t>
  </si>
  <si>
    <t>GIULIO</t>
  </si>
  <si>
    <t>U086398</t>
  </si>
  <si>
    <t>ACCARINO</t>
  </si>
  <si>
    <t>U076138</t>
  </si>
  <si>
    <t>ALLOCCO</t>
  </si>
  <si>
    <t>U011258</t>
  </si>
  <si>
    <t>ANDRIONE</t>
  </si>
  <si>
    <t>U011038</t>
  </si>
  <si>
    <t>APIS</t>
  </si>
  <si>
    <t>LUCIANA</t>
  </si>
  <si>
    <t>U086147</t>
  </si>
  <si>
    <t>AVANZINI</t>
  </si>
  <si>
    <t>BAGNO</t>
  </si>
  <si>
    <t>U074484</t>
  </si>
  <si>
    <t>BOARETTO</t>
  </si>
  <si>
    <t>BONI</t>
  </si>
  <si>
    <t>U086307</t>
  </si>
  <si>
    <t>CAMPANELLA</t>
  </si>
  <si>
    <t>U077567</t>
  </si>
  <si>
    <t>CANGEMI</t>
  </si>
  <si>
    <t>U077984</t>
  </si>
  <si>
    <t>CANTARELLI</t>
  </si>
  <si>
    <t>U086311</t>
  </si>
  <si>
    <t>CANTONI</t>
  </si>
  <si>
    <t>U086312</t>
  </si>
  <si>
    <t>CAUTIERO</t>
  </si>
  <si>
    <t>CONCETTA</t>
  </si>
  <si>
    <t>U086173</t>
  </si>
  <si>
    <t>CECI</t>
  </si>
  <si>
    <t>U086327</t>
  </si>
  <si>
    <t>CERETTA</t>
  </si>
  <si>
    <t>U086145</t>
  </si>
  <si>
    <t>IT Financial Specialist</t>
  </si>
  <si>
    <t>CICCOLELLA</t>
  </si>
  <si>
    <t>IGNAZIO</t>
  </si>
  <si>
    <t>U076142</t>
  </si>
  <si>
    <t>CORTI</t>
  </si>
  <si>
    <t>U033469</t>
  </si>
  <si>
    <t>VALERIO</t>
  </si>
  <si>
    <t>DAVITE</t>
  </si>
  <si>
    <t>U010897</t>
  </si>
  <si>
    <t>U018215</t>
  </si>
  <si>
    <t>U021150</t>
  </si>
  <si>
    <t>ROCHY</t>
  </si>
  <si>
    <t>U086344</t>
  </si>
  <si>
    <t>D'ERASMO</t>
  </si>
  <si>
    <t>DUCA</t>
  </si>
  <si>
    <t>U083742</t>
  </si>
  <si>
    <t>U077986</t>
  </si>
  <si>
    <t>FANTINI</t>
  </si>
  <si>
    <t>U086300</t>
  </si>
  <si>
    <t>FORTINI</t>
  </si>
  <si>
    <t>FUCCI</t>
  </si>
  <si>
    <t>U024472</t>
  </si>
  <si>
    <t>GANAZZOLI</t>
  </si>
  <si>
    <t>U086383</t>
  </si>
  <si>
    <t>GARABELLO</t>
  </si>
  <si>
    <t>U017122</t>
  </si>
  <si>
    <t>GIAMPIERO</t>
  </si>
  <si>
    <t>GIORDAN</t>
  </si>
  <si>
    <t>U020479</t>
  </si>
  <si>
    <t>GIOVANNINI</t>
  </si>
  <si>
    <t>U086283</t>
  </si>
  <si>
    <t>LANARO</t>
  </si>
  <si>
    <t>U086345</t>
  </si>
  <si>
    <t>LIETZ</t>
  </si>
  <si>
    <t>U074758</t>
  </si>
  <si>
    <t>MAERO</t>
  </si>
  <si>
    <t>TIZIANA</t>
  </si>
  <si>
    <t>U022899</t>
  </si>
  <si>
    <t>MASERA</t>
  </si>
  <si>
    <t>U012140</t>
  </si>
  <si>
    <t>MASSERONI</t>
  </si>
  <si>
    <t>MAZZIERI</t>
  </si>
  <si>
    <t>U086288</t>
  </si>
  <si>
    <t>MICCOLI</t>
  </si>
  <si>
    <t>ALESSIO</t>
  </si>
  <si>
    <t>U017351</t>
  </si>
  <si>
    <t>MONFROGLIO</t>
  </si>
  <si>
    <t>MONTI</t>
  </si>
  <si>
    <t>U011431</t>
  </si>
  <si>
    <t>MOSSINI</t>
  </si>
  <si>
    <t>U086363</t>
  </si>
  <si>
    <t>U086357</t>
  </si>
  <si>
    <t>PAPARO</t>
  </si>
  <si>
    <t>U046196</t>
  </si>
  <si>
    <t>PAVAN</t>
  </si>
  <si>
    <t>U018943</t>
  </si>
  <si>
    <t>PERACCHI</t>
  </si>
  <si>
    <t>U086413</t>
  </si>
  <si>
    <t>U086297</t>
  </si>
  <si>
    <t>POLLARA</t>
  </si>
  <si>
    <t>ROMANINI</t>
  </si>
  <si>
    <t>U086348</t>
  </si>
  <si>
    <t>SALVIATI</t>
  </si>
  <si>
    <t>U086305</t>
  </si>
  <si>
    <t>SANTAGATA</t>
  </si>
  <si>
    <t>SARTORI</t>
  </si>
  <si>
    <t>U086336</t>
  </si>
  <si>
    <t>U011441</t>
  </si>
  <si>
    <t>STECCONI</t>
  </si>
  <si>
    <t>U085921</t>
  </si>
  <si>
    <t>TALLUTO</t>
  </si>
  <si>
    <t>U013562</t>
  </si>
  <si>
    <t>TERZULLI</t>
  </si>
  <si>
    <t>PIERANGELO</t>
  </si>
  <si>
    <t>TESTA</t>
  </si>
  <si>
    <t>U016911</t>
  </si>
  <si>
    <t>TIGNONSINI</t>
  </si>
  <si>
    <t>TREVISAN</t>
  </si>
  <si>
    <t>U086339</t>
  </si>
  <si>
    <t>VILLA</t>
  </si>
  <si>
    <t>U086333</t>
  </si>
  <si>
    <t>BOTTIONI</t>
  </si>
  <si>
    <t>U086165</t>
  </si>
  <si>
    <t>Schedulazioni</t>
  </si>
  <si>
    <t>FRANCESCHINIS</t>
  </si>
  <si>
    <t>U017352</t>
  </si>
  <si>
    <t>Gestione Ambienti di Test</t>
  </si>
  <si>
    <t>GARBELLINI</t>
  </si>
  <si>
    <t>U035423</t>
  </si>
  <si>
    <t>Gestione Operativa TO</t>
  </si>
  <si>
    <t>MORINO</t>
  </si>
  <si>
    <t>U009171</t>
  </si>
  <si>
    <t>Monitoraggio Tec e Controllo Servizi</t>
  </si>
  <si>
    <t>TINAGLIA</t>
  </si>
  <si>
    <t>U086407</t>
  </si>
  <si>
    <t>Metodi e processi operativi di schedulazione</t>
  </si>
  <si>
    <t>ZILLI</t>
  </si>
  <si>
    <t>U083741</t>
  </si>
  <si>
    <t>ALLINORO</t>
  </si>
  <si>
    <t>U017378</t>
  </si>
  <si>
    <t>ANDRIOLI</t>
  </si>
  <si>
    <t>U028457</t>
  </si>
  <si>
    <t>AXINTE</t>
  </si>
  <si>
    <t>U086201</t>
  </si>
  <si>
    <t>BALZANO</t>
  </si>
  <si>
    <t>BARDELLA</t>
  </si>
  <si>
    <t>U019703</t>
  </si>
  <si>
    <t>BARTOLI</t>
  </si>
  <si>
    <t>U301161</t>
  </si>
  <si>
    <t>BASSO</t>
  </si>
  <si>
    <t>BATTILOCCHI</t>
  </si>
  <si>
    <t>U086194</t>
  </si>
  <si>
    <t>BAUDUCCO</t>
  </si>
  <si>
    <t>MICHELA</t>
  </si>
  <si>
    <t>U028056</t>
  </si>
  <si>
    <t>BELLE</t>
  </si>
  <si>
    <t>U035495</t>
  </si>
  <si>
    <t>BERNARDELLI</t>
  </si>
  <si>
    <t>U017349</t>
  </si>
  <si>
    <t>U035876</t>
  </si>
  <si>
    <t>BETTIN</t>
  </si>
  <si>
    <t>U035878</t>
  </si>
  <si>
    <t>BISCUOLA</t>
  </si>
  <si>
    <t>U030107</t>
  </si>
  <si>
    <t>BOCCHIO</t>
  </si>
  <si>
    <t>U016443</t>
  </si>
  <si>
    <t>BORRINI</t>
  </si>
  <si>
    <t>U086163</t>
  </si>
  <si>
    <t>BRUSEGHINI</t>
  </si>
  <si>
    <t>CALABRESE</t>
  </si>
  <si>
    <t>U073515</t>
  </si>
  <si>
    <t>CAPUANO</t>
  </si>
  <si>
    <t>CRESCENZO</t>
  </si>
  <si>
    <t>CATALLO</t>
  </si>
  <si>
    <t>CAVALCA</t>
  </si>
  <si>
    <t>U086174</t>
  </si>
  <si>
    <t>U086176</t>
  </si>
  <si>
    <t>CENTENARO</t>
  </si>
  <si>
    <t>PIERGIORGIO</t>
  </si>
  <si>
    <t>U035902</t>
  </si>
  <si>
    <t>CHIARELLA</t>
  </si>
  <si>
    <t>CIRIELLO</t>
  </si>
  <si>
    <t>U035910</t>
  </si>
  <si>
    <t>COMELLI</t>
  </si>
  <si>
    <t>U086278</t>
  </si>
  <si>
    <t>DELFINI</t>
  </si>
  <si>
    <t>U086371</t>
  </si>
  <si>
    <t>DELLA BELLA</t>
  </si>
  <si>
    <t>U086374</t>
  </si>
  <si>
    <t>DI GIROLAMO</t>
  </si>
  <si>
    <t>U301196</t>
  </si>
  <si>
    <t>DI MAIO</t>
  </si>
  <si>
    <t>U075440</t>
  </si>
  <si>
    <t>U035922</t>
  </si>
  <si>
    <t>DIMONTE</t>
  </si>
  <si>
    <t>U024529</t>
  </si>
  <si>
    <t>DRAGOS</t>
  </si>
  <si>
    <t>ESTIENNE</t>
  </si>
  <si>
    <t>FALBO</t>
  </si>
  <si>
    <t>U029425</t>
  </si>
  <si>
    <t>FORNER</t>
  </si>
  <si>
    <t>U035935</t>
  </si>
  <si>
    <t>FULLI</t>
  </si>
  <si>
    <t>U301211</t>
  </si>
  <si>
    <t>GALEOTTI</t>
  </si>
  <si>
    <t>GAVARINI</t>
  </si>
  <si>
    <t>U086386</t>
  </si>
  <si>
    <t>GHINELLI</t>
  </si>
  <si>
    <t>U086380</t>
  </si>
  <si>
    <t>GIAIMO</t>
  </si>
  <si>
    <t>GIARDINI</t>
  </si>
  <si>
    <t>U301215</t>
  </si>
  <si>
    <t>GIARETTA</t>
  </si>
  <si>
    <t>GIBILISCO</t>
  </si>
  <si>
    <t>SEBASTIANO</t>
  </si>
  <si>
    <t>GORI</t>
  </si>
  <si>
    <t>U301217</t>
  </si>
  <si>
    <t>U086402</t>
  </si>
  <si>
    <t>GRASSI</t>
  </si>
  <si>
    <t>U076716</t>
  </si>
  <si>
    <t>GUGLIELMI</t>
  </si>
  <si>
    <t>LINTER</t>
  </si>
  <si>
    <t>U035516</t>
  </si>
  <si>
    <t>GUIDA</t>
  </si>
  <si>
    <t>IACONO</t>
  </si>
  <si>
    <t>IANNUZZI</t>
  </si>
  <si>
    <t>KUNTSYAK</t>
  </si>
  <si>
    <t>YURIY</t>
  </si>
  <si>
    <t>LOI</t>
  </si>
  <si>
    <t>RUGGERO</t>
  </si>
  <si>
    <t>U086403</t>
  </si>
  <si>
    <t>LOREGGIAN</t>
  </si>
  <si>
    <t>U035492</t>
  </si>
  <si>
    <t>LUCCO NAVEI</t>
  </si>
  <si>
    <t>DONATO</t>
  </si>
  <si>
    <t>U014154</t>
  </si>
  <si>
    <t>LUPI</t>
  </si>
  <si>
    <t>GIACOMO</t>
  </si>
  <si>
    <t>MAIA</t>
  </si>
  <si>
    <t>U019266</t>
  </si>
  <si>
    <t>MAINI</t>
  </si>
  <si>
    <t>MARANZONI</t>
  </si>
  <si>
    <t>U086356</t>
  </si>
  <si>
    <t>MARI</t>
  </si>
  <si>
    <t>U013614</t>
  </si>
  <si>
    <t>MARIN</t>
  </si>
  <si>
    <t>U035504</t>
  </si>
  <si>
    <t>MILARDI</t>
  </si>
  <si>
    <t>MITTICA</t>
  </si>
  <si>
    <t>U015440</t>
  </si>
  <si>
    <t>MORANDO</t>
  </si>
  <si>
    <t>U013003</t>
  </si>
  <si>
    <t>MURGIA</t>
  </si>
  <si>
    <t>MUSELLA</t>
  </si>
  <si>
    <t>LIVIO</t>
  </si>
  <si>
    <t>U015936</t>
  </si>
  <si>
    <t>NARDUCCI</t>
  </si>
  <si>
    <t>U078582</t>
  </si>
  <si>
    <t>PAGAN</t>
  </si>
  <si>
    <t>U036001</t>
  </si>
  <si>
    <t>MASSIMO TOMASO</t>
  </si>
  <si>
    <t>U086390</t>
  </si>
  <si>
    <t>PELLERZI</t>
  </si>
  <si>
    <t>U086412</t>
  </si>
  <si>
    <t>PIANTONI</t>
  </si>
  <si>
    <t>U017373</t>
  </si>
  <si>
    <t>ALDO</t>
  </si>
  <si>
    <t>U017376</t>
  </si>
  <si>
    <t>MIRKO</t>
  </si>
  <si>
    <t>PIZZIGATI</t>
  </si>
  <si>
    <t>U020437</t>
  </si>
  <si>
    <t>POMPONI</t>
  </si>
  <si>
    <t>U301253</t>
  </si>
  <si>
    <t>PONZI</t>
  </si>
  <si>
    <t>U093155</t>
  </si>
  <si>
    <t>QUATTROCOLO</t>
  </si>
  <si>
    <t>RACITI</t>
  </si>
  <si>
    <t>ORAZIO</t>
  </si>
  <si>
    <t>U028466</t>
  </si>
  <si>
    <t>RAITERI</t>
  </si>
  <si>
    <t>U086401</t>
  </si>
  <si>
    <t>RAPITI</t>
  </si>
  <si>
    <t>RAVASIO</t>
  </si>
  <si>
    <t>U023764</t>
  </si>
  <si>
    <t>ROBUSCHI</t>
  </si>
  <si>
    <t>U086422</t>
  </si>
  <si>
    <t>ROCCA</t>
  </si>
  <si>
    <t>U086294</t>
  </si>
  <si>
    <t>U025470</t>
  </si>
  <si>
    <t>U086424</t>
  </si>
  <si>
    <t>ROTELLI</t>
  </si>
  <si>
    <t>MARCELLO</t>
  </si>
  <si>
    <t>U086425</t>
  </si>
  <si>
    <t>RUSSO</t>
  </si>
  <si>
    <t>U017350</t>
  </si>
  <si>
    <t>U028001</t>
  </si>
  <si>
    <t>SAMPIETRO</t>
  </si>
  <si>
    <t>LEONARDO</t>
  </si>
  <si>
    <t>U010815</t>
  </si>
  <si>
    <t>SARDO</t>
  </si>
  <si>
    <t>U301271</t>
  </si>
  <si>
    <t>SAVANI</t>
  </si>
  <si>
    <t>PIERLUIGI</t>
  </si>
  <si>
    <t>U083740</t>
  </si>
  <si>
    <t>SCACCAGLIA</t>
  </si>
  <si>
    <t>U086428</t>
  </si>
  <si>
    <t>SCARICA</t>
  </si>
  <si>
    <t>SCHEMBRI</t>
  </si>
  <si>
    <t>U301273</t>
  </si>
  <si>
    <t>SCIACOVELLI</t>
  </si>
  <si>
    <t>U035629</t>
  </si>
  <si>
    <t>SECCHIERO</t>
  </si>
  <si>
    <t>DAMIANO</t>
  </si>
  <si>
    <t>U035493</t>
  </si>
  <si>
    <t>SIMIONATO</t>
  </si>
  <si>
    <t>SOCCI</t>
  </si>
  <si>
    <t>U013066</t>
  </si>
  <si>
    <t>SOMMA</t>
  </si>
  <si>
    <t>U073732</t>
  </si>
  <si>
    <t>TEMPO</t>
  </si>
  <si>
    <t>TOLVE</t>
  </si>
  <si>
    <t>OTTAVIO</t>
  </si>
  <si>
    <t>U015149</t>
  </si>
  <si>
    <t>TONELLO</t>
  </si>
  <si>
    <t>U025659</t>
  </si>
  <si>
    <t>UBALDI</t>
  </si>
  <si>
    <t>U086391</t>
  </si>
  <si>
    <t>UBALDINI</t>
  </si>
  <si>
    <t>U077880</t>
  </si>
  <si>
    <t>VALPREDA</t>
  </si>
  <si>
    <t>VERNERO</t>
  </si>
  <si>
    <t>U019481</t>
  </si>
  <si>
    <t>VERONA</t>
  </si>
  <si>
    <t>U035457</t>
  </si>
  <si>
    <t>VINTUR</t>
  </si>
  <si>
    <t>ABEL</t>
  </si>
  <si>
    <t>VISCUSO</t>
  </si>
  <si>
    <t>U301294</t>
  </si>
  <si>
    <t>ZAMPIERI</t>
  </si>
  <si>
    <t>MARIA GABRIELLA</t>
  </si>
  <si>
    <t>U035353</t>
  </si>
  <si>
    <t>ZEN</t>
  </si>
  <si>
    <t>U035403</t>
  </si>
  <si>
    <t>ZOVKO</t>
  </si>
  <si>
    <t>JURE</t>
  </si>
  <si>
    <t>Servizi Cloud e Collaboration</t>
  </si>
  <si>
    <t>U023866</t>
  </si>
  <si>
    <t>Servizi Cloud</t>
  </si>
  <si>
    <t>U363857</t>
  </si>
  <si>
    <t>Collaboration</t>
  </si>
  <si>
    <t>CREA</t>
  </si>
  <si>
    <t>U018270</t>
  </si>
  <si>
    <t>Strumenti Gestionali SIT</t>
  </si>
  <si>
    <t>PAQUOLA</t>
  </si>
  <si>
    <t>U018942</t>
  </si>
  <si>
    <t>ANDREANI</t>
  </si>
  <si>
    <t>RINO</t>
  </si>
  <si>
    <t>U052308</t>
  </si>
  <si>
    <t>BONTEMPO</t>
  </si>
  <si>
    <t>CALTAGIRONE</t>
  </si>
  <si>
    <t>CATALANOTTO</t>
  </si>
  <si>
    <t>U015891</t>
  </si>
  <si>
    <t>CULCASI</t>
  </si>
  <si>
    <t>D'ABROSCA</t>
  </si>
  <si>
    <t>U028060</t>
  </si>
  <si>
    <t>SAMUELE</t>
  </si>
  <si>
    <t>FIORAVAZZI</t>
  </si>
  <si>
    <t>MARTA</t>
  </si>
  <si>
    <t>FORNASIER</t>
  </si>
  <si>
    <t>FRATELLO</t>
  </si>
  <si>
    <t>FUSARO</t>
  </si>
  <si>
    <t>U020735</t>
  </si>
  <si>
    <t>GIOMMONI</t>
  </si>
  <si>
    <t>GIRARDI</t>
  </si>
  <si>
    <t>KHAN</t>
  </si>
  <si>
    <t>LUISE</t>
  </si>
  <si>
    <t>MAROCCO</t>
  </si>
  <si>
    <t>MARRA</t>
  </si>
  <si>
    <t>MARSIGLIA</t>
  </si>
  <si>
    <t>MARTINETTO</t>
  </si>
  <si>
    <t>U015820</t>
  </si>
  <si>
    <t>MASULLO</t>
  </si>
  <si>
    <t>MENCHETTI</t>
  </si>
  <si>
    <t>MILANESIO</t>
  </si>
  <si>
    <t>NICOLATI</t>
  </si>
  <si>
    <t>U015889</t>
  </si>
  <si>
    <t>PECA</t>
  </si>
  <si>
    <t>U023960</t>
  </si>
  <si>
    <t>PUCCIO</t>
  </si>
  <si>
    <t>LEANDRO</t>
  </si>
  <si>
    <t>U026403</t>
  </si>
  <si>
    <t>RICHIARDI</t>
  </si>
  <si>
    <t>RUBINI</t>
  </si>
  <si>
    <t>SCIALPI</t>
  </si>
  <si>
    <t>U024477</t>
  </si>
  <si>
    <t>SUMA</t>
  </si>
  <si>
    <t>VARVELLI</t>
  </si>
  <si>
    <t>VIBRATI</t>
  </si>
  <si>
    <t>VILLARI</t>
  </si>
  <si>
    <t>VINCELLI</t>
  </si>
  <si>
    <t>VITTONE</t>
  </si>
  <si>
    <t>ZAMPINO</t>
  </si>
  <si>
    <t>COGNOME</t>
  </si>
  <si>
    <t>NOME</t>
  </si>
  <si>
    <r>
      <t xml:space="preserve">Ruolo TOBE
</t>
    </r>
    <r>
      <rPr>
        <sz val="8"/>
        <color theme="1"/>
        <rFont val="Calibri"/>
        <family val="2"/>
        <scheme val="minor"/>
      </rPr>
      <t>(revisioni recepite - aggiornamento al 01/12/15)</t>
    </r>
  </si>
  <si>
    <t>Capo Ufficio</t>
  </si>
  <si>
    <t>NOME 2</t>
  </si>
  <si>
    <t>revisione C.U.</t>
  </si>
  <si>
    <t>BARBERO EZIO</t>
  </si>
  <si>
    <t/>
  </si>
  <si>
    <t>CC CONTACT UNIT</t>
  </si>
  <si>
    <t>Cellini</t>
  </si>
  <si>
    <t>Massimo</t>
  </si>
  <si>
    <t>Novi</t>
  </si>
  <si>
    <t>Mauro</t>
  </si>
  <si>
    <t>Barbieri</t>
  </si>
  <si>
    <t>Alessandro</t>
  </si>
  <si>
    <t xml:space="preserve">CC CONTACT UNIT           </t>
  </si>
  <si>
    <t>Andreani</t>
  </si>
  <si>
    <t>Rino</t>
  </si>
  <si>
    <t>COLLABORATION</t>
  </si>
  <si>
    <t>U026614</t>
  </si>
  <si>
    <t>Roasio</t>
  </si>
  <si>
    <t>Andrea</t>
  </si>
  <si>
    <t>Scialpi</t>
  </si>
  <si>
    <t>Gregorio</t>
  </si>
  <si>
    <t>COORD.SERVIZI.PRESIDI.TLC</t>
  </si>
  <si>
    <t>Catino</t>
  </si>
  <si>
    <t>Domenico</t>
  </si>
  <si>
    <t>GIAN maria</t>
  </si>
  <si>
    <t>U085970</t>
  </si>
  <si>
    <t>LUCARINI</t>
  </si>
  <si>
    <t>DANIO</t>
  </si>
  <si>
    <t>Pepi</t>
  </si>
  <si>
    <t>Giovanni</t>
  </si>
  <si>
    <t>U024374</t>
  </si>
  <si>
    <t>PEROTTI</t>
  </si>
  <si>
    <t>U332482</t>
  </si>
  <si>
    <t>MARIA</t>
  </si>
  <si>
    <t>Stucchi</t>
  </si>
  <si>
    <t>Luigi</t>
  </si>
  <si>
    <t>U032482</t>
  </si>
  <si>
    <t>ZUGNI</t>
  </si>
  <si>
    <t>PROG TELECOMUNICAZIONI</t>
  </si>
  <si>
    <t>Doglio</t>
  </si>
  <si>
    <t>Fabio</t>
  </si>
  <si>
    <t>SUPPORTO TELECOMUNICAZIONI</t>
  </si>
  <si>
    <t>Coste</t>
  </si>
  <si>
    <t>Enrico</t>
  </si>
  <si>
    <t>Maccario</t>
  </si>
  <si>
    <t>Bruno</t>
  </si>
  <si>
    <t>Ventra</t>
  </si>
  <si>
    <t>Nicola</t>
  </si>
  <si>
    <t>BATTILANI ALESSANDRO</t>
  </si>
  <si>
    <t>CONTROLLO SERVIZI CRITICI</t>
  </si>
  <si>
    <t>Piantoni</t>
  </si>
  <si>
    <t>Luciano</t>
  </si>
  <si>
    <t>GESTIONE AMBIENTI DI TEST</t>
  </si>
  <si>
    <t>U035259</t>
  </si>
  <si>
    <t>LINCETTO</t>
  </si>
  <si>
    <t>GESTIONE OPERATIVA PR</t>
  </si>
  <si>
    <t>Loi</t>
  </si>
  <si>
    <t>Ruggero</t>
  </si>
  <si>
    <t>Maranzoni</t>
  </si>
  <si>
    <t>Paolo</t>
  </si>
  <si>
    <t>Pisani MASSAMORMILE</t>
  </si>
  <si>
    <t>Robuschi</t>
  </si>
  <si>
    <t>Marco</t>
  </si>
  <si>
    <t>Rossetti</t>
  </si>
  <si>
    <t>GESTIONE OPERATIVA TO</t>
  </si>
  <si>
    <t>Bernardelli</t>
  </si>
  <si>
    <t>Claudio</t>
  </si>
  <si>
    <t>Biscuola</t>
  </si>
  <si>
    <t>Diego</t>
  </si>
  <si>
    <t>Bocchio</t>
  </si>
  <si>
    <t>Falbo</t>
  </si>
  <si>
    <t>Francesco</t>
  </si>
  <si>
    <t>Giordano</t>
  </si>
  <si>
    <t>Maia</t>
  </si>
  <si>
    <t>Mari</t>
  </si>
  <si>
    <t>Valter</t>
  </si>
  <si>
    <t>Musella</t>
  </si>
  <si>
    <t>Livio</t>
  </si>
  <si>
    <t>U011624</t>
  </si>
  <si>
    <t>PUGLIESE</t>
  </si>
  <si>
    <t>Ravasio</t>
  </si>
  <si>
    <t>Fabrizio</t>
  </si>
  <si>
    <t>Romeo</t>
  </si>
  <si>
    <t>Gabriele</t>
  </si>
  <si>
    <t>Salvini</t>
  </si>
  <si>
    <t>Luca</t>
  </si>
  <si>
    <t>Sampietro</t>
  </si>
  <si>
    <t>Leonardo</t>
  </si>
  <si>
    <t>Socci</t>
  </si>
  <si>
    <t>Alberto</t>
  </si>
  <si>
    <t>Tolve</t>
  </si>
  <si>
    <t>Ottavio</t>
  </si>
  <si>
    <t>Traficante</t>
  </si>
  <si>
    <t>Michele</t>
  </si>
  <si>
    <t>Vernero</t>
  </si>
  <si>
    <t>METODI E PROCESSI OPERATIVI DI SCHEDULAZ</t>
  </si>
  <si>
    <t>SCHEDULAZIONI</t>
  </si>
  <si>
    <t>U016425</t>
  </si>
  <si>
    <t>BOTTONI</t>
  </si>
  <si>
    <t>U011816</t>
  </si>
  <si>
    <t>CARPIGNANO</t>
  </si>
  <si>
    <t>U016914</t>
  </si>
  <si>
    <t>CASSANDRO</t>
  </si>
  <si>
    <t>Grassi</t>
  </si>
  <si>
    <t>Giuliano</t>
  </si>
  <si>
    <t>Mittica</t>
  </si>
  <si>
    <t>Giuseppe</t>
  </si>
  <si>
    <t>Monticone</t>
  </si>
  <si>
    <t>Flavio</t>
  </si>
  <si>
    <t>U014032</t>
  </si>
  <si>
    <t>Pezza</t>
  </si>
  <si>
    <t>Piron</t>
  </si>
  <si>
    <t>Somma</t>
  </si>
  <si>
    <t>Alfredo</t>
  </si>
  <si>
    <t>Ubaldini</t>
  </si>
  <si>
    <t>U086296</t>
  </si>
  <si>
    <t>BIACCA</t>
  </si>
  <si>
    <t>BONETTO ROBERTO</t>
  </si>
  <si>
    <t>FLUSSI TRASMISSIVI</t>
  </si>
  <si>
    <t>U086285</t>
  </si>
  <si>
    <t>LANZI</t>
  </si>
  <si>
    <t>U086415</t>
  </si>
  <si>
    <t>PESCI</t>
  </si>
  <si>
    <t>U086343</t>
  </si>
  <si>
    <t>ZACCARINI</t>
  </si>
  <si>
    <t>U086219</t>
  </si>
  <si>
    <t>ZAMMARANO</t>
  </si>
  <si>
    <t>U086320</t>
  </si>
  <si>
    <t>BORTOLAMEOTTI</t>
  </si>
  <si>
    <t>PHISICAL PLANNING</t>
  </si>
  <si>
    <t>Franco</t>
  </si>
  <si>
    <t>Gianpaolo</t>
  </si>
  <si>
    <t>Gandolfi</t>
  </si>
  <si>
    <t>Antonio</t>
  </si>
  <si>
    <t>Giovanelli</t>
  </si>
  <si>
    <t>Gian PAOLO</t>
  </si>
  <si>
    <t>Livigni</t>
  </si>
  <si>
    <t>Eugenio</t>
  </si>
  <si>
    <t>Patelli</t>
  </si>
  <si>
    <t>Roberto</t>
  </si>
  <si>
    <t>Soavi</t>
  </si>
  <si>
    <t>Vannoni</t>
  </si>
  <si>
    <t>Aiello</t>
  </si>
  <si>
    <t>SUPPORTO TECNICO MAINFRAME</t>
  </si>
  <si>
    <t>Cena</t>
  </si>
  <si>
    <t>De ROSA</t>
  </si>
  <si>
    <t>Davide</t>
  </si>
  <si>
    <t>Del RE</t>
  </si>
  <si>
    <t>Tommaso</t>
  </si>
  <si>
    <t>Riccardo</t>
  </si>
  <si>
    <t>Di ROMA</t>
  </si>
  <si>
    <t>Enzo</t>
  </si>
  <si>
    <t>Fontanot</t>
  </si>
  <si>
    <t>Garavaglia</t>
  </si>
  <si>
    <t>U014161</t>
  </si>
  <si>
    <t>Gorlato</t>
  </si>
  <si>
    <t>Ennio</t>
  </si>
  <si>
    <t>Orlando</t>
  </si>
  <si>
    <t>Moschelli</t>
  </si>
  <si>
    <t>Piazza</t>
  </si>
  <si>
    <t>Recchioni</t>
  </si>
  <si>
    <t>Ripamonti</t>
  </si>
  <si>
    <t>Sardo</t>
  </si>
  <si>
    <t>SUPPORTO TECNICO OPEN APPLICATION E SERV</t>
  </si>
  <si>
    <t>Chiavettieri</t>
  </si>
  <si>
    <t>Giacalone</t>
  </si>
  <si>
    <t>Grazioli</t>
  </si>
  <si>
    <t>Carlo</t>
  </si>
  <si>
    <t>U029797</t>
  </si>
  <si>
    <t>MATTARELLA</t>
  </si>
  <si>
    <t>SUPPORTO TECNICO OPEN DB-DC</t>
  </si>
  <si>
    <t>Ollari</t>
  </si>
  <si>
    <t>Christian</t>
  </si>
  <si>
    <t>SUPPORTO TECNICO OPEN SISTEMI OPERATIVI</t>
  </si>
  <si>
    <t>Fraudatario</t>
  </si>
  <si>
    <t>Biagio</t>
  </si>
  <si>
    <t>Galassi</t>
  </si>
  <si>
    <t>(DSI)</t>
  </si>
  <si>
    <t>Garruto</t>
  </si>
  <si>
    <t>TUNING E PERFORMANCE</t>
  </si>
  <si>
    <t>Corti</t>
  </si>
  <si>
    <t>Mezzofranco</t>
  </si>
  <si>
    <t>Trombotto</t>
  </si>
  <si>
    <t>CARPI MONICA</t>
  </si>
  <si>
    <t>CHANGE MANAGEMENT</t>
  </si>
  <si>
    <t>Cantarelli</t>
  </si>
  <si>
    <t>Gian LUCA</t>
  </si>
  <si>
    <t>Ceci</t>
  </si>
  <si>
    <t>De siena</t>
  </si>
  <si>
    <t>Rochy</t>
  </si>
  <si>
    <t>U086282</t>
  </si>
  <si>
    <t>GATTI</t>
  </si>
  <si>
    <t>Lanaro</t>
  </si>
  <si>
    <t>Mazzieri</t>
  </si>
  <si>
    <t>Serena</t>
  </si>
  <si>
    <t>Stecconi</t>
  </si>
  <si>
    <t>Giorgio</t>
  </si>
  <si>
    <t>Villa</t>
  </si>
  <si>
    <t>Sergio</t>
  </si>
  <si>
    <t>AGNESE</t>
  </si>
  <si>
    <t>PROCEDURE OPERATIVE SIT</t>
  </si>
  <si>
    <t>LIDIA</t>
  </si>
  <si>
    <t>Cangemi</t>
  </si>
  <si>
    <t>DE cesare</t>
  </si>
  <si>
    <t>franco</t>
  </si>
  <si>
    <t>Lietz</t>
  </si>
  <si>
    <t>U022920</t>
  </si>
  <si>
    <t>Sbrana</t>
  </si>
  <si>
    <t>RICHIESTE SERV. INFRASTUTTURALI</t>
  </si>
  <si>
    <t>Canuto</t>
  </si>
  <si>
    <t>Danilo</t>
  </si>
  <si>
    <t>U086332</t>
  </si>
  <si>
    <t>CANZI</t>
  </si>
  <si>
    <t>Carena</t>
  </si>
  <si>
    <t>Liliana</t>
  </si>
  <si>
    <t>U023779</t>
  </si>
  <si>
    <t>CATTI</t>
  </si>
  <si>
    <t>U304472</t>
  </si>
  <si>
    <t>DE marcellis</t>
  </si>
  <si>
    <t>silvana</t>
  </si>
  <si>
    <t>U086382</t>
  </si>
  <si>
    <t>GAIBAZZI</t>
  </si>
  <si>
    <t>U085954</t>
  </si>
  <si>
    <t>Randazzo</t>
  </si>
  <si>
    <t>Salvatore</t>
  </si>
  <si>
    <t>Revelli</t>
  </si>
  <si>
    <t>Varotto</t>
  </si>
  <si>
    <t>Zuccone</t>
  </si>
  <si>
    <t>U086340</t>
  </si>
  <si>
    <t>Arici</t>
  </si>
  <si>
    <t>Aldo</t>
  </si>
  <si>
    <t>STRUMENTI GESTIONALI SIT</t>
  </si>
  <si>
    <t>U086324</t>
  </si>
  <si>
    <t>CARTOLANO</t>
  </si>
  <si>
    <t>U086112</t>
  </si>
  <si>
    <t>COMI</t>
  </si>
  <si>
    <t>U086370</t>
  </si>
  <si>
    <t>DAMILANO</t>
  </si>
  <si>
    <t>U018265</t>
  </si>
  <si>
    <t>DAMONTE</t>
  </si>
  <si>
    <t>DE rosa</t>
  </si>
  <si>
    <t>massimo</t>
  </si>
  <si>
    <t>U301195</t>
  </si>
  <si>
    <t>DELLA torre</t>
  </si>
  <si>
    <t>DI meo</t>
  </si>
  <si>
    <t>GIACONE griva</t>
  </si>
  <si>
    <t>luciano</t>
  </si>
  <si>
    <t>Lupo</t>
  </si>
  <si>
    <t>Lorena</t>
  </si>
  <si>
    <t>U086347</t>
  </si>
  <si>
    <t>VALLA</t>
  </si>
  <si>
    <t>COLASANTO ANTONIO</t>
  </si>
  <si>
    <t>Fasano</t>
  </si>
  <si>
    <t>CC APPLICATION</t>
  </si>
  <si>
    <t>Folli</t>
  </si>
  <si>
    <t>Marchisio</t>
  </si>
  <si>
    <t>Alloisio</t>
  </si>
  <si>
    <t>Piermario</t>
  </si>
  <si>
    <t>CC DATABASE</t>
  </si>
  <si>
    <t>Parodi</t>
  </si>
  <si>
    <t>CC DC SW RETE</t>
  </si>
  <si>
    <t>Chiantello</t>
  </si>
  <si>
    <t>Vlachodimos</t>
  </si>
  <si>
    <t>Ioannis</t>
  </si>
  <si>
    <t>CC SERVER FARM</t>
  </si>
  <si>
    <t>Buccigrossi</t>
  </si>
  <si>
    <t>Mario</t>
  </si>
  <si>
    <t>Carotti</t>
  </si>
  <si>
    <t>D'Apice</t>
  </si>
  <si>
    <t>Pillon</t>
  </si>
  <si>
    <t>U086199</t>
  </si>
  <si>
    <t>DR E BC</t>
  </si>
  <si>
    <t>DELLA ghezza</t>
  </si>
  <si>
    <t>tommaso</t>
  </si>
  <si>
    <t>U301207</t>
  </si>
  <si>
    <t>FEGATELLI</t>
  </si>
  <si>
    <t>Panarese</t>
  </si>
  <si>
    <t>Dario</t>
  </si>
  <si>
    <t>U086193</t>
  </si>
  <si>
    <t>BAREZZI</t>
  </si>
  <si>
    <t>DWH BI E BANCHE ESTERE</t>
  </si>
  <si>
    <t>Federici</t>
  </si>
  <si>
    <t>Enea</t>
  </si>
  <si>
    <t>U026608</t>
  </si>
  <si>
    <t>GIROLA</t>
  </si>
  <si>
    <t>Lusardi</t>
  </si>
  <si>
    <t>PIANIFICAZIONE E OTTIMIZZAZIONE RISORSE</t>
  </si>
  <si>
    <t>DE martino</t>
  </si>
  <si>
    <t>Paparo</t>
  </si>
  <si>
    <t>STORAGE E DATA MANAGEMENT</t>
  </si>
  <si>
    <t>DELLI quadri</t>
  </si>
  <si>
    <t>Parisi</t>
  </si>
  <si>
    <t>Gianmario</t>
  </si>
  <si>
    <t>PECCHIA MAURIZIO</t>
  </si>
  <si>
    <t>Costantino</t>
  </si>
  <si>
    <t>Gianluca</t>
  </si>
  <si>
    <t>ARCH.DIST. EURIZON CAPITAL</t>
  </si>
  <si>
    <t>Maria</t>
  </si>
  <si>
    <t>Acqua</t>
  </si>
  <si>
    <t>Tiziano</t>
  </si>
  <si>
    <t>ARCH.DIST. FIDEURAM E POLO ASS.</t>
  </si>
  <si>
    <t>Adriani</t>
  </si>
  <si>
    <t>Josemanuel</t>
  </si>
  <si>
    <t>CANALI de rossi</t>
  </si>
  <si>
    <t>giovanni</t>
  </si>
  <si>
    <t>Cancellario</t>
  </si>
  <si>
    <t>Chiovini</t>
  </si>
  <si>
    <t>Federico</t>
  </si>
  <si>
    <t>Dal BON</t>
  </si>
  <si>
    <t>Manganiello</t>
  </si>
  <si>
    <t>Maurizio</t>
  </si>
  <si>
    <t>Matta</t>
  </si>
  <si>
    <t>Mattei</t>
  </si>
  <si>
    <t>Vittorio</t>
  </si>
  <si>
    <t>U012492</t>
  </si>
  <si>
    <t>GENNARO</t>
  </si>
  <si>
    <t>ARCH.DIST.BANCA IMI, RISK, TESORERIA</t>
  </si>
  <si>
    <t>Marchesi</t>
  </si>
  <si>
    <t>U086185</t>
  </si>
  <si>
    <t>Adamo</t>
  </si>
  <si>
    <t>CC ISERIES</t>
  </si>
  <si>
    <t>Beccato</t>
  </si>
  <si>
    <t>Bianchi</t>
  </si>
  <si>
    <t>Umberto</t>
  </si>
  <si>
    <t>Biffi</t>
  </si>
  <si>
    <t>De FRANCESCO</t>
  </si>
  <si>
    <t>Ferradini</t>
  </si>
  <si>
    <t>Guzman</t>
  </si>
  <si>
    <t>Nadia</t>
  </si>
  <si>
    <t>Marventano</t>
  </si>
  <si>
    <t>Walter</t>
  </si>
  <si>
    <t>Querze'</t>
  </si>
  <si>
    <t>GEST.ARCH.BANCA IMI,RISK,TESORERIA</t>
  </si>
  <si>
    <t>OSCAR</t>
  </si>
  <si>
    <t>Azzini</t>
  </si>
  <si>
    <t>Giambattista</t>
  </si>
  <si>
    <t>SEVESO GIANLUIGI</t>
  </si>
  <si>
    <t>CC INFR. MICROSOFT</t>
  </si>
  <si>
    <t>Buzzi</t>
  </si>
  <si>
    <t>Carrabs</t>
  </si>
  <si>
    <t>Catalano</t>
  </si>
  <si>
    <t>Lorenzo</t>
  </si>
  <si>
    <t>Cerrato</t>
  </si>
  <si>
    <t>Chiara</t>
  </si>
  <si>
    <t>Cinquesanti</t>
  </si>
  <si>
    <t>Ferruccio</t>
  </si>
  <si>
    <t>U328881</t>
  </si>
  <si>
    <t>LUCCO</t>
  </si>
  <si>
    <t>BORLERA</t>
  </si>
  <si>
    <t>U027956</t>
  </si>
  <si>
    <t>VALENTE</t>
  </si>
  <si>
    <t>GESTIONE PROGETTI E MANUTENZIONE</t>
  </si>
  <si>
    <t>Bonsignore</t>
  </si>
  <si>
    <t>Veronica</t>
  </si>
  <si>
    <t>Colombo</t>
  </si>
  <si>
    <t>U085933</t>
  </si>
  <si>
    <t>DE VECCHI</t>
  </si>
  <si>
    <t>AGOSTINO</t>
  </si>
  <si>
    <t>CESARE</t>
  </si>
  <si>
    <t>Ragusa</t>
  </si>
  <si>
    <t>U083601</t>
  </si>
  <si>
    <t>RICCIOTTI</t>
  </si>
  <si>
    <t>GST. IMAC E BENI ICT</t>
  </si>
  <si>
    <t>U086319</t>
  </si>
  <si>
    <t>U085936</t>
  </si>
  <si>
    <t>FURLOTTI</t>
  </si>
  <si>
    <t>PRESIDI TERRITORIALI</t>
  </si>
  <si>
    <t>U015311</t>
  </si>
  <si>
    <t>CAPIZZI</t>
  </si>
  <si>
    <t>GUGLIELMO</t>
  </si>
  <si>
    <t>U012129</t>
  </si>
  <si>
    <t>FONTANINI</t>
  </si>
  <si>
    <t>Lavagetto</t>
  </si>
  <si>
    <t>Maero</t>
  </si>
  <si>
    <t>Tiziana</t>
  </si>
  <si>
    <t>Marzaduri</t>
  </si>
  <si>
    <t>Palazzo</t>
  </si>
  <si>
    <t>Orietta</t>
  </si>
  <si>
    <t>Pastorino</t>
  </si>
  <si>
    <t>U009167</t>
  </si>
  <si>
    <t>ROLLINO</t>
  </si>
  <si>
    <t>SIST. BASE E SOL. SPECIALISTICHE</t>
  </si>
  <si>
    <t>ADRIANO</t>
  </si>
  <si>
    <t>Chojwa</t>
  </si>
  <si>
    <t>Fiorillo</t>
  </si>
  <si>
    <t>Inverardi</t>
  </si>
  <si>
    <t>Iacopo</t>
  </si>
  <si>
    <t>Orlandini</t>
  </si>
  <si>
    <t>Ivo</t>
  </si>
  <si>
    <t>Belvisi</t>
  </si>
  <si>
    <t>SISTEMI DI AUTOMAZIONE</t>
  </si>
  <si>
    <t>Castellin</t>
  </si>
  <si>
    <t>Gionata</t>
  </si>
  <si>
    <t>Cheli</t>
  </si>
  <si>
    <t>Dianin</t>
  </si>
  <si>
    <t>Silvia</t>
  </si>
  <si>
    <t>U035851</t>
  </si>
  <si>
    <t>SAVIOLI</t>
  </si>
  <si>
    <t>GLORIA</t>
  </si>
  <si>
    <t>Vitale</t>
  </si>
  <si>
    <t>SUPPORTO SPECIALISTICO E SWD</t>
  </si>
  <si>
    <t>Aloi</t>
  </si>
  <si>
    <t>Claudia</t>
  </si>
  <si>
    <t>Cifariello</t>
  </si>
  <si>
    <t>Stefano</t>
  </si>
  <si>
    <t>Colaizzi</t>
  </si>
  <si>
    <t>Mariella</t>
  </si>
  <si>
    <t>Cosco</t>
  </si>
  <si>
    <t>Di BENNARDO</t>
  </si>
  <si>
    <t>GIAN</t>
  </si>
  <si>
    <t>Esposito</t>
  </si>
  <si>
    <t>Lettieri</t>
  </si>
  <si>
    <t>U301235</t>
  </si>
  <si>
    <t>MERLOTTI</t>
  </si>
  <si>
    <t>GUISCARDO</t>
  </si>
  <si>
    <t>Napolitano</t>
  </si>
  <si>
    <t>Vincenzo</t>
  </si>
  <si>
    <t>Pellegrino</t>
  </si>
  <si>
    <t>Simone</t>
  </si>
  <si>
    <t>U301611</t>
  </si>
  <si>
    <t>Pirolli</t>
  </si>
  <si>
    <t>Rippa</t>
  </si>
  <si>
    <t>Simonetti</t>
  </si>
  <si>
    <t>U095464</t>
  </si>
  <si>
    <t>FOGLIA</t>
  </si>
  <si>
    <t>STAFF MISEFERI</t>
  </si>
  <si>
    <t>SINTESI RISULTATI - RUOLI AS-IS</t>
  </si>
  <si>
    <t>SINTESI RISULTATI - RUOLI TO BE</t>
  </si>
  <si>
    <t>Vai a SINTESI RISULTATI TO-BE</t>
  </si>
  <si>
    <t>Vai a SINTESI RISULTATI AS-IS</t>
  </si>
  <si>
    <t>Count of Cognome</t>
  </si>
  <si>
    <t>Architetture, Soluzioni Infrastrutturali</t>
  </si>
  <si>
    <t>DevOps &amp; PaaS</t>
  </si>
  <si>
    <t>Ruolo Prevalente in Evoluzione</t>
  </si>
  <si>
    <t>Ruoli "OLD"</t>
  </si>
  <si>
    <t xml:space="preserve">API Specialist </t>
  </si>
  <si>
    <r>
      <rPr>
        <b/>
        <sz val="11"/>
        <color theme="1"/>
        <rFont val="Calibri"/>
        <family val="2"/>
        <scheme val="minor"/>
      </rPr>
      <t xml:space="preserve">Nota: </t>
    </r>
    <r>
      <rPr>
        <i/>
        <sz val="11"/>
        <color theme="1"/>
        <rFont val="Calibri"/>
        <family val="2"/>
        <scheme val="minor"/>
      </rPr>
      <t>In Azzuro i ruoli ipotizzati su cui ci si aspettano esigenze di iniezione di risorse dall'esterno</t>
    </r>
  </si>
  <si>
    <t>Artificial Intelligence Specialist</t>
  </si>
  <si>
    <t>Automation Specialist</t>
  </si>
  <si>
    <t>IT Operations</t>
  </si>
  <si>
    <t>Big Data Solution Architect</t>
  </si>
  <si>
    <t>Blockchain Specialist</t>
  </si>
  <si>
    <t>Capacity &amp; Availability Specialist</t>
  </si>
  <si>
    <t>Client Relationship Manager</t>
  </si>
  <si>
    <t>Relationship Management</t>
  </si>
  <si>
    <t>Cloud Mgmt Platform &amp; Contract Expert</t>
  </si>
  <si>
    <t>Cloud</t>
  </si>
  <si>
    <t>Project  Manager</t>
  </si>
  <si>
    <t>Cloud Service Broker specialist</t>
  </si>
  <si>
    <t>Collaboration Specialist</t>
  </si>
  <si>
    <t>Delivery manager</t>
  </si>
  <si>
    <t>Demand Manager</t>
  </si>
  <si>
    <t>Infrastructure Management</t>
  </si>
  <si>
    <t>DevOps Specialist</t>
  </si>
  <si>
    <t>DR &amp; Business Continuity Specialist</t>
  </si>
  <si>
    <t>Infastructure Finance Expert</t>
  </si>
  <si>
    <t>Infrastructure Architect</t>
  </si>
  <si>
    <t xml:space="preserve">Infrastructure Data Scientist </t>
  </si>
  <si>
    <t>Integration Platform Specialist</t>
  </si>
  <si>
    <t>IoT Specialist</t>
  </si>
  <si>
    <t>IT Supplier Relationship Manager</t>
  </si>
  <si>
    <t>Knowledge Management specialist</t>
  </si>
  <si>
    <t>Monitoring Infrastructure engineer</t>
  </si>
  <si>
    <t>PaaS &amp; Container Specialist</t>
  </si>
  <si>
    <t>Private &amp; Public Cloud Infrastructure Architect</t>
  </si>
  <si>
    <t>Problem Manager</t>
  </si>
  <si>
    <t>Program Manager</t>
  </si>
  <si>
    <t xml:space="preserve">Project Manager </t>
  </si>
  <si>
    <t>Security Infrastructure Specialist</t>
  </si>
  <si>
    <t>Service Catalog Manager</t>
  </si>
  <si>
    <t>Service Owner</t>
  </si>
  <si>
    <t xml:space="preserve">Software Defined Data Center Specialist </t>
  </si>
  <si>
    <t>Software Defined Network  Specialist</t>
  </si>
  <si>
    <t>Software Defined Storage Specialist</t>
  </si>
  <si>
    <t>Technology Innovation Expert</t>
  </si>
  <si>
    <t>Test Automation specialist</t>
  </si>
  <si>
    <t>Transition Specialist</t>
  </si>
  <si>
    <t>--- CONFERMATO AS IS ---</t>
  </si>
  <si>
    <t>Glossario Nuovi Ruoli</t>
  </si>
  <si>
    <t>Totale risorse 2015</t>
  </si>
  <si>
    <t>Count of Matricola</t>
  </si>
  <si>
    <t>Totale risorse uscite</t>
  </si>
  <si>
    <t>8 Acquisizioni</t>
  </si>
  <si>
    <t>Totale risorse 2015 nette</t>
  </si>
  <si>
    <t>194 Neoassunti</t>
  </si>
  <si>
    <t>Totale risorse Maggio 2018</t>
  </si>
  <si>
    <t>Ingressi netti SIT 2015-2018</t>
  </si>
  <si>
    <t>ATTIVITA'</t>
  </si>
  <si>
    <t>DI</t>
  </si>
  <si>
    <t>MAIO</t>
  </si>
  <si>
    <t>SERGIU</t>
  </si>
  <si>
    <t>ANDREI</t>
  </si>
  <si>
    <t>DE</t>
  </si>
  <si>
    <t>MARTINO</t>
  </si>
  <si>
    <t>GIROLAMO</t>
  </si>
  <si>
    <t>GEORGE</t>
  </si>
  <si>
    <t>ANDREAS</t>
  </si>
  <si>
    <t>TOMASO</t>
  </si>
  <si>
    <t>DELLA</t>
  </si>
  <si>
    <t>BELLA</t>
  </si>
  <si>
    <t>DENIS</t>
  </si>
  <si>
    <t>NAVEI</t>
  </si>
  <si>
    <t>NARDO</t>
  </si>
  <si>
    <t>PIER</t>
  </si>
  <si>
    <t>STASO</t>
  </si>
  <si>
    <t>SANTIS</t>
  </si>
  <si>
    <t>ATANASI</t>
  </si>
  <si>
    <t>GIU</t>
  </si>
  <si>
    <t>LINDEMANN</t>
  </si>
  <si>
    <t>BENNARDO</t>
  </si>
  <si>
    <t>BONITO</t>
  </si>
  <si>
    <t>BERNARDI</t>
  </si>
  <si>
    <t>ENEA</t>
  </si>
  <si>
    <t>DAL</t>
  </si>
  <si>
    <t>BON</t>
  </si>
  <si>
    <t>CANALI</t>
  </si>
  <si>
    <t>ROSSI</t>
  </si>
  <si>
    <t>VITTORIO</t>
  </si>
  <si>
    <t>CANNATA</t>
  </si>
  <si>
    <t>GALANTE</t>
  </si>
  <si>
    <t>AUGUSTO</t>
  </si>
  <si>
    <t>DEL</t>
  </si>
  <si>
    <t>VECCHIO</t>
  </si>
  <si>
    <t>RAGIONE</t>
  </si>
  <si>
    <t>BIASE</t>
  </si>
  <si>
    <t>GUZMAN</t>
  </si>
  <si>
    <t>LISIO</t>
  </si>
  <si>
    <t>NICOLO'</t>
  </si>
  <si>
    <t>SIENA</t>
  </si>
  <si>
    <t>ROSA</t>
  </si>
  <si>
    <t>GIACONE</t>
  </si>
  <si>
    <t>GRIVA</t>
  </si>
  <si>
    <t>SHARJEEL</t>
  </si>
  <si>
    <t>HAYAT</t>
  </si>
  <si>
    <t>YOSHIKA</t>
  </si>
  <si>
    <t>KANA</t>
  </si>
  <si>
    <t>ZEBAZE</t>
  </si>
  <si>
    <t>JEAN</t>
  </si>
  <si>
    <t>PIERRE</t>
  </si>
  <si>
    <t>LA</t>
  </si>
  <si>
    <t>STELLA</t>
  </si>
  <si>
    <t>SIMONE COSTANTIN</t>
  </si>
  <si>
    <t xml:space="preserve"> </t>
  </si>
  <si>
    <t>N/A</t>
  </si>
  <si>
    <t>Etichette di riga</t>
  </si>
  <si>
    <t>Totale complessivo</t>
  </si>
  <si>
    <t>(vuoto)</t>
  </si>
  <si>
    <t xml:space="preserve">Infrastructure Data Analyst/Scientist </t>
  </si>
  <si>
    <t>Test Automation Specialist</t>
  </si>
  <si>
    <t>Scheduling Specialist</t>
  </si>
  <si>
    <t xml:space="preserve">AGILE Specialist </t>
  </si>
  <si>
    <t xml:space="preserve">AGILE Scrum Specialist </t>
  </si>
  <si>
    <t>#N/D</t>
  </si>
  <si>
    <t xml:space="preserve">Mobile Specialist </t>
  </si>
  <si>
    <t>Open Source Software Specialist</t>
  </si>
  <si>
    <t xml:space="preserve">Performance Test Specialist </t>
  </si>
  <si>
    <t xml:space="preserve">SKIL Family </t>
  </si>
  <si>
    <t>tabella di appoggio</t>
  </si>
  <si>
    <t>Famiglia Mestieri</t>
  </si>
  <si>
    <t xml:space="preserve">Ruoli Tradizionali
in evoluzione </t>
  </si>
  <si>
    <t>CLOUD INFRASTRUCTURE</t>
  </si>
  <si>
    <t>SOFTWARE DEFINED INFRASTRUCTURE</t>
  </si>
  <si>
    <t>INFRASTRUCTURE TRANSFORMATION</t>
  </si>
  <si>
    <t>INFRASTRUCTURE FINANTIAL &amp; CONTRACTS</t>
  </si>
  <si>
    <t>INFRASTRUCTURE MONITORING</t>
  </si>
  <si>
    <t>CAPACITY &amp; AVAILABILITY  MGMT</t>
  </si>
  <si>
    <t>DEVOPS INFRASTRUCTURE</t>
  </si>
  <si>
    <t>DATA INFRASTRUCTURE</t>
  </si>
  <si>
    <t xml:space="preserve">DR&amp;BC INFRASTRUCTURE </t>
  </si>
  <si>
    <t>INFRASTRUCTURE for INNOVATION TECHONLOGY</t>
  </si>
  <si>
    <t>DATACENTER INFRASTRUCTURE</t>
  </si>
  <si>
    <t>NETWORK INFRASTRUCTURE</t>
  </si>
  <si>
    <t>END USER INFRASTRUCTURE</t>
  </si>
  <si>
    <t>SECURITY INFRASTRUCTURE</t>
  </si>
  <si>
    <t>non in ambito SIT</t>
  </si>
  <si>
    <t>Data Solution Architect</t>
  </si>
  <si>
    <t>COLLABORATION SOLUTION</t>
  </si>
  <si>
    <t>CONTACT CENTER SOLUTION</t>
  </si>
  <si>
    <t>DATA COMUNICATION</t>
  </si>
  <si>
    <t>Data Communication Specialist</t>
  </si>
  <si>
    <t>INFRASTRUCTURE SERVICE MANAGEMENT</t>
  </si>
  <si>
    <t>Cloud Service Broker Specialist</t>
  </si>
  <si>
    <t>End User IMAC Specialist</t>
  </si>
  <si>
    <t xml:space="preserve">End User System Engineer </t>
  </si>
  <si>
    <t>Data Center System Engineer</t>
  </si>
  <si>
    <t>Network System Engineer</t>
  </si>
  <si>
    <t xml:space="preserve">Strategico per il Piano Industriale
Nuovi Mestieri </t>
  </si>
  <si>
    <t>End User Operator</t>
  </si>
  <si>
    <t>Build and Deploy Engineer</t>
  </si>
  <si>
    <t>Build and Deploy Specialist</t>
  </si>
  <si>
    <t>Monitoring Infrastructure Specialist</t>
  </si>
  <si>
    <t>Data Communication Engineer</t>
  </si>
  <si>
    <t>Infrastructure Referent Application Transformation</t>
  </si>
  <si>
    <t>Functional Testing Engineer</t>
  </si>
  <si>
    <t>DevOps Operator</t>
  </si>
  <si>
    <t>Delivery Manager</t>
  </si>
  <si>
    <t xml:space="preserve">Data Center Operator </t>
  </si>
  <si>
    <t>DR &amp; Business Continuity Engineer</t>
  </si>
  <si>
    <t>Infrastructure Financial Specialist</t>
  </si>
  <si>
    <t>Infrastructure Contract Specialist</t>
  </si>
  <si>
    <t>ITO Process Specialist</t>
  </si>
  <si>
    <t>Program &amp; Transition Manager</t>
  </si>
  <si>
    <t>Data Base Engineer</t>
  </si>
  <si>
    <t>Data Center System Specialist</t>
  </si>
  <si>
    <t>Data Management Specialist</t>
  </si>
  <si>
    <t xml:space="preserve">Ruoli Strategici per il Piano Industriale
Nuovi Mestieri </t>
  </si>
  <si>
    <t>SKILL Roles</t>
  </si>
  <si>
    <t>Ruoli Tradizionali in evoluzione</t>
  </si>
  <si>
    <t>Ruoli Strategici per il Piano Industriale e Nuovi Mestieri</t>
  </si>
  <si>
    <t>X</t>
  </si>
  <si>
    <t>NA</t>
  </si>
  <si>
    <t>INFRASTRUCTURE AUTOMATION AND CONFIGURATION</t>
  </si>
  <si>
    <t>Network Automation Specialist</t>
  </si>
  <si>
    <t>DataCenter Automation Specialist</t>
  </si>
  <si>
    <t>End User Automation Specialist</t>
  </si>
  <si>
    <t>Configuration Specialist</t>
  </si>
  <si>
    <t>Infrastructure Solution Architect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</si>
</sst>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sz val="10"/>
      <name val="Arial"/>
      <family val="2"/>
    </font>
    <font>
      <sz val="11"/>
      <name val="Tahoma"/>
      <family val="2"/>
    </font>
    <font>
      <i/>
      <sz val="11"/>
      <color theme="1"/>
      <name val="Calibri"/>
      <family val="2"/>
      <scheme val="minor"/>
    </font>
    <font>
      <b/>
      <sz val="16"/>
      <color theme="0"/>
      <name val="Calibri"/>
      <family val="2"/>
      <scheme val="minor"/>
    </font>
    <font>
      <b/>
      <sz val="10"/>
      <color theme="4" tint="-0.499984740745262"/>
      <name val="Calibri"/>
      <family val="2"/>
      <scheme val="minor"/>
    </font>
    <font>
      <sz val="8"/>
      <color rgb="FF0070C0"/>
      <name val="Calibri"/>
      <family val="2"/>
      <scheme val="minor"/>
    </font>
    <font>
      <u/>
      <sz val="11"/>
      <color theme="10"/>
      <name val="Calibri"/>
      <family val="2"/>
      <scheme val="minor"/>
    </font>
    <font>
      <sz val="9"/>
      <color theme="1"/>
      <name val="Calibri"/>
      <family val="2"/>
      <scheme val="minor"/>
    </font>
    <font>
      <sz val="9"/>
      <color rgb="FF000000"/>
      <name val="Calibri Light"/>
      <family val="2"/>
      <scheme val="major"/>
    </font>
    <font>
      <sz val="9"/>
      <color rgb="FF0070C0"/>
      <name val="Calibri Light"/>
      <family val="2"/>
      <scheme val="major"/>
    </font>
    <font>
      <sz val="9"/>
      <name val="Calibri Light"/>
      <family val="2"/>
      <scheme val="major"/>
    </font>
    <font>
      <sz val="11"/>
      <name val="Calibri"/>
      <family val="2"/>
      <scheme val="minor"/>
    </font>
    <font>
      <b/>
      <sz val="11"/>
      <color rgb="FFFF0000"/>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E1EAF3"/>
        <bgColor indexed="64"/>
      </patternFill>
    </fill>
    <fill>
      <patternFill patternType="solid">
        <fgColor rgb="FFFFFF00"/>
        <bgColor indexed="64"/>
      </patternFill>
    </fill>
    <fill>
      <patternFill patternType="solid">
        <fgColor theme="4" tint="0.59999389629810485"/>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ont="0" applyFill="0" applyBorder="0" applyAlignment="0" applyProtection="0"/>
    <xf numFmtId="0" fontId="21" fillId="0" borderId="0" applyNumberFormat="0" applyFont="0" applyFill="0" applyBorder="0" applyAlignment="0" applyProtection="0"/>
    <xf numFmtId="0" fontId="27" fillId="0" borderId="0" applyNumberFormat="0" applyFill="0" applyBorder="0" applyAlignment="0" applyProtection="0"/>
  </cellStyleXfs>
  <cellXfs count="92">
    <xf numFmtId="0" fontId="0" fillId="0" borderId="0" xfId="0"/>
    <xf numFmtId="0" fontId="0" fillId="0" borderId="0" xfId="0" applyBorder="1"/>
    <xf numFmtId="0" fontId="0" fillId="0" borderId="11" xfId="0" applyBorder="1"/>
    <xf numFmtId="0" fontId="0" fillId="0" borderId="0" xfId="0" applyFill="1" applyBorder="1"/>
    <xf numFmtId="0" fontId="22" fillId="0" borderId="0" xfId="42" applyNumberFormat="1" applyFont="1" applyFill="1" applyBorder="1" applyAlignment="1"/>
    <xf numFmtId="0" fontId="22" fillId="0" borderId="0" xfId="43" applyNumberFormat="1" applyFont="1" applyFill="1" applyBorder="1" applyAlignment="1"/>
    <xf numFmtId="0" fontId="0" fillId="0" borderId="11" xfId="0" applyFill="1" applyBorder="1"/>
    <xf numFmtId="0" fontId="14" fillId="0" borderId="0" xfId="0" applyFont="1" applyBorder="1"/>
    <xf numFmtId="0" fontId="13" fillId="34" borderId="11" xfId="0" applyFont="1" applyFill="1" applyBorder="1" applyAlignment="1">
      <alignment horizontal="center"/>
    </xf>
    <xf numFmtId="0" fontId="25" fillId="33" borderId="10" xfId="0" applyFont="1" applyFill="1" applyBorder="1" applyAlignment="1">
      <alignment wrapText="1"/>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0" xfId="0" applyBorder="1" applyAlignment="1">
      <alignment vertical="center" wrapText="1"/>
    </xf>
    <xf numFmtId="0" fontId="20" fillId="0" borderId="0" xfId="0" applyFont="1" applyFill="1" applyBorder="1" applyAlignment="1">
      <alignment wrapText="1"/>
    </xf>
    <xf numFmtId="1" fontId="20" fillId="0" borderId="23" xfId="0" applyNumberFormat="1" applyFont="1" applyBorder="1" applyAlignment="1" applyProtection="1">
      <alignment horizontal="left" vertical="center"/>
    </xf>
    <xf numFmtId="1" fontId="20" fillId="36" borderId="23" xfId="0" applyNumberFormat="1" applyFont="1" applyFill="1" applyBorder="1" applyAlignment="1" applyProtection="1">
      <alignment horizontal="left" vertical="center"/>
    </xf>
    <xf numFmtId="1" fontId="0" fillId="0" borderId="0" xfId="0" applyNumberFormat="1" applyAlignment="1" applyProtection="1">
      <alignment horizontal="center"/>
    </xf>
    <xf numFmtId="1" fontId="0" fillId="0" borderId="0" xfId="0" applyNumberFormat="1" applyFont="1" applyAlignment="1" applyProtection="1">
      <alignment vertical="center"/>
    </xf>
    <xf numFmtId="49" fontId="0" fillId="37" borderId="22" xfId="0" applyNumberFormat="1" applyFill="1" applyBorder="1" applyAlignment="1" applyProtection="1">
      <alignment horizontal="center" vertical="center"/>
    </xf>
    <xf numFmtId="49" fontId="20" fillId="36" borderId="23" xfId="0" applyNumberFormat="1" applyFont="1" applyFill="1" applyBorder="1" applyAlignment="1" applyProtection="1">
      <alignment horizontal="left" vertical="center"/>
    </xf>
    <xf numFmtId="49" fontId="20" fillId="0" borderId="23" xfId="0" applyNumberFormat="1" applyFont="1" applyBorder="1" applyAlignment="1" applyProtection="1">
      <alignment horizontal="left" vertical="center"/>
    </xf>
    <xf numFmtId="1" fontId="0" fillId="0" borderId="0" xfId="0" applyNumberFormat="1"/>
    <xf numFmtId="0" fontId="0" fillId="0" borderId="0" xfId="0"/>
    <xf numFmtId="1" fontId="0" fillId="0" borderId="0" xfId="0" applyNumberFormat="1" applyProtection="1"/>
    <xf numFmtId="1" fontId="20" fillId="0" borderId="23" xfId="0" applyNumberFormat="1" applyFont="1" applyBorder="1" applyAlignment="1" applyProtection="1">
      <alignment vertical="center"/>
    </xf>
    <xf numFmtId="1" fontId="20" fillId="0" borderId="23" xfId="0" applyNumberFormat="1" applyFont="1" applyBorder="1" applyAlignment="1" applyProtection="1">
      <alignment horizontal="center" vertical="center"/>
    </xf>
    <xf numFmtId="1" fontId="20" fillId="36" borderId="23" xfId="0" applyNumberFormat="1" applyFont="1" applyFill="1" applyBorder="1" applyAlignment="1" applyProtection="1">
      <alignment vertical="center"/>
    </xf>
    <xf numFmtId="1" fontId="20" fillId="36" borderId="23" xfId="0" applyNumberFormat="1" applyFont="1" applyFill="1" applyBorder="1" applyAlignment="1" applyProtection="1">
      <alignment horizontal="center" vertical="center"/>
    </xf>
    <xf numFmtId="1" fontId="0" fillId="37" borderId="22" xfId="0" applyNumberFormat="1" applyFill="1" applyBorder="1" applyAlignment="1" applyProtection="1">
      <alignment horizontal="center" vertical="center"/>
    </xf>
    <xf numFmtId="1" fontId="0" fillId="37" borderId="22" xfId="0" applyNumberFormat="1" applyFill="1" applyBorder="1" applyAlignment="1" applyProtection="1">
      <alignment horizontal="center" vertical="center" wrapText="1"/>
    </xf>
    <xf numFmtId="1" fontId="20" fillId="0" borderId="23" xfId="0" applyNumberFormat="1" applyFont="1" applyBorder="1" applyAlignment="1" applyProtection="1">
      <alignment vertical="center"/>
      <protection locked="0"/>
    </xf>
    <xf numFmtId="1" fontId="20" fillId="36" borderId="23" xfId="0" applyNumberFormat="1" applyFont="1" applyFill="1" applyBorder="1" applyAlignment="1" applyProtection="1">
      <alignment vertical="center"/>
      <protection locked="0"/>
    </xf>
    <xf numFmtId="49" fontId="18" fillId="36" borderId="23" xfId="0" applyNumberFormat="1" applyFont="1" applyFill="1" applyBorder="1" applyAlignment="1" applyProtection="1">
      <alignment vertical="center" wrapText="1"/>
    </xf>
    <xf numFmtId="49" fontId="18" fillId="0" borderId="23" xfId="0" applyNumberFormat="1" applyFont="1" applyBorder="1" applyAlignment="1" applyProtection="1">
      <alignment vertical="center" wrapText="1"/>
    </xf>
    <xf numFmtId="49" fontId="19" fillId="36" borderId="23" xfId="0" applyNumberFormat="1" applyFont="1" applyFill="1" applyBorder="1" applyAlignment="1" applyProtection="1">
      <alignment vertical="center" wrapText="1"/>
    </xf>
    <xf numFmtId="0" fontId="0" fillId="0" borderId="0" xfId="0" applyAlignment="1">
      <alignment horizontal="center"/>
    </xf>
    <xf numFmtId="0" fontId="0" fillId="0" borderId="0" xfId="0" pivotButton="1"/>
    <xf numFmtId="0" fontId="0" fillId="0" borderId="0" xfId="0" applyNumberFormat="1"/>
    <xf numFmtId="0" fontId="0" fillId="0" borderId="0" xfId="0" applyAlignment="1">
      <alignment horizontal="left"/>
    </xf>
    <xf numFmtId="49" fontId="18" fillId="37" borderId="24" xfId="0" applyNumberFormat="1" applyFont="1" applyFill="1" applyBorder="1" applyAlignment="1" applyProtection="1">
      <alignment vertical="center"/>
    </xf>
    <xf numFmtId="49" fontId="18" fillId="37" borderId="25" xfId="0" applyNumberFormat="1" applyFont="1" applyFill="1" applyBorder="1" applyAlignment="1" applyProtection="1">
      <alignment vertical="center"/>
    </xf>
    <xf numFmtId="49" fontId="18" fillId="37" borderId="26" xfId="0" applyNumberFormat="1" applyFont="1" applyFill="1" applyBorder="1" applyAlignment="1" applyProtection="1">
      <alignment vertical="center"/>
    </xf>
    <xf numFmtId="0" fontId="0" fillId="38" borderId="0" xfId="0" applyFill="1"/>
    <xf numFmtId="0" fontId="28" fillId="0" borderId="11" xfId="0" applyFont="1" applyBorder="1" applyAlignment="1">
      <alignment wrapText="1"/>
    </xf>
    <xf numFmtId="0" fontId="28" fillId="0" borderId="11" xfId="0" applyFont="1" applyBorder="1" applyAlignment="1">
      <alignment horizontal="left" wrapText="1"/>
    </xf>
    <xf numFmtId="0" fontId="29" fillId="0" borderId="11" xfId="0" applyFont="1" applyBorder="1" applyAlignment="1">
      <alignment vertical="center" wrapText="1"/>
    </xf>
    <xf numFmtId="0" fontId="30" fillId="0" borderId="11" xfId="0" applyFont="1" applyBorder="1" applyAlignment="1">
      <alignment vertical="center" wrapText="1"/>
    </xf>
    <xf numFmtId="0" fontId="29" fillId="0" borderId="11" xfId="0" applyFont="1" applyBorder="1" applyAlignment="1">
      <alignment vertical="center"/>
    </xf>
    <xf numFmtId="0" fontId="13" fillId="34" borderId="13" xfId="0" applyFont="1" applyFill="1" applyBorder="1" applyAlignment="1">
      <alignment horizontal="center"/>
    </xf>
    <xf numFmtId="0" fontId="26" fillId="0" borderId="0" xfId="0" applyFont="1" applyFill="1" applyBorder="1" applyAlignment="1">
      <alignment wrapText="1"/>
    </xf>
    <xf numFmtId="0" fontId="27" fillId="0" borderId="0" xfId="44"/>
    <xf numFmtId="0" fontId="31" fillId="0" borderId="11" xfId="0" applyFont="1" applyBorder="1" applyAlignment="1">
      <alignment vertical="center" wrapText="1"/>
    </xf>
    <xf numFmtId="0" fontId="31" fillId="0" borderId="11" xfId="0" applyFont="1" applyFill="1" applyBorder="1" applyAlignment="1">
      <alignment vertical="center" wrapText="1"/>
    </xf>
    <xf numFmtId="0" fontId="20" fillId="0" borderId="0" xfId="0" quotePrefix="1" applyFont="1" applyFill="1" applyBorder="1" applyAlignment="1">
      <alignment wrapText="1"/>
    </xf>
    <xf numFmtId="0" fontId="31" fillId="0" borderId="11" xfId="0" applyFont="1" applyFill="1" applyBorder="1" applyAlignment="1">
      <alignment wrapText="1"/>
    </xf>
    <xf numFmtId="0" fontId="0" fillId="33" borderId="0" xfId="0" applyFont="1" applyFill="1" applyAlignment="1">
      <alignment horizontal="left" vertical="center"/>
    </xf>
    <xf numFmtId="0" fontId="0" fillId="0" borderId="0" xfId="0"/>
    <xf numFmtId="0" fontId="0" fillId="0" borderId="0" xfId="0" applyAlignment="1">
      <alignment horizontal="center" vertical="center"/>
    </xf>
    <xf numFmtId="0" fontId="0" fillId="0" borderId="0" xfId="0" applyAlignment="1"/>
    <xf numFmtId="0" fontId="32" fillId="0" borderId="11" xfId="0" applyFont="1" applyFill="1" applyBorder="1" applyAlignment="1">
      <alignment vertical="center" wrapText="1"/>
    </xf>
    <xf numFmtId="0" fontId="32" fillId="33" borderId="11" xfId="0" applyFont="1" applyFill="1" applyBorder="1" applyAlignment="1">
      <alignment vertical="center" wrapText="1"/>
    </xf>
    <xf numFmtId="0" fontId="32" fillId="38" borderId="11" xfId="0" applyFont="1" applyFill="1" applyBorder="1" applyAlignment="1">
      <alignment vertical="center" wrapText="1"/>
    </xf>
    <xf numFmtId="0" fontId="0" fillId="33" borderId="11" xfId="0" applyFont="1" applyFill="1" applyBorder="1" applyAlignment="1">
      <alignment vertical="center"/>
    </xf>
    <xf numFmtId="0" fontId="0" fillId="0" borderId="11" xfId="0" applyFont="1" applyBorder="1" applyAlignment="1">
      <alignment vertical="center"/>
    </xf>
    <xf numFmtId="0" fontId="0" fillId="0" borderId="0" xfId="0" applyFont="1"/>
    <xf numFmtId="0" fontId="33" fillId="33" borderId="11" xfId="0" applyFont="1" applyFill="1" applyBorder="1" applyAlignment="1">
      <alignment vertical="center" wrapText="1"/>
    </xf>
    <xf numFmtId="0" fontId="14" fillId="38" borderId="11" xfId="0" applyFont="1" applyFill="1" applyBorder="1" applyAlignment="1">
      <alignment vertical="center" wrapText="1"/>
    </xf>
    <xf numFmtId="0" fontId="0" fillId="33" borderId="11" xfId="0" applyFont="1" applyFill="1" applyBorder="1" applyAlignment="1">
      <alignment vertical="center" wrapText="1"/>
    </xf>
    <xf numFmtId="0" fontId="24" fillId="35" borderId="11" xfId="0" applyFont="1" applyFill="1" applyBorder="1" applyAlignment="1">
      <alignment horizontal="center" vertical="center" wrapText="1"/>
    </xf>
    <xf numFmtId="0" fontId="24" fillId="35" borderId="11" xfId="0" applyFont="1" applyFill="1" applyBorder="1" applyAlignment="1">
      <alignment vertical="center" wrapText="1"/>
    </xf>
    <xf numFmtId="0" fontId="0" fillId="0" borderId="11" xfId="0" applyBorder="1" applyAlignment="1">
      <alignment vertical="center"/>
    </xf>
    <xf numFmtId="0" fontId="0" fillId="0" borderId="11" xfId="0" applyBorder="1" applyAlignment="1">
      <alignment horizontal="center" vertical="center"/>
    </xf>
    <xf numFmtId="0" fontId="16" fillId="0" borderId="11" xfId="0" applyFont="1" applyBorder="1" applyAlignment="1">
      <alignment horizontal="center" vertical="center"/>
    </xf>
    <xf numFmtId="0" fontId="16" fillId="39" borderId="11" xfId="0" applyFont="1" applyFill="1" applyBorder="1" applyAlignment="1">
      <alignment horizontal="left" vertical="center"/>
    </xf>
    <xf numFmtId="0" fontId="16" fillId="39" borderId="11" xfId="0" applyFont="1" applyFill="1" applyBorder="1" applyAlignment="1">
      <alignment horizontal="left" vertical="center" wrapText="1"/>
    </xf>
    <xf numFmtId="49" fontId="0" fillId="0" borderId="11" xfId="0" applyNumberFormat="1" applyBorder="1" applyAlignment="1">
      <alignment horizontal="center" vertical="center"/>
    </xf>
    <xf numFmtId="0" fontId="0" fillId="0" borderId="11" xfId="0" pivotButton="1" applyBorder="1" applyAlignment="1">
      <alignment horizontal="center" vertical="center"/>
    </xf>
    <xf numFmtId="0" fontId="16" fillId="0" borderId="11" xfId="0" applyFont="1" applyBorder="1"/>
    <xf numFmtId="0" fontId="0" fillId="0" borderId="13" xfId="0" applyBorder="1" applyAlignment="1">
      <alignment vertical="center"/>
    </xf>
    <xf numFmtId="0" fontId="0" fillId="0" borderId="28" xfId="0" applyBorder="1"/>
    <xf numFmtId="0" fontId="0" fillId="0" borderId="29" xfId="0" applyBorder="1"/>
    <xf numFmtId="0" fontId="16" fillId="0" borderId="11" xfId="0" applyFont="1" applyBorder="1" applyAlignment="1">
      <alignment horizontal="left" vertical="center"/>
    </xf>
    <xf numFmtId="0" fontId="16" fillId="0" borderId="27" xfId="0" applyFont="1" applyBorder="1" applyAlignment="1">
      <alignment horizontal="left" vertical="center"/>
    </xf>
    <xf numFmtId="0" fontId="16" fillId="0" borderId="0" xfId="0" applyFont="1" applyAlignment="1">
      <alignment horizontal="left"/>
    </xf>
    <xf numFmtId="0" fontId="16" fillId="0" borderId="0" xfId="0" applyFont="1" applyAlignment="1">
      <alignment horizontal="center" vertical="center"/>
    </xf>
    <xf numFmtId="0" fontId="24" fillId="35" borderId="12" xfId="0" applyFont="1" applyFill="1" applyBorder="1" applyAlignment="1">
      <alignment horizontal="center" vertical="center" wrapText="1"/>
    </xf>
  </cellXfs>
  <cellStyles count="45">
    <cellStyle name="20% - Colore 1" xfId="19" builtinId="30" customBuiltin="1"/>
    <cellStyle name="20% - Colore 2" xfId="23" builtinId="34" customBuiltin="1"/>
    <cellStyle name="20% - Colore 3" xfId="27" builtinId="38" customBuiltin="1"/>
    <cellStyle name="20% - Colore 4" xfId="31" builtinId="42" customBuiltin="1"/>
    <cellStyle name="20% - Colore 5" xfId="35" builtinId="46" customBuiltin="1"/>
    <cellStyle name="20% - Colore 6" xfId="39" builtinId="50" customBuiltin="1"/>
    <cellStyle name="40% - Colore 1" xfId="20" builtinId="31" customBuiltin="1"/>
    <cellStyle name="40% - Colore 2" xfId="24" builtinId="35" customBuiltin="1"/>
    <cellStyle name="40% - Colore 3" xfId="28" builtinId="39" customBuiltin="1"/>
    <cellStyle name="40% - Colore 4" xfId="32" builtinId="43" customBuiltin="1"/>
    <cellStyle name="40% - Colore 5" xfId="36" builtinId="47" customBuiltin="1"/>
    <cellStyle name="40% - Colore 6" xfId="40" builtinId="51" customBuiltin="1"/>
    <cellStyle name="60% - Colore 1" xfId="21" builtinId="32" customBuiltin="1"/>
    <cellStyle name="60% - Colore 2" xfId="25" builtinId="36" customBuiltin="1"/>
    <cellStyle name="60% - Colore 3" xfId="29" builtinId="40" customBuiltin="1"/>
    <cellStyle name="60% - Colore 4" xfId="33" builtinId="44" customBuiltin="1"/>
    <cellStyle name="60% - Colore 5" xfId="37" builtinId="48" customBuiltin="1"/>
    <cellStyle name="60% - Colore 6" xfId="41" builtinId="52" customBuiltin="1"/>
    <cellStyle name="Calcolo" xfId="11" builtinId="22" customBuiltin="1"/>
    <cellStyle name="Cella collegata" xfId="12" builtinId="24" customBuiltin="1"/>
    <cellStyle name="Cella da controllare" xfId="13" builtinId="23" customBuiltin="1"/>
    <cellStyle name="Collegamento ipertestuale" xfId="44" builtinId="8"/>
    <cellStyle name="Colore 1" xfId="18" builtinId="29" customBuiltin="1"/>
    <cellStyle name="Colore 2" xfId="22" builtinId="33" customBuiltin="1"/>
    <cellStyle name="Colore 3" xfId="26" builtinId="37" customBuiltin="1"/>
    <cellStyle name="Colore 4" xfId="30" builtinId="41" customBuiltin="1"/>
    <cellStyle name="Colore 5" xfId="34" builtinId="45" customBuiltin="1"/>
    <cellStyle name="Colore 6" xfId="38" builtinId="49" customBuiltin="1"/>
    <cellStyle name="Input" xfId="9" builtinId="20" customBuiltin="1"/>
    <cellStyle name="Neutrale" xfId="8" builtinId="28" customBuiltin="1"/>
    <cellStyle name="Normal_ATTIVITA" xfId="43"/>
    <cellStyle name="Normal_Sheet1" xfId="42"/>
    <cellStyle name="Normale" xfId="0" builtinId="0"/>
    <cellStyle name="Nota" xfId="15" builtinId="10" customBuiltin="1"/>
    <cellStyle name="Output" xfId="10" builtinId="21" customBuiltin="1"/>
    <cellStyle name="Testo avviso" xfId="14" builtinId="11" customBuiltin="1"/>
    <cellStyle name="Testo descrittivo" xfId="16" builtinId="53" customBuiltin="1"/>
    <cellStyle name="Titolo" xfId="1" builtinId="15" customBuiltin="1"/>
    <cellStyle name="Titolo 1" xfId="2" builtinId="16" customBuiltin="1"/>
    <cellStyle name="Titolo 2" xfId="3" builtinId="17" customBuiltin="1"/>
    <cellStyle name="Titolo 3" xfId="4" builtinId="18" customBuiltin="1"/>
    <cellStyle name="Titolo 4" xfId="5" builtinId="19" customBuiltin="1"/>
    <cellStyle name="Totale" xfId="17" builtinId="25" customBuiltin="1"/>
    <cellStyle name="Valore non valido" xfId="7" builtinId="27" customBuiltin="1"/>
    <cellStyle name="Valore valido" xfId="6" builtinId="26" customBuiltin="1"/>
  </cellStyles>
  <dxfs count="934">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border>
        <right style="thin">
          <color indexed="64"/>
        </right>
        <top style="thin">
          <color indexed="64"/>
        </top>
        <vertical style="thin">
          <color indexed="64"/>
        </vertical>
        <horizontal style="thin">
          <color indexed="64"/>
        </horizontal>
      </bord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border>
        <right style="thin">
          <color indexed="64"/>
        </right>
        <bottom style="thin">
          <color indexed="64"/>
        </bottom>
        <vertical style="thin">
          <color indexed="64"/>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bottom"/>
    </dxf>
    <dxf>
      <alignment vertical="bottom"/>
    </dxf>
    <dxf>
      <alignment vertical="bottom"/>
    </dxf>
    <dxf>
      <alignment vertical="bottom"/>
    </dxf>
    <dxf>
      <alignment vertical="center"/>
    </dxf>
    <dxf>
      <alignment vertic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0000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1</xdr:col>
      <xdr:colOff>317500</xdr:colOff>
      <xdr:row>3</xdr:row>
      <xdr:rowOff>15616</xdr:rowOff>
    </xdr:from>
    <xdr:to>
      <xdr:col>6</xdr:col>
      <xdr:colOff>490971</xdr:colOff>
      <xdr:row>6</xdr:row>
      <xdr:rowOff>84022</xdr:rowOff>
    </xdr:to>
    <xdr:pic>
      <xdr:nvPicPr>
        <xdr:cNvPr id="2" name="Immagine 4" descr="INTESA_SANPAOLO white.png">
          <a:extLst>
            <a:ext uri="{FF2B5EF4-FFF2-40B4-BE49-F238E27FC236}">
              <a16:creationId xmlns:a16="http://schemas.microsoft.com/office/drawing/2014/main" id="{9BC7328C-A71F-4F5C-BC8B-92645C87E32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927100" y="574416"/>
          <a:ext cx="3221471" cy="620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301619</xdr:colOff>
      <xdr:row>10</xdr:row>
      <xdr:rowOff>88900</xdr:rowOff>
    </xdr:from>
    <xdr:to>
      <xdr:col>11</xdr:col>
      <xdr:colOff>154709</xdr:colOff>
      <xdr:row>14</xdr:row>
      <xdr:rowOff>56284</xdr:rowOff>
    </xdr:to>
    <xdr:sp macro="" textlink="">
      <xdr:nvSpPr>
        <xdr:cNvPr id="3" name="Titolo 1">
          <a:extLst>
            <a:ext uri="{FF2B5EF4-FFF2-40B4-BE49-F238E27FC236}">
              <a16:creationId xmlns:a16="http://schemas.microsoft.com/office/drawing/2014/main" id="{D5D8D48A-C0F6-4411-87F6-B8E0060C9660}"/>
            </a:ext>
          </a:extLst>
        </xdr:cNvPr>
        <xdr:cNvSpPr txBox="1">
          <a:spLocks/>
        </xdr:cNvSpPr>
      </xdr:nvSpPr>
      <xdr:spPr>
        <a:xfrm>
          <a:off x="911219" y="1936750"/>
          <a:ext cx="5949090" cy="703984"/>
        </a:xfrm>
        <a:prstGeom prst="rect">
          <a:avLst/>
        </a:prstGeom>
      </xdr:spPr>
      <xdr:txBody>
        <a:bodyPr wrap="square" lIns="0" tIns="0" rIns="0" bIns="0" anchor="ctr"/>
        <a:lstStyle>
          <a:defPPr>
            <a:defRPr lang="it-IT"/>
          </a:defPPr>
          <a:lvl1pPr algn="l" defTabSz="457200" rtl="0" eaLnBrk="0" fontAlgn="base" hangingPunct="0">
            <a:spcBef>
              <a:spcPct val="0"/>
            </a:spcBef>
            <a:spcAft>
              <a:spcPct val="0"/>
            </a:spcAft>
            <a:defRPr kern="1200">
              <a:solidFill>
                <a:schemeClr val="tx1"/>
              </a:solidFill>
              <a:latin typeface="Arial" panose="020B0604020202020204" pitchFamily="34" charset="0"/>
              <a:ea typeface="MS PGothic" panose="020B0600070205080204" pitchFamily="34" charset="-128"/>
              <a:cs typeface="+mn-cs"/>
            </a:defRPr>
          </a:lvl1pPr>
          <a:lvl2pPr marL="457200" algn="l" defTabSz="457200" rtl="0" eaLnBrk="0" fontAlgn="base" hangingPunct="0">
            <a:spcBef>
              <a:spcPct val="0"/>
            </a:spcBef>
            <a:spcAft>
              <a:spcPct val="0"/>
            </a:spcAft>
            <a:defRPr kern="1200">
              <a:solidFill>
                <a:schemeClr val="tx1"/>
              </a:solidFill>
              <a:latin typeface="Arial" panose="020B0604020202020204" pitchFamily="34" charset="0"/>
              <a:ea typeface="MS PGothic" panose="020B0600070205080204" pitchFamily="34" charset="-128"/>
              <a:cs typeface="+mn-cs"/>
            </a:defRPr>
          </a:lvl2pPr>
          <a:lvl3pPr marL="914400" algn="l" defTabSz="457200" rtl="0" eaLnBrk="0" fontAlgn="base" hangingPunct="0">
            <a:spcBef>
              <a:spcPct val="0"/>
            </a:spcBef>
            <a:spcAft>
              <a:spcPct val="0"/>
            </a:spcAft>
            <a:defRPr kern="1200">
              <a:solidFill>
                <a:schemeClr val="tx1"/>
              </a:solidFill>
              <a:latin typeface="Arial" panose="020B0604020202020204" pitchFamily="34" charset="0"/>
              <a:ea typeface="MS PGothic" panose="020B0600070205080204" pitchFamily="34" charset="-128"/>
              <a:cs typeface="+mn-cs"/>
            </a:defRPr>
          </a:lvl3pPr>
          <a:lvl4pPr marL="1371600" algn="l" defTabSz="457200" rtl="0" eaLnBrk="0" fontAlgn="base" hangingPunct="0">
            <a:spcBef>
              <a:spcPct val="0"/>
            </a:spcBef>
            <a:spcAft>
              <a:spcPct val="0"/>
            </a:spcAft>
            <a:defRPr kern="1200">
              <a:solidFill>
                <a:schemeClr val="tx1"/>
              </a:solidFill>
              <a:latin typeface="Arial" panose="020B0604020202020204" pitchFamily="34" charset="0"/>
              <a:ea typeface="MS PGothic" panose="020B0600070205080204" pitchFamily="34" charset="-128"/>
              <a:cs typeface="+mn-cs"/>
            </a:defRPr>
          </a:lvl4pPr>
          <a:lvl5pPr marL="1828800" algn="l" defTabSz="457200" rtl="0" eaLnBrk="0" fontAlgn="base" hangingPunct="0">
            <a:spcBef>
              <a:spcPct val="0"/>
            </a:spcBef>
            <a:spcAft>
              <a:spcPct val="0"/>
            </a:spcAft>
            <a:defRPr kern="1200">
              <a:solidFill>
                <a:schemeClr val="tx1"/>
              </a:solidFill>
              <a:latin typeface="Arial" panose="020B0604020202020204" pitchFamily="34" charset="0"/>
              <a:ea typeface="MS PGothic" panose="020B0600070205080204" pitchFamily="34" charset="-128"/>
              <a:cs typeface="+mn-cs"/>
            </a:defRPr>
          </a:lvl5pPr>
          <a:lvl6pPr marL="2286000" algn="l" defTabSz="914400" rtl="0" eaLnBrk="1" latinLnBrk="0" hangingPunct="1">
            <a:defRPr kern="1200">
              <a:solidFill>
                <a:schemeClr val="tx1"/>
              </a:solidFill>
              <a:latin typeface="Arial" panose="020B0604020202020204" pitchFamily="34" charset="0"/>
              <a:ea typeface="MS PGothic" panose="020B0600070205080204" pitchFamily="34" charset="-128"/>
              <a:cs typeface="+mn-cs"/>
            </a:defRPr>
          </a:lvl6pPr>
          <a:lvl7pPr marL="2743200" algn="l" defTabSz="914400" rtl="0" eaLnBrk="1" latinLnBrk="0" hangingPunct="1">
            <a:defRPr kern="1200">
              <a:solidFill>
                <a:schemeClr val="tx1"/>
              </a:solidFill>
              <a:latin typeface="Arial" panose="020B0604020202020204" pitchFamily="34" charset="0"/>
              <a:ea typeface="MS PGothic" panose="020B0600070205080204" pitchFamily="34" charset="-128"/>
              <a:cs typeface="+mn-cs"/>
            </a:defRPr>
          </a:lvl7pPr>
          <a:lvl8pPr marL="3200400" algn="l" defTabSz="914400" rtl="0" eaLnBrk="1" latinLnBrk="0" hangingPunct="1">
            <a:defRPr kern="1200">
              <a:solidFill>
                <a:schemeClr val="tx1"/>
              </a:solidFill>
              <a:latin typeface="Arial" panose="020B0604020202020204" pitchFamily="34" charset="0"/>
              <a:ea typeface="MS PGothic" panose="020B0600070205080204" pitchFamily="34" charset="-128"/>
              <a:cs typeface="+mn-cs"/>
            </a:defRPr>
          </a:lvl8pPr>
          <a:lvl9pPr marL="3657600" algn="l" defTabSz="914400" rtl="0" eaLnBrk="1" latinLnBrk="0" hangingPunct="1">
            <a:defRPr kern="1200">
              <a:solidFill>
                <a:schemeClr val="tx1"/>
              </a:solidFill>
              <a:latin typeface="Arial" panose="020B0604020202020204" pitchFamily="34" charset="0"/>
              <a:ea typeface="MS PGothic" panose="020B0600070205080204" pitchFamily="34" charset="-128"/>
              <a:cs typeface="+mn-cs"/>
            </a:defRPr>
          </a:lvl9pPr>
        </a:lstStyle>
        <a:p>
          <a:pPr eaLnBrk="1" fontAlgn="auto" hangingPunct="1">
            <a:spcAft>
              <a:spcPts val="0"/>
            </a:spcAft>
            <a:defRPr/>
          </a:pPr>
          <a:r>
            <a:rPr lang="it-IT" sz="2700" b="1">
              <a:latin typeface="Arial"/>
              <a:ea typeface="+mj-ea"/>
              <a:cs typeface="Arial"/>
            </a:rPr>
            <a:t>Nuovi Ruoli SIT</a:t>
          </a:r>
        </a:p>
        <a:p>
          <a:pPr eaLnBrk="1" fontAlgn="auto" hangingPunct="1">
            <a:spcAft>
              <a:spcPts val="0"/>
            </a:spcAft>
            <a:defRPr/>
          </a:pPr>
          <a:r>
            <a:rPr lang="it-IT" sz="2700" b="1">
              <a:latin typeface="Arial"/>
              <a:ea typeface="+mj-ea"/>
              <a:cs typeface="Arial"/>
            </a:rPr>
            <a:t>Piano Industriale 2018 - 2021</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ARBELLINI MASSIMO" refreshedDate="43377.754255092594" createdVersion="6" refreshedVersion="6" minRefreshableVersion="3" recordCount="829">
  <cacheSource type="worksheet">
    <worksheetSource ref="C7:L835" sheet="RUOLI RISORSE"/>
  </cacheSource>
  <cacheFields count="10">
    <cacheField name="Attività" numFmtId="0">
      <sharedItems containsBlank="1"/>
    </cacheField>
    <cacheField name="Cognome" numFmtId="0">
      <sharedItems/>
    </cacheField>
    <cacheField name="Nome" numFmtId="0">
      <sharedItems/>
    </cacheField>
    <cacheField name="Matricola" numFmtId="0">
      <sharedItems/>
    </cacheField>
    <cacheField name="Mail" numFmtId="0">
      <sharedItems/>
    </cacheField>
    <cacheField name="SEDE" numFmtId="0">
      <sharedItems/>
    </cacheField>
    <cacheField name="Indirizzo" numFmtId="0">
      <sharedItems/>
    </cacheField>
    <cacheField name="Ruolo AS-IS _x000a_(fotografia 2018)" numFmtId="0">
      <sharedItems containsBlank="1"/>
    </cacheField>
    <cacheField name="Ruolo AS-IS _x000a_(prepopolato con dati aggiornati al 01/12/2015)" numFmtId="0">
      <sharedItems/>
    </cacheField>
    <cacheField name="Ruolo in evoluzione (TO-BE) _x000a_prevalente a 4 anni"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BELLINI MASSIMO" refreshedDate="43377.754255555556" createdVersion="6" refreshedVersion="6" minRefreshableVersion="3" recordCount="829">
  <cacheSource type="worksheet">
    <worksheetSource ref="A7:M835" sheet="RUOLI RISORSE"/>
  </cacheSource>
  <cacheFields count="13">
    <cacheField name="Figura professionale" numFmtId="0">
      <sharedItems containsBlank="1"/>
    </cacheField>
    <cacheField name="Ufficio" numFmtId="0">
      <sharedItems count="9">
        <s v="Coordinamento Servizi Infrastrutturali"/>
        <s v="Infrastr. Sistemi Specialistici"/>
        <s v="Progett. e Sviluppo Infr. Elaborative"/>
        <s v="Responsabile SIT"/>
        <s v="Service Delivery e Supp. Infr."/>
        <s v="Telecomunicazioni"/>
        <s v="Tecnologie Distribuite"/>
        <s v="Ambienti Sviluppo e DevOps"/>
        <s v="Servizi Cloud e Collaboration"/>
      </sharedItems>
    </cacheField>
    <cacheField name="Attività" numFmtId="0">
      <sharedItems containsBlank="1"/>
    </cacheField>
    <cacheField name="Cognome" numFmtId="0">
      <sharedItems/>
    </cacheField>
    <cacheField name="Nome" numFmtId="0">
      <sharedItems/>
    </cacheField>
    <cacheField name="Matricola" numFmtId="0">
      <sharedItems/>
    </cacheField>
    <cacheField name="Mail" numFmtId="0">
      <sharedItems/>
    </cacheField>
    <cacheField name="SEDE" numFmtId="0">
      <sharedItems/>
    </cacheField>
    <cacheField name="Indirizzo" numFmtId="0">
      <sharedItems/>
    </cacheField>
    <cacheField name="Ruolo AS-IS _x000a_(fotografia 2018)" numFmtId="0">
      <sharedItems containsBlank="1"/>
    </cacheField>
    <cacheField name="Ruolo AS-IS _x000a_(prepopolato con dati aggiornati al 01/12/2015)" numFmtId="0">
      <sharedItems/>
    </cacheField>
    <cacheField name="Ruolo in evoluzione (TO-BE) _x000a_prevalente a 4 anni" numFmtId="0">
      <sharedItems containsBlank="1"/>
    </cacheField>
    <cacheField name="Cluster" numFmtId="0">
      <sharedItems containsMixedTypes="1" containsNumber="1" containsInteger="1" minValue="0" maxValue="0" count="8">
        <e v="#N/A"/>
        <s v="Infrastructure Management"/>
        <n v="0"/>
        <s v="Architetture, Soluzioni Infrastrutturali"/>
        <s v="IT Operations"/>
        <s v="Relationship Management"/>
        <s v="DevOps &amp; PaaS"/>
        <s v="Cloud"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GARBELLINI MASSIMO" refreshedDate="43392.528121296295" missingItemsLimit="0" createdVersion="6" refreshedVersion="6" minRefreshableVersion="3" recordCount="62">
  <cacheSource type="worksheet">
    <worksheetSource ref="A2:D64" sheet="Glossario Ruoli"/>
  </cacheSource>
  <cacheFields count="6">
    <cacheField name="SKIL Family " numFmtId="0">
      <sharedItems containsBlank="1" count="20">
        <m/>
        <s v="non in ambito SIT"/>
        <s v="DEVOPS INFRASTRUCTURE"/>
        <s v="INFRASTRUCTURE for INNOVATION TECHONLOGY"/>
        <s v="NETWORK INFRASTRUCTURE"/>
        <s v="INFRASTRUCTURE AUTOMATION AND CONFIGURATION"/>
        <s v="DATA INFRASTRUCTURE"/>
        <s v="CAPACITY &amp; AVAILABILITY  MGMT"/>
        <s v="CLOUD INFRASTRUCTURE"/>
        <s v="COLLABORATION SOLUTION"/>
        <s v="DATA COMUNICATION"/>
        <s v="INFRASTRUCTURE TRANSFORMATION"/>
        <s v="DR&amp;BC INFRASTRUCTURE "/>
        <s v="INFRASTRUCTURE FINANTIAL &amp; CONTRACTS"/>
        <s v="DATACENTER INFRASTRUCTURE"/>
        <s v="INFRASTRUCTURE MONITORING"/>
        <s v="INFRASTRUCTURE SERVICE MANAGEMENT"/>
        <s v="SECURITY INFRASTRUCTURE"/>
        <s v="SOFTWARE DEFINED INFRASTRUCTURE"/>
        <s v="END USER INFRASTRUCTURE"/>
      </sharedItems>
    </cacheField>
    <cacheField name="SKILL Roles" numFmtId="0">
      <sharedItems count="62">
        <s v="N/A"/>
        <s v="AGILE Scrum Specialist "/>
        <s v="AGILE Specialist "/>
        <s v="API Specialist "/>
        <s v="Artificial Intelligence Specialist"/>
        <s v="Network Automation Specialist"/>
        <s v="DataCenter Automation Specialist"/>
        <s v="End User Automation Specialist"/>
        <s v="Configuration Specialist"/>
        <s v="Data Solution Architect"/>
        <s v="Blockchain Specialist"/>
        <s v="Capacity &amp; Availability Specialist"/>
        <s v="Infrastructure Referent Application Transformation"/>
        <s v="Cloud Mgmt Platform &amp; Contract Expert"/>
        <s v="Cloud Service Broker Specialist"/>
        <s v="Collaboration Specialist"/>
        <s v="Data Communication Specialist"/>
        <s v="Data Communication Engineer"/>
        <s v="Data Base Engineer"/>
        <s v="Data Management Specialist"/>
        <s v="Delivery Manager"/>
        <s v="DevOps Specialist"/>
        <s v="DevOps Operator"/>
        <s v="DR &amp; Business Continuity Engineer"/>
        <s v="DR &amp; Business Continuity Specialist"/>
        <s v="Functional Testing Engineer"/>
        <s v="Infrastructure Solution Architect"/>
        <s v="Infrastructure Data Analyst/Scientist "/>
        <s v="Infrastructure Financial Specialist"/>
        <s v="Infrastructure Contract Specialist"/>
        <s v="IoT Specialist"/>
        <s v="IT Coordinator"/>
        <s v="Data Center Operator "/>
        <s v="Data Center System Specialist"/>
        <s v="ITO Process Specialist"/>
        <s v="IT Supplier Relationship Manager"/>
        <s v="Knowledge Management specialist"/>
        <s v="Mobile Specialist "/>
        <s v="Monitoring Infrastructure engineer"/>
        <s v="Open Source Software Specialist"/>
        <s v="PaaS &amp; Container Specialist"/>
        <s v="Performance Test Specialist "/>
        <s v="Private &amp; Public Cloud Infrastructure Architect"/>
        <s v="Problem Manager"/>
        <s v="Program &amp; Transition Manager"/>
        <s v="Project Manager "/>
        <s v="Scheduling Specialist"/>
        <s v="Security Infrastructure Specialist"/>
        <s v="Service Catalog Manager"/>
        <s v="Service Owner"/>
        <s v="Software Defined Data Center Specialist "/>
        <s v="Software Defined Network  Specialist"/>
        <s v="Software Defined Storage Specialist"/>
        <s v="Data Center System Engineer"/>
        <s v="Network System Engineer"/>
        <s v="End User System Engineer "/>
        <s v="End User IMAC Specialist"/>
        <s v="End User Operator"/>
        <s v="Technology Innovation Expert"/>
        <s v="Test Automation Specialist"/>
        <s v="Build and Deploy Engineer"/>
        <s v="Build and Deploy Specialist"/>
      </sharedItems>
    </cacheField>
    <cacheField name="JOB Description - DA RIVEDERE LE DESCRIZIONI" numFmtId="0">
      <sharedItems longText="1"/>
    </cacheField>
    <cacheField name="Note" numFmtId="0">
      <sharedItems containsBlank="1"/>
    </cacheField>
    <cacheField name="Ruoli Tradizionali_x000a_in evoluzione " numFmtId="0">
      <sharedItems count="4">
        <e v="#N/A"/>
        <s v="NA"/>
        <s v=" "/>
        <s v="X"/>
      </sharedItems>
    </cacheField>
    <cacheField name="Ruoli Strategici per il Piano Industriale_x000a_Nuovi Mestieri " numFmtId="0">
      <sharedItems count="4">
        <e v="#N/A"/>
        <s v="NA"/>
        <s v="X"/>
        <s v=" "/>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29">
  <r>
    <m/>
    <s v="FILIPPI"/>
    <s v="DANILO"/>
    <s v="U023790"/>
    <s v="danilo.filippi@intesasanpaolo.com"/>
    <s v="MONCALIERI (TO)"/>
    <s v="CORSO SAVONA, 58 - 10024 MONCALIERI (TO)"/>
    <m/>
    <s v="IT Coordinator"/>
    <m/>
  </r>
  <r>
    <s v="Transition e Innovation"/>
    <s v="FERRARI"/>
    <s v="MASSIMO AGOSTINO"/>
    <s v="U085934"/>
    <s v="massimo.ferrari2@intesasanpaolo.com"/>
    <s v="BISCEGLIE (MI)"/>
    <s v="VIA BISCEGLIE, 120 - 20152 MILANO (MI)"/>
    <s v="Transition Specialist"/>
    <s v="Project Manager"/>
    <s v="Program Manager"/>
  </r>
  <r>
    <s v="Transition e Innovation"/>
    <s v="GIULIANO"/>
    <s v="MARGHERITA"/>
    <s v="U018941"/>
    <s v="margherita.giuliano@intesasanpaolo.com"/>
    <s v="MONCALIERI (TO)"/>
    <s v="CORSO SAVONA, 58 - 10024 MONCALIERI (TO)"/>
    <s v="IT Process FM Specialist"/>
    <s v="IT Process FM Specialist"/>
    <s v="--- CONFERMATO AS IS ---"/>
  </r>
  <r>
    <s v="Transition e Innovation"/>
    <s v="LAROCCA"/>
    <s v="PIER VITTORIO"/>
    <s v="  "/>
    <s v="piervittorio.larocca@intesasanpaolo.com"/>
    <s v="MONCALIERI (TO)"/>
    <s v="CORSO SAVONA, 58 - 10024 MONCALIERI (TO)"/>
    <s v="N/A"/>
    <e v="#N/A"/>
    <s v="N/A"/>
  </r>
  <r>
    <s v="Transition e Innovation"/>
    <s v="MANGIARUGA"/>
    <s v="CHRISTOPHER"/>
    <s v="  "/>
    <s v="christopher.mangiaruga@intesasanpaolo.com"/>
    <s v="MONCALIERI (TO)"/>
    <s v="CORSO SAVONA, 58 - 10024 MONCALIERI (TO)"/>
    <s v="IT Process FM Specialist"/>
    <e v="#N/A"/>
    <s v="N/A"/>
  </r>
  <r>
    <s v="Transition e Innovation"/>
    <s v="PRIOR"/>
    <s v="ALBERTO"/>
    <s v="  "/>
    <s v="alberto.prior@intesasanpaolo.com"/>
    <s v="MONTEBELLUNA (TV)"/>
    <s v="VIA FELTRINA SUD, 250 - 31044 MONTEBELLUNA (TV)"/>
    <s v="N/A"/>
    <e v="#N/A"/>
    <s v="N/A"/>
  </r>
  <r>
    <s v="Transition e Innovation"/>
    <s v="SCHILLACI"/>
    <s v="ANDREA"/>
    <s v="  "/>
    <s v="andrea.schillaci@intesasanpaolo.com"/>
    <s v="BISCEGLIE (MI)"/>
    <s v="VIA BISCEGLIE, 120 - 20152 MILANO (MI)"/>
    <s v="Transition Specialist"/>
    <e v="#N/A"/>
    <s v="Project Manager "/>
  </r>
  <r>
    <s v="Transition e Innovation"/>
    <s v="VAROTTO"/>
    <s v="ROBERTO"/>
    <s v="U085922"/>
    <s v="roberto.varotto@intesasanpaolo.com"/>
    <s v="BISCEGLIE (MI)"/>
    <s v="VIA BISCEGLIE, 120 - 20152 MILANO (MI)"/>
    <s v="Project Manager "/>
    <s v="Project Manager"/>
    <s v="--- CONFERMATO AS IS ---"/>
  </r>
  <r>
    <m/>
    <s v="PECCHIA"/>
    <s v="MAURIZIO"/>
    <s v="  "/>
    <s v="maurizio.pecchia@intesasanpaolo.com"/>
    <s v="BISCEGLIE (MI)"/>
    <s v="VIA BISCEGLIE, 120 - 20152 MILANO (MI)"/>
    <s v="  "/>
    <e v="#N/A"/>
    <m/>
  </r>
  <r>
    <s v="Gest. Arch. Banca IMI, Risk, Tesoreria"/>
    <s v="ALBERTINI"/>
    <s v="PAOLO"/>
    <s v="U086187"/>
    <s v="paolo.albertini1@intesasanpaolo.com"/>
    <s v="BISCEGLIE (MI)"/>
    <s v="VIA BISCEGLIE, 120 - 20152 MILANO (MI)"/>
    <s v="IT Coordinator"/>
    <s v="IT Coordinator"/>
    <m/>
  </r>
  <r>
    <s v="Supporto Open Servizi Specialistici"/>
    <s v="BARBIERO"/>
    <s v="LUCA"/>
    <s v="U086181"/>
    <s v="luca.barbiero@intesasanpaolo.com"/>
    <s v="PARMA"/>
    <s v="VIA LANGHIRANO, 1 - PAL. C - 43100 PARMA (PR)"/>
    <s v="IT Coordinator"/>
    <s v="IT Coordinator"/>
    <m/>
  </r>
  <r>
    <s v="Arch. Dist Polo Assicurativo"/>
    <s v="CONTARDI"/>
    <s v="ANDREA"/>
    <s v="  "/>
    <s v="andrea.contardi@intesasanpaolo.com"/>
    <s v="ROMA"/>
    <s v="VIA VINCENZO LAMARO, 25 - 00173 ROMA (RM)"/>
    <s v="IT Coordinator"/>
    <e v="#N/A"/>
    <m/>
  </r>
  <r>
    <s v="Arch. Dist. Banca IMI, Risk, Tesoreria"/>
    <s v="DALLERA"/>
    <s v="GIUSEPPE"/>
    <s v="U014033"/>
    <s v="giuseppe.dallera@intesasanpaolo.com"/>
    <s v="BISCEGLIE (MI)"/>
    <s v="VIA BISCEGLIE, 120 - 20152 MILANO (MI)"/>
    <s v="IT Coordinator"/>
    <s v="IT Coordinator"/>
    <m/>
  </r>
  <r>
    <s v="Arch. Dist Eurizon Capital"/>
    <s v="LANCIA"/>
    <s v="SERGIO"/>
    <s v="U301222"/>
    <s v="sergio.lancia@intesasanpaolo.com"/>
    <s v="BISCEGLIE (MI)"/>
    <s v="VIA BISCEGLIE, 120 - 20152 MILANO (MI)"/>
    <s v="IT Coordinator"/>
    <s v="IT Coordinator"/>
    <m/>
  </r>
  <r>
    <s v="Arch. Dist. Fideuram"/>
    <s v="RUBERTI"/>
    <s v="ROMANO MARIA"/>
    <s v="U301265"/>
    <s v="romano.ruberti@intesasanpaolo.com"/>
    <s v="ROMA"/>
    <s v="VIA VINCENZO LAMARO, 25 - 00173 ROMA (RM)"/>
    <s v="IT Coordinator"/>
    <s v="System Administrator"/>
    <m/>
  </r>
  <r>
    <s v="Estero e Sistemi Specialistici"/>
    <s v="VIGNALI"/>
    <s v="MICHELE"/>
    <s v="U086394"/>
    <s v="michele.vignali@intesasanpaolo.com"/>
    <s v="PARMA"/>
    <s v="VIA LANGHIRANO, 1 - PAL. C - 43100 PARMA (PR)"/>
    <s v="IT Coordinator"/>
    <s v="IT Coordinator"/>
    <m/>
  </r>
  <r>
    <s v="Arch. Dist Polo Assicurativo"/>
    <s v="ACQUA"/>
    <s v="TIZIANO"/>
    <s v="U301150"/>
    <s v="tiziano.acqua@intesasanpaolo.com"/>
    <s v="ROMA"/>
    <s v="VIA VINCENZO LAMARO, 25 - 00173 ROMA (RM)"/>
    <s v="System Administrator"/>
    <s v="System Administrator"/>
    <m/>
  </r>
  <r>
    <s v="Arch. Dist Polo Assicurativo"/>
    <s v="ADRIANI"/>
    <s v="JOSEMANUEL"/>
    <s v="U301151"/>
    <s v="josemanuel.adriani@intesasanpaolo.com"/>
    <s v="ROMA"/>
    <s v="VIA VINCENZO LAMARO, 25 - 00173 ROMA (RM)"/>
    <s v="System Administrator"/>
    <s v="System Administrator"/>
    <m/>
  </r>
  <r>
    <s v="Estero e Sistemi Specialistici"/>
    <s v="ALLEGRETTI"/>
    <s v="GABRIELE"/>
    <s v="  "/>
    <s v="gabriele.allegretti@intesasanpaolo.com"/>
    <s v="BISCEGLIE (MI)"/>
    <s v="VIA BISCEGLIE, 120 - 20152 MILANO (MI)"/>
    <s v="System Administrator"/>
    <e v="#N/A"/>
    <m/>
  </r>
  <r>
    <s v="Arch. Dist. Banca IMI, Risk, Tesoreria"/>
    <s v="BARRECA"/>
    <s v="DANIELE AUGUSTO"/>
    <s v="  "/>
    <s v="daniele.barreca@intesasanpaolo.com"/>
    <s v="BISCEGLIE (MI)"/>
    <s v="VIA BISCEGLIE, 120 - 20152 MILANO (MI)"/>
    <s v="Infrastructure Architect"/>
    <e v="#N/A"/>
    <m/>
  </r>
  <r>
    <s v="Arch. Dist. Banca IMI, Risk, Tesoreria"/>
    <s v="BELLATORRE"/>
    <s v="SILVANO"/>
    <s v="U093191"/>
    <s v="silvano.bellatorre@intesasanpaolo.com"/>
    <s v="BISCEGLIE (MI)"/>
    <s v="VIA BISCEGLIE, 120 - 20152 MILANO (MI)"/>
    <s v="Project Manager "/>
    <s v="Project Manager"/>
    <m/>
  </r>
  <r>
    <s v="Estero e Sistemi Specialistici"/>
    <s v="BERTI"/>
    <s v="FABIO"/>
    <s v="U019700"/>
    <s v="fabio.berti@intesasanpaolo.com"/>
    <s v="MONCALIERI (TO)"/>
    <s v="CORSO SAVONA, 58 - 10024 MONCALIERI (TO)"/>
    <s v="Project Manager "/>
    <s v="Project Manager"/>
    <m/>
  </r>
  <r>
    <s v="Gest. Arch. Banca IMI, Risk, Tesoreria"/>
    <s v="BIANCARDI"/>
    <s v="FLAVIO"/>
    <s v="U093207"/>
    <s v="flavio.biancardi@intesasanpaolo.com"/>
    <s v="MATTIOLI (MI)"/>
    <s v="LARGO MATTIOLI, 3 - 20121 MILANO (MI)"/>
    <s v="System Administrator"/>
    <s v="Operator"/>
    <m/>
  </r>
  <r>
    <s v="Supporto Open Servizi Specialistici"/>
    <s v="BIANCHI"/>
    <s v="UMBERTO"/>
    <s v="U086192"/>
    <s v="umberto.bianchi@intesasanpaolo.com"/>
    <s v="BISCEGLIE (MI)"/>
    <s v="VIA BISCEGLIE, 120 - 20152 MILANO (MI)"/>
    <s v="System Administrator"/>
    <s v="Operator"/>
    <m/>
  </r>
  <r>
    <s v="Arch. Dist. Fideuram"/>
    <s v="BIANCHINI"/>
    <s v="FULVIO"/>
    <s v="U301163"/>
    <s v="fulvio.bianchini@intesasanpaolo.com"/>
    <s v="ROMA"/>
    <s v="VIA VINCENZO LAMARO, 25 - 00173 ROMA (RM)"/>
    <s v="System Administrator"/>
    <s v="System Administrator"/>
    <m/>
  </r>
  <r>
    <s v="Supporto Open Servizi Specialistici"/>
    <s v="BIFFI"/>
    <s v="ENRICO"/>
    <s v="U086306"/>
    <s v="enrico.biffi@intesasanpaolo.com"/>
    <s v="BISCEGLIE (MI)"/>
    <s v="VIA BISCEGLIE, 120 - 20152 MILANO (MI)"/>
    <s v="System Administrator"/>
    <s v="Operator"/>
    <m/>
  </r>
  <r>
    <s v="Estero e Sistemi Specialistici"/>
    <s v="BIGGI"/>
    <s v="MATTIA"/>
    <s v="  "/>
    <s v="mattia.biggi@intesasanpaolo.com"/>
    <s v="PARMA"/>
    <s v="VIA LANGHIRANO, 1 - PAL. C - 43100 PARMA (PR)"/>
    <s v="System Administrator"/>
    <e v="#N/A"/>
    <m/>
  </r>
  <r>
    <s v="Gest. Arch. Banca IMI, Risk, Tesoreria"/>
    <s v="BIONDO"/>
    <s v="ALESSANDRO"/>
    <s v="  "/>
    <s v="alessandro.biondo@intesasanpaolo.com"/>
    <s v="BISCEGLIE (MI)"/>
    <s v="VIA BISCEGLIE, 120 - 20152 MILANO (MI)"/>
    <s v="System Administrator"/>
    <e v="#N/A"/>
    <m/>
  </r>
  <r>
    <s v="Supporto Open Servizi Specialistici"/>
    <s v="BOCCHI"/>
    <s v="MATTIA"/>
    <s v="U086190"/>
    <s v="mattia.bocchi@intesasanpaolo.com"/>
    <s v="PARMA"/>
    <s v="VIA LANGHIRANO, 1 - PAL. C - 43100 PARMA (PR)"/>
    <s v="Data Base Administrator"/>
    <s v="System Administrator"/>
    <m/>
  </r>
  <r>
    <s v="Supporto Open Servizi Specialistici"/>
    <s v="BONATI"/>
    <s v="ILARIA"/>
    <s v="U086162"/>
    <s v="ilaria.bonati@intesasanpaolo.com"/>
    <s v="PARMA"/>
    <s v="VIA LANGHIRANO, 1 - PAL. C - 43100 PARMA (PR)"/>
    <s v="Data Base Administrator"/>
    <s v="Data Base Administrator"/>
    <m/>
  </r>
  <r>
    <s v="Gest. Arch. Banca IMI, Risk, Tesoreria"/>
    <s v="BREGA"/>
    <s v="PAOLO LUIGI"/>
    <s v="  "/>
    <s v="paolo.brega@intesasanpaolo.com"/>
    <s v="BISCEGLIE (MI)"/>
    <s v="VIA BISCEGLIE, 120 - 20152 MILANO (MI)"/>
    <s v="Data Base Administrator"/>
    <e v="#N/A"/>
    <m/>
  </r>
  <r>
    <s v="Estero e Sistemi Specialistici"/>
    <s v="CAMOSSO"/>
    <s v="ENRICO"/>
    <s v="U018732"/>
    <s v="enrico.camosso@intesasanpaolo.com"/>
    <s v="MONCALIERI (TO)"/>
    <s v="CORSO SAVONA, 58 - 10024 MONCALIERI (TO)"/>
    <s v="Program Manager"/>
    <s v="Project Manager"/>
    <m/>
  </r>
  <r>
    <s v="Gest. Arch. Banca IMI, Risk, Tesoreria"/>
    <s v="CAMPECE"/>
    <s v="ARMANDO"/>
    <s v="U093203"/>
    <s v="armando.campece@intesasanpaolo.com"/>
    <s v="BISCEGLIE (MI)"/>
    <s v="VIA BISCEGLIE, 120 - 20152 MILANO (MI)"/>
    <s v="System Administrator"/>
    <s v="System Administrator"/>
    <m/>
  </r>
  <r>
    <s v="Arch. Dist Polo Assicurativo"/>
    <s v="CAMPOLI"/>
    <s v="MARCO"/>
    <s v="U301168"/>
    <s v="marco.campoli@intesasanpaolo.com"/>
    <s v="ROMA"/>
    <s v="VIA VINCENZO LAMARO, 25 - 00173 ROMA (RM)"/>
    <s v="System Administrator"/>
    <s v="System Administrator"/>
    <m/>
  </r>
  <r>
    <s v="Arch. Dist. Fideuram"/>
    <s v="CANALI DE ROSSI"/>
    <s v="GIOVANNI"/>
    <s v="U301169"/>
    <s v="giovanni.canaliderossi@intesasanpaolo.com"/>
    <s v="ROMA"/>
    <s v="VIA VINCENZO LAMARO, 25 - 00173 ROMA (RM)"/>
    <s v="System Administrator"/>
    <s v="System Administrator"/>
    <m/>
  </r>
  <r>
    <s v="Arch. Dist Polo Assicurativo"/>
    <s v="CANCELLARIO"/>
    <s v="ALESSANDRO"/>
    <s v="U301170"/>
    <s v="alessandro.cancellario@intesasanpaolo.com"/>
    <s v="ROMA"/>
    <s v="VIA VINCENZO LAMARO, 25 - 00173 ROMA (RM)"/>
    <s v="System Administrator"/>
    <s v="System Administrator"/>
    <m/>
  </r>
  <r>
    <s v="Arch. Dist Eurizon Capital"/>
    <s v="CANNATA GALANTE"/>
    <s v="CARMELA"/>
    <s v="  "/>
    <s v="carmela.cannatagalante@intesasanpaolo.com"/>
    <s v="BISCEGLIE (MI)"/>
    <s v="VIA BISCEGLIE, 120 - 20152 MILANO (MI)"/>
    <s v="Project Manager "/>
    <e v="#N/A"/>
    <m/>
  </r>
  <r>
    <s v="Arch. Dist. Banca IMI, Risk, Tesoreria"/>
    <s v="CARDILLO"/>
    <s v="GIULIA"/>
    <s v="  "/>
    <s v="giulia.cardillo@intesasanpaolo.com"/>
    <s v="BISCEGLIE (MI)"/>
    <s v="VIA BISCEGLIE, 120 - 20152 MILANO (MI)"/>
    <s v="Project Manager "/>
    <e v="#N/A"/>
    <m/>
  </r>
  <r>
    <s v="Arch. Dist. Banca IMI, Risk, Tesoreria"/>
    <s v="CARDINALE"/>
    <s v="SIMONE"/>
    <s v="  "/>
    <s v="simone.cardinale@intesasanpaolo.com"/>
    <s v="BISCEGLIE (MI)"/>
    <s v="VIA BISCEGLIE, 120 - 20152 MILANO (MI)"/>
    <s v="Project Manager "/>
    <e v="#N/A"/>
    <m/>
  </r>
  <r>
    <s v="Gest. Arch. Banca IMI, Risk, Tesoreria"/>
    <s v="CEGLIA"/>
    <s v="STEFANO"/>
    <s v="U363906"/>
    <s v="stefano.ceglia@intesasanpaolo.com"/>
    <s v="BISCEGLIE (MI)"/>
    <s v="VIA BISCEGLIE, 120 - 20152 MILANO (MI)"/>
    <s v="System Administrator"/>
    <s v="System Administrator"/>
    <m/>
  </r>
  <r>
    <s v="Estero e Sistemi Specialistici"/>
    <s v="CHIANCA"/>
    <s v="CRISTINA"/>
    <s v="U086178"/>
    <s v="cristina.chianca@intesasanpaolo.com"/>
    <s v="PARMA"/>
    <s v="VIA LANGHIRANO, 1 - PAL. C - 43100 PARMA (PR)"/>
    <s v="Data Base Administrator"/>
    <s v="Data Base Administrator"/>
    <m/>
  </r>
  <r>
    <s v="Arch. Dist. Fideuram"/>
    <s v="CHIOFALO"/>
    <s v="ALESSANDRO"/>
    <s v="  "/>
    <s v="alessandro.chiofalo@intesasanpaolo.com"/>
    <s v="ROMA"/>
    <s v="VIA VINCENZO LAMARO, 25 - 00173 ROMA (RM)"/>
    <s v="System Administrator"/>
    <e v="#N/A"/>
    <m/>
  </r>
  <r>
    <s v="Arch. Dist Polo Assicurativo"/>
    <s v="CHIOVINI"/>
    <s v="FEDERICO"/>
    <s v="U301180"/>
    <s v="federico.chiovini@intesasanpaolo.com"/>
    <s v="ROMA"/>
    <s v="VIA VINCENZO LAMARO, 25 - 00173 ROMA (RM)"/>
    <s v="System Administrator"/>
    <s v="System Administrator"/>
    <m/>
  </r>
  <r>
    <s v="Estero e Sistemi Specialistici"/>
    <s v="CIRILLO"/>
    <s v="GIUSEPPE GERMANO"/>
    <s v="U085971"/>
    <s v="giuseppe.cirillo@intesasanpaolo.com"/>
    <s v="BISCEGLIE (MI)"/>
    <s v="VIA BISCEGLIE, 120 - 20152 MILANO (MI)"/>
    <s v="Project Manager "/>
    <s v="Project Manager"/>
    <m/>
  </r>
  <r>
    <s v="Gest. Arch. Banca IMI, Risk, Tesoreria"/>
    <s v="COLELLA"/>
    <s v="VITO"/>
    <s v="  "/>
    <s v="vito.colella@intesasanpaolo.com"/>
    <s v="BISCEGLIE (MI)"/>
    <s v="VIA BISCEGLIE, 120 - 20152 MILANO (MI)"/>
    <s v="Data Base Administrator"/>
    <e v="#N/A"/>
    <m/>
  </r>
  <r>
    <s v="Gest. Arch. Banca IMI, Risk, Tesoreria"/>
    <s v="COMINETTI"/>
    <s v="OSCAR GIOVANNI"/>
    <s v="U096759"/>
    <s v="oscar.cominetti@intesasanpaolo.com"/>
    <s v="GIORDANO (MI)"/>
    <s v="P.TTA GIORDANO DELL'AMORE, 3 - 20121 MILANO (MI)"/>
    <s v="System Administrator"/>
    <s v="Operator"/>
    <m/>
  </r>
  <r>
    <s v="Arch. Dist. Fideuram"/>
    <s v="CONSALVI"/>
    <s v="DOMENICO"/>
    <s v="U301184"/>
    <s v="domenico.consalvi@intesasanpaolo.com"/>
    <s v="ROMA"/>
    <s v="VIA VINCENZO LAMARO, 25 - 00173 ROMA (RM)"/>
    <s v="Data Base Administrator"/>
    <s v="Data Base Administrator"/>
    <m/>
  </r>
  <r>
    <s v="Estero e Sistemi Specialistici"/>
    <s v="CORBANI"/>
    <s v="LUCA"/>
    <s v="U086255"/>
    <s v="luca.corbani@intesasanpaolo.com"/>
    <s v="PARMA"/>
    <s v="VIA LANGHIRANO, 1 - PAL. C - 43100 PARMA (PR)"/>
    <s v="Project Manager "/>
    <s v="Project Manager"/>
    <m/>
  </r>
  <r>
    <s v="Arch. Dist Eurizon Capital"/>
    <s v="COSTANTINO"/>
    <s v="GIANLUCA MARIA"/>
    <s v="U304268"/>
    <s v="gianluca.costantino@intesasanpaolo.com"/>
    <s v="BISCEGLIE (MI)"/>
    <s v="VIA BISCEGLIE, 120 - 20152 MILANO (MI)"/>
    <s v="Project Manager "/>
    <s v="System Administrator"/>
    <m/>
  </r>
  <r>
    <s v="Arch. Dist Polo Assicurativo"/>
    <s v="CUOMO"/>
    <s v="TOMMASO"/>
    <s v="U028753"/>
    <s v="tommaso.cuomo@intesasanpaolo.com"/>
    <s v="ROMA"/>
    <s v="VIA VINCENZO LAMARO, 25 - 00173 ROMA (RM)"/>
    <s v="Project Manager "/>
    <s v="IT Coordinator"/>
    <m/>
  </r>
  <r>
    <s v="Arch. Dist Polo Assicurativo"/>
    <s v="DAL BON"/>
    <s v="PAOLA"/>
    <s v="U086179"/>
    <s v="paola.dalbon@intesasanpaolo.com"/>
    <s v="ROMA"/>
    <s v="VIA VINCENZO LAMARO, 25 - 00173 ROMA (RM)"/>
    <s v="Data Base Administrator"/>
    <s v="Data Base Administrator"/>
    <m/>
  </r>
  <r>
    <s v="Gest. Arch. Banca IMI, Risk, Tesoreria"/>
    <s v="D'ALESSIO"/>
    <s v="STEFANO"/>
    <s v="  "/>
    <s v="stefano.dalessio@intesasanpaolo.com"/>
    <s v="BISCEGLIE (MI)"/>
    <s v="VIA BISCEGLIE, 120 - 20152 MILANO (MI)"/>
    <s v="Data Base Administrator"/>
    <e v="#N/A"/>
    <m/>
  </r>
  <r>
    <s v="Gest. Arch. Banca IMI, Risk, Tesoreria"/>
    <s v="D'ANGELO"/>
    <s v="ALBERTO"/>
    <s v="  "/>
    <s v="alberto.dangelo@intesasanpaolo.com"/>
    <s v="BISCEGLIE (MI)"/>
    <s v="VIA BISCEGLIE, 120 - 20152 MILANO (MI)"/>
    <s v="Data Base Administrator"/>
    <e v="#N/A"/>
    <m/>
  </r>
  <r>
    <s v="Estero e Sistemi Specialistici"/>
    <s v="DE FRANCESCO"/>
    <s v="CLAUDIO"/>
    <s v="U023765"/>
    <s v="claudio.defrancesco@intesasanpaolo.com"/>
    <s v="MONCALIERI (TO)"/>
    <s v="CORSO SAVONA, 58 - 10024 MONCALIERI (TO)"/>
    <s v="System Administrator"/>
    <s v="System Administrator"/>
    <m/>
  </r>
  <r>
    <s v="Supporto Open Servizi Specialistici"/>
    <s v="DEL VECCHIO"/>
    <s v="ANNA MARIA"/>
    <s v="U085891"/>
    <s v="anna.delvecchio@intesasanpaolo.com"/>
    <s v="PARMA"/>
    <s v="VIA LANGHIRANO, 1 - PAL. C - 43100 PARMA (PR)"/>
    <s v="Data Base Administrator"/>
    <s v="Operator"/>
    <m/>
  </r>
  <r>
    <s v="Supporto Open Servizi Specialistici"/>
    <s v="DELLA RAGIONE"/>
    <s v="FAUSTO"/>
    <s v="U086372"/>
    <s v="fausto.dellaragione@intesasanpaolo.com"/>
    <s v="BISCEGLIE (MI)"/>
    <s v="VIA BISCEGLIE, 120 - 20152 MILANO (MI)"/>
    <s v="System Administrator"/>
    <s v="Operator"/>
    <m/>
  </r>
  <r>
    <s v="Arch. Dist Polo Assicurativo"/>
    <s v="DI STEFANO"/>
    <s v="ELEONORA"/>
    <s v="  "/>
    <s v="eleonora.distefano@intesasanpaolo.com"/>
    <s v="ROMA"/>
    <s v="VIA VINCENZO LAMARO, 25 - 00173 ROMA (RM)"/>
    <s v="Data Base Administrator"/>
    <e v="#N/A"/>
    <m/>
  </r>
  <r>
    <s v="Arch. Dist Eurizon Capital"/>
    <s v="DONSI"/>
    <s v="FABIO"/>
    <s v="U025189"/>
    <s v="fabio.donsi@intesasanpaolo.com"/>
    <s v="BISCEGLIE (MI)"/>
    <s v="VIA BISCEGLIE, 120 - 20152 MILANO (MI)"/>
    <s v="System Administrator"/>
    <s v="Operator"/>
    <m/>
  </r>
  <r>
    <s v="Arch. Dist. Fideuram"/>
    <s v="D'ORTONA"/>
    <s v="UMBERTO"/>
    <s v="  "/>
    <s v="umberto.dortona@intesasanpaolo.com"/>
    <s v="ROMA"/>
    <s v="VIA VINCENZO LAMARO, 25 - 00173 ROMA (RM)"/>
    <s v="Data Base Administrator"/>
    <e v="#N/A"/>
    <m/>
  </r>
  <r>
    <s v="Arch. Dist. Fideuram"/>
    <s v="ESPOSITO"/>
    <s v="FRANCO"/>
    <s v="U301203"/>
    <s v="franco.esposito@intesasanpaolo.com"/>
    <s v="ROMA"/>
    <s v="VIA VINCENZO LAMARO, 25 - 00173 ROMA (RM)"/>
    <s v="System Administrator"/>
    <s v="System Administrator"/>
    <m/>
  </r>
  <r>
    <s v="Transition e Innovation"/>
    <s v="FEDERICI"/>
    <s v="ENEA ENZO"/>
    <s v="U086154"/>
    <s v="enea.federici@intesasanpaolo.com"/>
    <s v="PARMA"/>
    <s v="VIA LANGHIRANO, 1 - PAL. C - 43100 PARMA (PR)"/>
    <s v="IT Coordinator"/>
    <s v="Project Manager"/>
    <s v="--- CONFERMATO AS IS ---"/>
  </r>
  <r>
    <s v="Supporto Open Servizi Specialistici"/>
    <s v="FERRADINI"/>
    <s v="ANDREA GUZMAN"/>
    <s v="U086184"/>
    <s v="andrea.ferradini@intesasanpaolo.com"/>
    <s v="BISCEGLIE (MI)"/>
    <s v="VIA BISCEGLIE, 120 - 20152 MILANO (MI)"/>
    <s v="System Administrator"/>
    <s v="Operator"/>
    <m/>
  </r>
  <r>
    <s v="Estero e Sistemi Specialistici"/>
    <s v="FODDAI"/>
    <s v="VALERIA"/>
    <s v="U086379"/>
    <s v="valeria.foddai@intesasanpaolo.com"/>
    <s v="PARMA"/>
    <s v="VIA LANGHIRANO, 1 - PAL. C - 43100 PARMA (PR)"/>
    <s v="Project Manager "/>
    <s v="Project Manager"/>
    <m/>
  </r>
  <r>
    <s v="Arch. Dist Polo Assicurativo"/>
    <s v="FRAIOLI"/>
    <s v="ANTONIO"/>
    <s v="U301208"/>
    <s v="antonio.fraioli@intesasanpaolo.com"/>
    <s v="ROMA"/>
    <s v="VIA VINCENZO LAMARO, 25 - 00173 ROMA (RM)"/>
    <s v="Data Base Administrator"/>
    <s v="Data Base Administrator"/>
    <m/>
  </r>
  <r>
    <s v="Arch. Dist. Fideuram"/>
    <s v="FRANCO"/>
    <s v="CRISTIANA"/>
    <s v="U301209"/>
    <s v="cristiana.franco@intesasanpaolo.com"/>
    <s v="ROMA"/>
    <s v="VIA VINCENZO LAMARO, 25 - 00173 ROMA (RM)"/>
    <s v="System Administrator"/>
    <s v="System Administrator"/>
    <m/>
  </r>
  <r>
    <s v="Supporto Open Servizi Specialistici"/>
    <s v="GALASSI"/>
    <s v="ALESSANDRO"/>
    <s v="U086405"/>
    <s v="alessandro.galassi@intesasanpaolo.com"/>
    <s v="PARMA"/>
    <s v="VIA LANGHIRANO, 1 - PAL. C - 43100 PARMA (PR)"/>
    <s v="System Administrator"/>
    <s v="System Administrator"/>
    <m/>
  </r>
  <r>
    <s v="Estero e Sistemi Specialistici"/>
    <s v="GALASSI"/>
    <s v="NADIA"/>
    <s v="U028729"/>
    <s v="nadia.galassi@intesasanpaolo.com"/>
    <s v="BOLOGNA"/>
    <s v="PIAZZA SAN DOMENICO - 40124 BOLOGNA (BO)"/>
    <s v="Project Manager "/>
    <s v="Operator"/>
    <m/>
  </r>
  <r>
    <s v="Arch. Dist Polo Assicurativo"/>
    <s v="GARCIA"/>
    <s v="ANDREA"/>
    <s v="U301212"/>
    <s v="andrea.garcia@intesasanpaolo.com"/>
    <s v="ROMA"/>
    <s v="VIA VINCENZO LAMARO, 25 - 00173 ROMA (RM)"/>
    <s v="System Administrator"/>
    <s v="System Administrator"/>
    <m/>
  </r>
  <r>
    <s v="Supporto Open Servizi Specialistici"/>
    <s v="GERVASONI"/>
    <s v="MICHELE"/>
    <s v="U086387"/>
    <s v="michele.gervasoni@intesasanpaolo.com"/>
    <s v="PARMA"/>
    <s v="VIA LANGHIRANO, 1 - PAL. C - 43100 PARMA (PR)"/>
    <s v="System Administrator"/>
    <s v="System Administrator"/>
    <m/>
  </r>
  <r>
    <s v="Estero e Sistemi Specialistici"/>
    <s v="GHISINI"/>
    <s v="LODOVICO"/>
    <s v="U086378"/>
    <s v="lodovico.ghisini@intesasanpaolo.com"/>
    <s v="PARMA"/>
    <s v="VIA LANGHIRANO, 1 - PAL. C - 43100 PARMA (PR)"/>
    <s v="Infrastructure Architect"/>
    <s v="Project Manager"/>
    <m/>
  </r>
  <r>
    <s v="Gest. Arch. Banca IMI, Risk, Tesoreria"/>
    <s v="GIORDANI"/>
    <s v="LUCA"/>
    <s v="  "/>
    <s v="luca.giordani@intesasanpaolo.com"/>
    <s v="BISCEGLIE (MI)"/>
    <s v="VIA BISCEGLIE, 120 - 20152 MILANO (MI)"/>
    <s v="System Administrator"/>
    <e v="#N/A"/>
    <m/>
  </r>
  <r>
    <s v="Arch. Dist Eurizon Capital"/>
    <s v="GORLA"/>
    <s v="ROBERTO"/>
    <s v="U301218"/>
    <s v="roberto.gorla1@intesasanpaolo.com"/>
    <s v="BISCEGLIE (MI)"/>
    <s v="VIA BISCEGLIE, 120 - 20152 MILANO (MI)"/>
    <s v="Operator"/>
    <s v="Operator"/>
    <m/>
  </r>
  <r>
    <s v="Arch. Dist. Banca IMI, Risk, Tesoreria"/>
    <s v="GOZZI"/>
    <s v="GIANMARCO"/>
    <s v="U363972"/>
    <s v="gianmarco.gozzi@intesasanpaolo.com"/>
    <s v="BISCEGLIE (MI)"/>
    <s v="VIA BISCEGLIE, 120 - 20152 MILANO (MI)"/>
    <s v="Project Manager "/>
    <s v="Project Manager"/>
    <m/>
  </r>
  <r>
    <s v="Estero e Sistemi Specialistici"/>
    <s v="GRAMMATICO"/>
    <s v="FRANCESCO"/>
    <s v="  "/>
    <s v="francesco.grammatico@intesasanpaolo.com"/>
    <s v="BISCEGLIE (MI)"/>
    <s v="VIA BISCEGLIE, 120 - 20152 MILANO (MI)"/>
    <s v="System Administrator"/>
    <e v="#N/A"/>
    <m/>
  </r>
  <r>
    <s v="Supporto Open Servizi Specialistici"/>
    <s v="GRAZIOLI"/>
    <s v="CARLO"/>
    <s v="U086353"/>
    <s v="carlo.grazioli@intesasanpaolo.com"/>
    <s v="PARMA"/>
    <s v="VIA LANGHIRANO, 1 - PAL. C - 43100 PARMA (PR)"/>
    <s v="System Administrator"/>
    <s v="System Administrator"/>
    <m/>
  </r>
  <r>
    <s v="Gest. Arch. Banca IMI, Risk, Tesoreria"/>
    <s v="INGEGNERI"/>
    <s v="MATTEO"/>
    <s v="  "/>
    <s v="matteo.ingegneri@intesasanpaolo.com"/>
    <s v="GIORDANO (MI)"/>
    <s v="P.TTA GIORDANO DELL'AMORE, 3 - 20121 MILANO (MI)"/>
    <s v="System Administrator"/>
    <e v="#N/A"/>
    <m/>
  </r>
  <r>
    <s v="Estero e Sistemi Specialistici"/>
    <s v="LUSARDI"/>
    <s v="FABRIZIO"/>
    <s v="U086406"/>
    <s v="fabrizio.lusardi@intesasanpaolo.com"/>
    <s v="PARMA"/>
    <s v="VIA LANGHIRANO, 1 - PAL. C - 43100 PARMA (PR)"/>
    <s v="Infrastructure Architect"/>
    <s v="System Administrator"/>
    <m/>
  </r>
  <r>
    <s v="Arch. Dist Eurizon Capital"/>
    <s v="MADDIONA"/>
    <s v="GIUSEPPE"/>
    <s v="  "/>
    <s v="giuseppe.maddiona@intesasanpaolo.com"/>
    <s v="BISCEGLIE (MI)"/>
    <s v="VIA BISCEGLIE, 120 - 20152 MILANO (MI)"/>
    <s v="Project Manager "/>
    <e v="#N/A"/>
    <m/>
  </r>
  <r>
    <s v="Arch. Dist Eurizon Capital"/>
    <s v="MANCLOSSI"/>
    <s v="ANDREA"/>
    <s v="U301227"/>
    <s v="andrea.manclossi@intesasanpaolo.com"/>
    <s v="BISCEGLIE (MI)"/>
    <s v="VIA BISCEGLIE, 120 - 20152 MILANO (MI)"/>
    <s v="Project Manager "/>
    <s v="System Administrator"/>
    <m/>
  </r>
  <r>
    <s v="Arch. Dist. Fideuram"/>
    <s v="MANGANIELLO"/>
    <s v="MAURIZIO"/>
    <s v="U301228"/>
    <s v="maurizio.manganiello@intesasanpaolo.com"/>
    <s v="ROMA"/>
    <s v="VIA VINCENZO LAMARO, 25 - 00173 ROMA (RM)"/>
    <s v="System Administrator"/>
    <s v="System Administrator"/>
    <m/>
  </r>
  <r>
    <s v="Arch. Dist. Banca IMI, Risk, Tesoreria"/>
    <s v="MANGANO"/>
    <s v="MANFREDI"/>
    <s v="  "/>
    <s v="manfredi.mangano@intesasanpaolo.com"/>
    <s v="BISCEGLIE (MI)"/>
    <s v="VIA BISCEGLIE, 120 - 20152 MILANO (MI)"/>
    <s v="Project Manager "/>
    <e v="#N/A"/>
    <m/>
  </r>
  <r>
    <s v="Arch. Dist. Banca IMI, Risk, Tesoreria"/>
    <s v="MARCHESI"/>
    <s v="LUCA"/>
    <s v="U093199"/>
    <s v="luca.marchesi@intesasanpaolo.com"/>
    <s v="BISCEGLIE (MI)"/>
    <s v="VIA BISCEGLIE, 120 - 20152 MILANO (MI)"/>
    <s v="Project Manager "/>
    <s v="Project Manager"/>
    <m/>
  </r>
  <r>
    <s v="Supporto Open Servizi Specialistici"/>
    <s v="MARVENTANO"/>
    <s v="FABIO"/>
    <s v="U086368"/>
    <s v="fabio.marventano@intesasanpaolo.com"/>
    <s v="BISCEGLIE (MI)"/>
    <s v="VIA BISCEGLIE, 120 - 20152 MILANO (MI)"/>
    <s v="System Administrator"/>
    <s v="Operator"/>
    <m/>
  </r>
  <r>
    <s v="Supporto Open Servizi Specialistici"/>
    <s v="MARVENTANO"/>
    <s v="WALTER"/>
    <s v="U086358"/>
    <s v="walter.marventano@intesasanpaolo.com"/>
    <s v="BISCEGLIE (MI)"/>
    <s v="VIA BISCEGLIE, 120 - 20152 MILANO (MI)"/>
    <s v="System Administrator"/>
    <s v="Operator"/>
    <m/>
  </r>
  <r>
    <s v="Arch. Dist. Fideuram"/>
    <s v="MATTEI"/>
    <s v="VITTORIO MASSIMO"/>
    <s v="U301232"/>
    <s v="vittorio.mattei@intesasanpaolo.com"/>
    <s v="ROMA"/>
    <s v="VIA VINCENZO LAMARO, 25 - 00173 ROMA (RM)"/>
    <s v="Operator"/>
    <s v="Operator"/>
    <m/>
  </r>
  <r>
    <s v="Arch. Dist Polo Assicurativo"/>
    <s v="MAZZOTTA"/>
    <s v="SIMONE"/>
    <s v="U301233"/>
    <s v="simone.mazzotta@intesasanpaolo.com"/>
    <s v="ROMA"/>
    <s v="VIA VINCENZO LAMARO, 25 - 00173 ROMA (RM)"/>
    <s v="System Administrator"/>
    <s v="System Administrator"/>
    <m/>
  </r>
  <r>
    <s v="Arch. Dist Eurizon Capital"/>
    <s v="MERLINI"/>
    <s v="MARCO"/>
    <s v="  "/>
    <s v="marco.merlini@intesasanpaolo.com"/>
    <s v="BISCEGLIE (MI)"/>
    <s v="VIA BISCEGLIE, 120 - 20152 MILANO (MI)"/>
    <s v="Project Manager "/>
    <e v="#N/A"/>
    <m/>
  </r>
  <r>
    <s v="Gest. Arch. Banca IMI, Risk, Tesoreria"/>
    <s v="MORATO"/>
    <s v="STEFANO"/>
    <s v="U025221"/>
    <s v="stefano.morato@intesasanpaolo.com"/>
    <s v="MATTIOLI (MI)"/>
    <s v="LARGO MATTIOLI, 3 - 20121 MILANO (MI)"/>
    <s v="System Administrator"/>
    <s v="System Administrator"/>
    <m/>
  </r>
  <r>
    <s v="Gest. Arch. Banca IMI, Risk, Tesoreria"/>
    <s v="MUNEGATO"/>
    <s v="DAVIDE"/>
    <s v="U086364"/>
    <s v="davide.munegato@intesasanpaolo.com"/>
    <s v="BISCEGLIE (MI)"/>
    <s v="VIA BISCEGLIE, 120 - 20152 MILANO (MI)"/>
    <s v="System Administrator"/>
    <s v="System Administrator"/>
    <m/>
  </r>
  <r>
    <s v="Arch. Dist Polo Assicurativo"/>
    <s v="MUSSINI"/>
    <s v="MAURO"/>
    <s v="U301240"/>
    <s v="mauro.mussini@intesasanpaolo.com"/>
    <s v="ROMA"/>
    <s v="VIA VINCENZO LAMARO, 25 - 00173 ROMA (RM)"/>
    <s v="Project Manager "/>
    <s v="System Administrator"/>
    <m/>
  </r>
  <r>
    <s v="Arch. Dist Eurizon Capital"/>
    <s v="NARDIN"/>
    <s v="DANIEL"/>
    <s v="U304273"/>
    <s v="daniel.nardin@intesasanpaolo.com"/>
    <s v="BISCEGLIE (MI)"/>
    <s v="VIA BISCEGLIE, 120 - 20152 MILANO (MI)"/>
    <s v="Infrastructure Architect"/>
    <s v="System Administrator"/>
    <m/>
  </r>
  <r>
    <s v="Gest. Arch. Banca IMI, Risk, Tesoreria"/>
    <s v="NOBILE"/>
    <s v="VALENTINO"/>
    <s v="U093186"/>
    <s v="valentino.nobile@intesasanpaolo.com"/>
    <s v="BISCEGLIE (MI)"/>
    <s v="VIA BISCEGLIE, 120 - 20152 MILANO (MI)"/>
    <s v="System Administrator"/>
    <s v="System Administrator"/>
    <m/>
  </r>
  <r>
    <s v="Arch. Dist. Banca IMI, Risk, Tesoreria"/>
    <s v="NOVA"/>
    <s v="LAURA"/>
    <s v="  "/>
    <s v="laura.nova@intesasanpaolo.com"/>
    <s v="BISCEGLIE (MI)"/>
    <s v="VIA BISCEGLIE, 120 - 20152 MILANO (MI)"/>
    <s v="Project Manager "/>
    <e v="#N/A"/>
    <m/>
  </r>
  <r>
    <s v="Arch. Dist. Fideuram"/>
    <s v="PANTALEONE"/>
    <s v="MASSIMILIANO"/>
    <s v="U301247"/>
    <s v="massimiliano.pantaleone@intesasanpaolo.com"/>
    <s v="ROMA"/>
    <s v="VIA VINCENZO LAMARO, 25 - 00173 ROMA (RM)"/>
    <s v="Operator"/>
    <s v="Operator"/>
    <m/>
  </r>
  <r>
    <s v="Gest. Arch. Banca IMI, Risk, Tesoreria"/>
    <s v="PASSARELLA"/>
    <s v="STEFANO"/>
    <s v="U093233"/>
    <s v="stefano.passarella@intesasanpaolo.com"/>
    <s v="BISCEGLIE (MI)"/>
    <s v="VIA BISCEGLIE, 120 - 20152 MILANO (MI)"/>
    <s v="Data Base Administrator"/>
    <s v="Data Base Administrator"/>
    <m/>
  </r>
  <r>
    <s v="Arch. Dist Eurizon Capital"/>
    <s v="PAVIA"/>
    <s v="PAOLO"/>
    <s v="U301250"/>
    <s v="paolo.pavia@intesasanpaolo.com"/>
    <s v="STELVIO (MI)"/>
    <s v="VIALE STELVIO, 55 - 20159 MILANO (MI)"/>
    <s v="Operator"/>
    <s v="Operator"/>
    <m/>
  </r>
  <r>
    <s v="Arch. Dist. Banca IMI, Risk, Tesoreria"/>
    <s v="PIATTI"/>
    <s v="RENZO"/>
    <s v="U342818"/>
    <s v="renzo.piatti@intesasanpaolo.com"/>
    <s v="BISCEGLIE (MI)"/>
    <s v="VIA BISCEGLIE, 120 - 20152 MILANO (MI)"/>
    <s v="Infrastructure Architect"/>
    <s v="Project Manager"/>
    <m/>
  </r>
  <r>
    <s v="Arch. Dist. Fideuram"/>
    <s v="PREVETE"/>
    <s v="VINCENZO"/>
    <s v="U301254"/>
    <s v="vincenzo.prevete@intesasanpaolo.com"/>
    <s v="ROMA"/>
    <s v="VIA VINCENZO LAMARO, 25 - 00173 ROMA (RM)"/>
    <s v="System Administrator"/>
    <s v="System Administrator"/>
    <m/>
  </r>
  <r>
    <s v="Estero e Sistemi Specialistici"/>
    <s v="QUERZE'"/>
    <s v="MICHELE"/>
    <s v="U028716"/>
    <s v="michele.querze@intesasanpaolo.com"/>
    <s v="BOLOGNA"/>
    <s v="PIAZZA SAN DOMENICO - 40124 BOLOGNA (BO)"/>
    <s v="System Administrator"/>
    <s v="System Administrator"/>
    <m/>
  </r>
  <r>
    <s v="Arch. Dist Polo Assicurativo"/>
    <s v="QUINTILI"/>
    <s v="MARCO"/>
    <s v="U301257"/>
    <s v="marco.quintili@intesasanpaolo.com"/>
    <s v="ROMA"/>
    <s v="VIA VINCENZO LAMARO, 25 - 00173 ROMA (RM)"/>
    <s v="Data Base Administrator"/>
    <s v="Data Base Administrator"/>
    <m/>
  </r>
  <r>
    <s v="Arch. Dist. Banca IMI, Risk, Tesoreria"/>
    <s v="REIBALDI"/>
    <s v="ROBERTO"/>
    <s v="U301261"/>
    <s v="roberto.reibaldi@intesasanpaolo.com"/>
    <s v="BISCEGLIE (MI)"/>
    <s v="VIA BISCEGLIE, 120 - 20152 MILANO (MI)"/>
    <s v="Demand Manager"/>
    <s v="Project Manager"/>
    <m/>
  </r>
  <r>
    <s v="Gest. Arch. Banca IMI, Risk, Tesoreria"/>
    <s v="ROMEO"/>
    <s v="MARIANO"/>
    <s v="  "/>
    <s v="mariano.romeo@intesasanpaolo.com"/>
    <s v="BISCEGLIE (MI)"/>
    <s v="VIA BISCEGLIE, 120 - 20152 MILANO (MI)"/>
    <s v="Data Base Administrator"/>
    <e v="#N/A"/>
    <m/>
  </r>
  <r>
    <s v="Supporto Open Servizi Specialistici"/>
    <s v="RONCAGLIO"/>
    <s v="ANDREA"/>
    <s v="  "/>
    <s v="andrea.roncaglio@intesasanpaolo.com"/>
    <s v="PARMA"/>
    <s v="VIA LANGHIRANO, 1 - PAL. C - 43100 PARMA (PR)"/>
    <s v="Data Base Administrator"/>
    <e v="#N/A"/>
    <m/>
  </r>
  <r>
    <s v="Arch. Dist. Fideuram"/>
    <s v="RUGORA"/>
    <s v="GIORGIO"/>
    <s v="U301266"/>
    <s v="giorgio.rugora@intesasanpaolo.com"/>
    <s v="ROMA"/>
    <s v="VIA VINCENZO LAMARO, 25 - 00173 ROMA (RM)"/>
    <s v="Data Base Administrator"/>
    <s v="Data Base Administrator"/>
    <m/>
  </r>
  <r>
    <s v="Arch. Dist. Fideuram"/>
    <s v="SALERNO"/>
    <s v="OLIVIERO"/>
    <s v="U301267"/>
    <s v="oliviero.salerno@intesasanpaolo.com"/>
    <s v="ROMA"/>
    <s v="VIA VINCENZO LAMARO, 25 - 00173 ROMA (RM)"/>
    <s v="System Administrator"/>
    <s v="System Administrator"/>
    <m/>
  </r>
  <r>
    <s v="Arch. Dist. Fideuram"/>
    <s v="SALI"/>
    <s v="ANTONIO"/>
    <s v="U301268"/>
    <s v="antonio.sali@intesasanpaolo.com"/>
    <s v="ROMA"/>
    <s v="VIA VINCENZO LAMARO, 25 - 00173 ROMA (RM)"/>
    <s v="System Administrator"/>
    <s v="System Administrator"/>
    <m/>
  </r>
  <r>
    <s v="Estero e Sistemi Specialistici"/>
    <s v="SCAFIDI"/>
    <s v="ALESSANDRO"/>
    <s v="U028712"/>
    <s v="alessandro.scafidi@intesasanpaolo.com"/>
    <s v="BOLOGNA"/>
    <s v="PIAZZA SAN DOMENICO - 40124 BOLOGNA (BO)"/>
    <s v="Project Manager "/>
    <s v="System Administrator"/>
    <m/>
  </r>
  <r>
    <s v="Gest. Arch. Banca IMI, Risk, Tesoreria"/>
    <s v="SCARAMASTRA"/>
    <s v="FABIO"/>
    <s v="U363987"/>
    <s v="fabio.scaramastra@intesasanpaolo.com"/>
    <s v="BISCEGLIE (MI)"/>
    <s v="VIA BISCEGLIE, 120 - 20152 MILANO (MI)"/>
    <s v="System Administrator"/>
    <s v="System Administrator"/>
    <m/>
  </r>
  <r>
    <s v="Arch. Dist. Banca IMI, Risk, Tesoreria"/>
    <s v="SICIGNANO"/>
    <s v="RAFFAELE"/>
    <s v="U301276"/>
    <s v="raffaele.sicignano@intesasanpaolo.com"/>
    <s v="BISCEGLIE (MI)"/>
    <s v="VIA BISCEGLIE, 120 - 20152 MILANO (MI)"/>
    <s v="Project Manager "/>
    <s v="Project Manager"/>
    <m/>
  </r>
  <r>
    <s v="Arch. Dist. Fideuram"/>
    <s v="SIRACUSA"/>
    <s v="DARIO"/>
    <s v="  "/>
    <s v="dario.siracusa@intesasanpaolo.com"/>
    <s v="ROMA"/>
    <s v="VIA VINCENZO LAMARO, 25 - 00173 ROMA (RM)"/>
    <s v="Data Base Administrator"/>
    <e v="#N/A"/>
    <m/>
  </r>
  <r>
    <s v="Gest. Arch. Banca IMI, Risk, Tesoreria"/>
    <s v="SPINELLI"/>
    <s v="MONICA"/>
    <s v="U084063"/>
    <s v="monica.spinelli@intesasanpaolo.com"/>
    <s v="BISCEGLIE (MI)"/>
    <s v="VIA BISCEGLIE, 120 - 20152 MILANO (MI)"/>
    <s v="Data Base Administrator"/>
    <s v="Data Base Administrator"/>
    <m/>
  </r>
  <r>
    <s v="Gest. Arch. Banca IMI, Risk, Tesoreria"/>
    <s v="UGENTI"/>
    <s v="GIANMARCO"/>
    <s v="  "/>
    <s v="gianmarco.ugenti@intesasanpaolo.com"/>
    <s v="BISCEGLIE (MI)"/>
    <s v="VIA BISCEGLIE, 120 - 20152 MILANO (MI)"/>
    <s v="Data Base Administrator"/>
    <e v="#N/A"/>
    <m/>
  </r>
  <r>
    <s v="Arch. Dist. Fideuram"/>
    <s v="VILLO'"/>
    <s v="OLIVIO"/>
    <s v="U301291"/>
    <s v="olivio.villo@intesasanpaolo.com"/>
    <s v="ROMA"/>
    <s v="VIA VINCENZO LAMARO, 25 - 00173 ROMA (RM)"/>
    <s v="System Administrator"/>
    <s v="System Administrator"/>
    <m/>
  </r>
  <r>
    <s v="Estero e Sistemi Specialistici"/>
    <s v="ZANELLA"/>
    <s v="ANDREA"/>
    <s v="U086409"/>
    <s v="andrea.zanella@intesasanpaolo.com"/>
    <s v="PARMA"/>
    <s v="VIA LANGHIRANO, 1 - PAL. C - 43100 PARMA (PR)"/>
    <s v="Infrastructure Architect"/>
    <s v="System Administrator"/>
    <m/>
  </r>
  <r>
    <s v="Gest. Arch. Banca IMI, Risk, Tesoreria"/>
    <s v="ZANETTI"/>
    <s v="MATTEO"/>
    <s v="  "/>
    <s v="matteo.zanetti@intesasanpaolo.com"/>
    <s v="GIORDANO (MI)"/>
    <s v="P.TTA GIORDANO DELL'AMORE, 3 - 20121 MILANO (MI)"/>
    <s v="System Administrator"/>
    <e v="#N/A"/>
    <m/>
  </r>
  <r>
    <s v="Gest. Arch. Banca IMI, Risk, Tesoreria"/>
    <s v="ZANOTTA"/>
    <s v="PAOLO"/>
    <s v="U085958"/>
    <s v="paolo.zanotta@intesasanpaolo.com"/>
    <s v="BISCEGLIE (MI)"/>
    <s v="VIA BISCEGLIE, 120 - 20152 MILANO (MI)"/>
    <s v="System Administrator"/>
    <s v="Network Administrator"/>
    <m/>
  </r>
  <r>
    <m/>
    <s v="COLASANTO"/>
    <s v="ANTONIO"/>
    <s v="  "/>
    <s v="antonio.colasanto@intesasanpaolo.com"/>
    <s v="MONCALIERI (TO)"/>
    <s v="CORSO SAVONA, 58 - 10024 MONCALIERI (TO)"/>
    <s v="  "/>
    <e v="#N/A"/>
    <m/>
  </r>
  <r>
    <s v="CC Database"/>
    <s v="BRUNO"/>
    <s v="GIOVANNI"/>
    <s v="U018933"/>
    <s v="giovanni.bruno1@intesasanpaolo.com"/>
    <s v="MONCALIERI (TO)"/>
    <s v="CORSO SAVONA, 58 - 10024 MONCALIERI (TO)"/>
    <s v="IT Coordinator"/>
    <s v="IT Coordinator"/>
    <s v="IT Coordinator"/>
  </r>
  <r>
    <s v="CC Server Farm e Storage"/>
    <s v="CAVALIERE"/>
    <s v="MARCO"/>
    <s v="U016369"/>
    <s v="marco.cavaliere@intesasanpaolo.com"/>
    <s v="MONCALIERI (TO)"/>
    <s v="CORSO SAVONA, 58 - 10024 MONCALIERI (TO)"/>
    <s v="IT Coordinator"/>
    <s v="IT Coordinator"/>
    <s v="IT Coordinator"/>
  </r>
  <r>
    <s v="Coordinamento Progetti"/>
    <s v="EINAUDI"/>
    <s v="GIORGIO"/>
    <s v="U018221"/>
    <s v="giorgio.einaudi@intesasanpaolo.com"/>
    <s v="MONCALIERI (TO)"/>
    <s v="CORSO SAVONA, 58 - 10024 MONCALIERI (TO)"/>
    <s v="IT Coordinator"/>
    <s v="IT Coordinator"/>
    <s v="IT Coordinator"/>
  </r>
  <r>
    <s v="CC Application"/>
    <s v="FASANO"/>
    <s v="FLAVIO"/>
    <s v="U019659"/>
    <s v="flavio.fasano@intesasanpaolo.com"/>
    <s v="MONCALIERI (TO)"/>
    <s v="CORSO SAVONA, 58 - 10024 MONCALIERI (TO)"/>
    <s v="IT Coordinator"/>
    <s v="IT Coordinator"/>
    <s v="IT Coordinator"/>
  </r>
  <r>
    <s v="CC DC SW e Rete"/>
    <s v="GRIBAUDO"/>
    <s v="EZIO"/>
    <s v="U017377"/>
    <s v="ezio.gribaudo@intesasanpaolo.com"/>
    <s v="MONCALIERI (TO)"/>
    <s v="CORSO SAVONA, 58 - 10024 MONCALIERI (TO)"/>
    <s v="IT Coordinator"/>
    <s v="IT Coordinator"/>
    <s v="IT Coordinator"/>
  </r>
  <r>
    <s v="CC Sistemi DWH e BI"/>
    <s v="NOVARO"/>
    <s v="ROBERTO"/>
    <s v="U028140"/>
    <s v="roberto.novaro@intesasanpaolo.com"/>
    <s v="MONCALIERI (TO)"/>
    <s v="CORSO SAVONA, 58 - 10024 MONCALIERI (TO)"/>
    <s v="IT Coordinator"/>
    <s v="Project Manager"/>
    <s v="IT Coordinator"/>
  </r>
  <r>
    <s v="Data Mgmt e Supporto Storage"/>
    <s v="PARISI"/>
    <s v="GIANMARIO"/>
    <s v="U023180"/>
    <s v="gianmario.parisi@intesasanpaolo.com"/>
    <s v="MONCALIERI (TO)"/>
    <s v="CORSO SAVONA, 58 - 10024 MONCALIERI (TO)"/>
    <s v="IT Coordinator"/>
    <s v="System Administrator"/>
    <s v="IT Coordinator"/>
  </r>
  <r>
    <s v="DR e BC"/>
    <s v="TRAFICANTE"/>
    <s v="GIANLUCA"/>
    <s v="U024722"/>
    <s v="gianluca.traficante@intesasanpaolo.com"/>
    <s v="MONCALIERI (TO)"/>
    <s v="CORSO SAVONA, 58 - 10024 MONCALIERI (TO)"/>
    <s v="IT Coordinator"/>
    <s v="System Administrator"/>
    <s v="IT Coordinator"/>
  </r>
  <r>
    <s v="CC Application"/>
    <s v="ADDARIO"/>
    <s v="ANTONIO"/>
    <s v="  "/>
    <s v="antonio.addario@intesasanpaolo.com"/>
    <s v="MONCALIERI (TO)"/>
    <s v="CORSO SAVONA, 58 - 10024 MONCALIERI (TO)"/>
    <s v="System Administrator"/>
    <e v="#N/A"/>
    <s v="Project Manager "/>
  </r>
  <r>
    <s v="Coordinamento Progetti"/>
    <s v="ALESSANDRIA"/>
    <s v="WALTER"/>
    <s v="  "/>
    <s v="walter.alessandria@intesasanpaolo.com"/>
    <s v="MONCALIERI (TO)"/>
    <s v="CORSO SAVONA, 58 - 10024 MONCALIERI (TO)"/>
    <s v="Infrastructure Architect"/>
    <e v="#N/A"/>
    <s v="Infrastructure Architect"/>
  </r>
  <r>
    <s v="CC Database"/>
    <s v="ALLOISIO"/>
    <s v="PIERMARIO"/>
    <s v="U026567"/>
    <s v="piermario.alloisio@intesasanpaolo.com"/>
    <s v="MONCALIERI (TO)"/>
    <s v="CORSO SAVONA, 58 - 10024 MONCALIERI (TO)"/>
    <s v="Project Manager "/>
    <s v="Project Manager"/>
    <s v="Infrastructure Architect"/>
  </r>
  <r>
    <s v="Coordinamento Progetti"/>
    <s v="ANDREIS"/>
    <s v="PIERO"/>
    <s v="U017976"/>
    <s v="piero.andreis@intesasanpaolo.com"/>
    <s v="MONCALIERI (TO)"/>
    <s v="CORSO SAVONA, 58 - 10024 MONCALIERI (TO)"/>
    <s v="Delivery manager"/>
    <s v="System Administrator"/>
    <s v="Delivery manager"/>
  </r>
  <r>
    <s v="CC Database"/>
    <s v="ANELLI"/>
    <s v="CRISTINA"/>
    <s v="U086189"/>
    <s v="cristina.anelli@intesasanpaolo.com"/>
    <s v="PARMA"/>
    <s v="VIA LANGHIRANO, 1 - PAL. C - 43100 PARMA (PR)"/>
    <s v="Data Base Administrator"/>
    <s v="Data Base Administrator"/>
    <s v="Data Base Administrator"/>
  </r>
  <r>
    <s v="Data Mgmt e Supporto Storage"/>
    <s v="ANSELMINO"/>
    <s v="MARCO"/>
    <s v="U023944"/>
    <s v="marco.anselmino@intesasanpaolo.com"/>
    <s v="MONCALIERI (TO)"/>
    <s v="CORSO SAVONA, 58 - 10024 MONCALIERI (TO)"/>
    <s v="System Administrator"/>
    <s v="System Administrator"/>
    <s v="System Administrator"/>
  </r>
  <r>
    <s v="CC Server Farm e Storage"/>
    <s v="ARUTA"/>
    <s v="MARCO"/>
    <s v="U024675"/>
    <s v="marco.aruta@intesasanpaolo.com"/>
    <s v="MONCALIERI (TO)"/>
    <s v="CORSO SAVONA, 58 - 10024 MONCALIERI (TO)"/>
    <s v="Project Manager "/>
    <s v="IT Coordinator"/>
    <s v="Infrastructure Architect"/>
  </r>
  <r>
    <s v="CC Server Farm e Storage"/>
    <s v="ASTORINO"/>
    <s v="FLAVIO"/>
    <s v="  "/>
    <s v="flavio.astorino@intesasanpaolo.com"/>
    <s v="MONCALIERI (TO)"/>
    <s v="CORSO SAVONA, 58 - 10024 MONCALIERI (TO)"/>
    <s v="Security Infrastructure Specialist"/>
    <e v="#N/A"/>
    <s v="Security Infrastructure Specialist"/>
  </r>
  <r>
    <s v="Data Mgmt e Supporto Storage"/>
    <s v="BALBI SETTINO"/>
    <s v="DANIELE"/>
    <s v="  "/>
    <s v="daniele.balbisettino@intesasanpaolo.com"/>
    <s v="PARMA"/>
    <s v="VIA LANGHIRANO, 1 - PAL. C - 43100 PARMA (PR)"/>
    <s v="System Administrator"/>
    <e v="#N/A"/>
    <s v="System Administrator"/>
  </r>
  <r>
    <s v="CC Database"/>
    <s v="BELLINI"/>
    <s v="FRANCESCO"/>
    <s v="  "/>
    <s v="francesco.bellini@intesasanpaolo.com"/>
    <s v="MONCALIERI (TO)"/>
    <s v="CORSO SAVONA, 58 - 10024 MONCALIERI (TO)"/>
    <s v="Data Base Administrator"/>
    <e v="#N/A"/>
    <s v="IT Coordinator"/>
  </r>
  <r>
    <s v="CC Server Farm e Storage"/>
    <s v="BELLUCCI"/>
    <s v="ELIO"/>
    <s v="U074627"/>
    <s v="elio.bellucci@intesasanpaolo.com"/>
    <s v="NAPOLI"/>
    <s v="VIA G. MARCONI, 15 - 80125 NAPOLI (NA)"/>
    <s v="Infrastructure Architect"/>
    <s v="IT Consultant"/>
    <s v="System Administrator"/>
  </r>
  <r>
    <s v="CC Server Farm e Storage"/>
    <s v="BENINCASA"/>
    <s v="SARA"/>
    <s v="  "/>
    <s v="sara.benincasa@intesasanpaolo.com"/>
    <s v="NAPOLI"/>
    <s v="VIA G. MARCONI, 15 - 80125 NAPOLI (NA)"/>
    <s v="System Administrator"/>
    <e v="#N/A"/>
    <s v="System Administrator"/>
  </r>
  <r>
    <s v="Data Mgmt e Supporto Storage"/>
    <s v="BERNARDO"/>
    <s v="FABIO"/>
    <s v="  "/>
    <s v="fabio.bernardo@intesasanpaolo.com"/>
    <s v="MONCALIERI (TO)"/>
    <s v="CORSO SAVONA, 58 - 10024 MONCALIERI (TO)"/>
    <s v="System Administrator"/>
    <e v="#N/A"/>
    <s v="System Administrator"/>
  </r>
  <r>
    <s v="CC Database"/>
    <s v="BERTOLOTTI"/>
    <s v="ERMANNO"/>
    <s v="U086198"/>
    <s v="ermanno.bertolotti@intesasanpaolo.com"/>
    <s v="PARMA"/>
    <s v="VIA LANGHIRANO, 1 - PAL. C - 43100 PARMA (PR)"/>
    <s v="Data Base Administrator"/>
    <s v="Data Base Administrator"/>
    <s v="Program Manager"/>
  </r>
  <r>
    <s v="CC DC SW e Rete"/>
    <s v="BINELLO"/>
    <s v="GIOVANNI"/>
    <s v="U018062"/>
    <s v="giovanni.binello@intesasanpaolo.com"/>
    <s v="MONCALIERI (TO)"/>
    <s v="CORSO SAVONA, 58 - 10024 MONCALIERI (TO)"/>
    <s v="System Administrator"/>
    <s v="System Administrator"/>
    <s v="Infrastructure Architect"/>
  </r>
  <r>
    <s v="Data Mgmt e Supporto Storage"/>
    <s v="BROGLIA"/>
    <s v="CHIARA"/>
    <s v="U086167"/>
    <s v="chiara.broglia@intesasanpaolo.com"/>
    <s v="PARMA"/>
    <s v="VIA LANGHIRANO, 1 - PAL. C - 43100 PARMA (PR)"/>
    <s v="System Administrator"/>
    <s v="System Administrator"/>
    <s v="System Administrator"/>
  </r>
  <r>
    <s v="CC Server Farm e Storage"/>
    <s v="BUCCIGROSSI"/>
    <s v="MARIO"/>
    <s v="U076218"/>
    <s v="mario.buccigrossi@intesasanpaolo.com"/>
    <s v="NAPOLI"/>
    <s v="VIA G. MARCONI, 15 - 80125 NAPOLI (NA)"/>
    <s v="System Administrator"/>
    <s v="System Administrator"/>
    <s v="System Administrator"/>
  </r>
  <r>
    <s v="DR e BC"/>
    <s v="BUSANI"/>
    <s v="DANIELA"/>
    <s v="  "/>
    <s v="daniela.busani@intesasanpaolo.com"/>
    <s v="PARMA"/>
    <s v="VIA LANGHIRANO, 1 - PAL. C - 43100 PARMA (PR)"/>
    <s v="Project Manager "/>
    <e v="#N/A"/>
    <s v="DR &amp; Business Continuity Specialist"/>
  </r>
  <r>
    <s v="CC Server Farm e Storage"/>
    <s v="CAMINO"/>
    <s v="PAOLO"/>
    <s v="  "/>
    <s v="paolo.camino@intesasanpaolo.com"/>
    <s v="MONCALIERI (TO)"/>
    <s v="CORSO SAVONA, 58 - 10024 MONCALIERI (TO)"/>
    <s v="Security Infrastructure Specialist"/>
    <e v="#N/A"/>
    <s v="Security Infrastructure Specialist"/>
  </r>
  <r>
    <s v="Coordinamento Progetti"/>
    <s v="CANUTO"/>
    <s v="DANILO"/>
    <s v="U022895"/>
    <s v="danilo.canuto@intesasanpaolo.com"/>
    <s v="MONCALIERI (TO)"/>
    <s v="CORSO SAVONA, 58 - 10024 MONCALIERI (TO)"/>
    <s v="Project Manager "/>
    <s v="Project Manager"/>
    <s v="Program Manager"/>
  </r>
  <r>
    <s v="CC Database"/>
    <s v="CAPOBIANCO"/>
    <s v="GIUSEPPE"/>
    <s v="U028057"/>
    <s v="giuseppe.capobianco@intesasanpaolo.com"/>
    <s v="MONCALIERI (TO)"/>
    <s v="CORSO SAVONA, 58 - 10024 MONCALIERI (TO)"/>
    <s v="Data Base Administrator"/>
    <s v="Data Base Administrator"/>
    <s v="Data Base Administrator"/>
  </r>
  <r>
    <s v="CC Server Farm e Storage"/>
    <s v="CARACO'"/>
    <s v="LORENZO"/>
    <s v="  "/>
    <s v="lorenzo.caraco@intesasanpaolo.com"/>
    <s v="MONCALIERI (TO)"/>
    <s v="CORSO SAVONA, 58 - 10024 MONCALIERI (TO)"/>
    <s v="System Administrator"/>
    <e v="#N/A"/>
    <s v="System Administrator"/>
  </r>
  <r>
    <s v="Coordinamento Progetti"/>
    <s v="CARENA"/>
    <s v="LILIANA"/>
    <s v="U023931"/>
    <s v="liliana.carena@intesasanpaolo.com"/>
    <s v="MONCALIERI (TO)"/>
    <s v="CORSO SAVONA, 58 - 10024 MONCALIERI (TO)"/>
    <s v="Project Manager "/>
    <s v="Project Manager"/>
    <s v="Program Manager"/>
  </r>
  <r>
    <s v="CC Application"/>
    <s v="CARITA'"/>
    <s v="ELISABETTA"/>
    <s v="  "/>
    <s v="elisabetta.carita@intesasanpaolo.com"/>
    <s v="MONCALIERI (TO)"/>
    <s v="CORSO SAVONA, 58 - 10024 MONCALIERI (TO)"/>
    <s v="PaaS &amp; Container Specialist"/>
    <e v="#N/A"/>
    <s v="PaaS &amp; Container Specialist"/>
  </r>
  <r>
    <s v="CC DC SW e Rete"/>
    <s v="CATALANO"/>
    <s v="MARCO"/>
    <s v="  "/>
    <s v="marco.catalano1@intesasanpaolo.com"/>
    <s v="MONCALIERI (TO)"/>
    <s v="CORSO SAVONA, 58 - 10024 MONCALIERI (TO)"/>
    <s v="System Administrator"/>
    <e v="#N/A"/>
    <s v="Data Communication Administrator"/>
  </r>
  <r>
    <s v="CC Sistemi DWH e BI"/>
    <s v="CENCI"/>
    <s v="ERIK"/>
    <s v="U357314"/>
    <s v="erik.cenci@intesasanpaolo.com"/>
    <s v="MONCALIERI (TO)"/>
    <s v="CORSO SAVONA, 58 - 10024 MONCALIERI (TO)"/>
    <s v="System Administrator"/>
    <s v="System Administrator"/>
    <s v="Big Data Solution Architect"/>
  </r>
  <r>
    <s v="CC Sistemi DWH e BI"/>
    <s v="CENTONZE"/>
    <s v="MARIANGELA"/>
    <s v="U357646"/>
    <s v="mariangela.centonze@intesasanpaolo.com"/>
    <s v="MONCALIERI (TO)"/>
    <s v="CORSO SAVONA, 58 - 10024 MONCALIERI (TO)"/>
    <s v="Infrastructure Data Analyst/Scientist "/>
    <s v="System Administrator"/>
    <s v="Infrastructure Data Analyst/Scientist "/>
  </r>
  <r>
    <s v="CC Sistemi DWH e BI"/>
    <s v="CERRINA"/>
    <s v="STEFANO"/>
    <s v="U025882"/>
    <s v="stefano.cerrina@intesasanpaolo.com"/>
    <s v="MONCALIERI (TO)"/>
    <s v="CORSO SAVONA, 58 - 10024 MONCALIERI (TO)"/>
    <s v="System Administrator"/>
    <s v="System Administrator"/>
    <s v="Big Data Solution Architect"/>
  </r>
  <r>
    <s v="CC Sistemi DWH e BI"/>
    <s v="CHIALVA"/>
    <s v="MILENA"/>
    <s v="  "/>
    <s v="milena.chialva@intesasanpaolo.com"/>
    <s v="MONCALIERI (TO)"/>
    <s v="CORSO SAVONA, 58 - 10024 MONCALIERI (TO)"/>
    <s v="Infrastructure Data Analyst/Scientist "/>
    <e v="#N/A"/>
    <s v="Infrastructure Data Analyst/Scientist "/>
  </r>
  <r>
    <s v="CC DC SW e Rete"/>
    <s v="CHIANTELLO"/>
    <s v="MARCO"/>
    <s v="U014947"/>
    <s v="marco.chiantello@intesasanpaolo.com"/>
    <s v="MONCALIERI (TO)"/>
    <s v="CORSO SAVONA, 58 - 10024 MONCALIERI (TO)"/>
    <s v="System Administrator"/>
    <s v="System Administrator"/>
    <s v="System Administrator"/>
  </r>
  <r>
    <s v="Coordinamento Progetti"/>
    <s v="CHIARA"/>
    <s v="FLORIANA"/>
    <s v="U027006"/>
    <s v="floriana.chiara@intesasanpaolo.com"/>
    <s v="MONCALIERI (TO)"/>
    <s v="CORSO SAVONA, 58 - 10024 MONCALIERI (TO)"/>
    <s v="Project Manager "/>
    <s v="Project Manager"/>
    <s v="Project Manager "/>
  </r>
  <r>
    <s v="CC Server Farm e Storage"/>
    <s v="CHIRIACO"/>
    <s v="PIETRO"/>
    <s v="U040177"/>
    <s v="pietro.chiriaco@intesasanpaolo.com"/>
    <s v="MONCALIERI (TO)"/>
    <s v="CORSO SAVONA, 58 - 10024 MONCALIERI (TO)"/>
    <s v="System Administrator"/>
    <s v="System Administrator"/>
    <s v="Project Manager "/>
  </r>
  <r>
    <s v="DR e BC"/>
    <s v="COGNI"/>
    <s v="ROBERTO"/>
    <s v="U086162"/>
    <s v="roberto.cogni@intesasanpaolo.com"/>
    <s v="BISCEGLIE (MI)"/>
    <s v="VIA BISCEGLIE, 120 - 20152 MILANO (MI)"/>
    <s v="Data Base Administrator"/>
    <s v="Data Base Administrator"/>
    <s v="DR &amp; Business Continuity Specialist"/>
  </r>
  <r>
    <s v="CC Server Farm e Storage"/>
    <s v="COLOMBRITA"/>
    <s v="GIOVANNI"/>
    <s v="U025243"/>
    <s v="giovanni.colombrita@intesasanpaolo.com"/>
    <s v="MONCALIERI (TO)"/>
    <s v="CORSO SAVONA, 58 - 10024 MONCALIERI (TO)"/>
    <s v="Security Infrastructure Specialist"/>
    <s v="System Administrator"/>
    <s v="Security Infrastructure Specialist"/>
  </r>
  <r>
    <s v="CC DC SW e Rete"/>
    <s v="COMPARI"/>
    <s v="FRANCESCO"/>
    <s v="U086131"/>
    <s v="francesco.compari@intesasanpaolo.com"/>
    <s v="PARMA"/>
    <s v="VIA LANGHIRANO, 1 - PAL. C - 43100 PARMA (PR)"/>
    <s v="System Administrator"/>
    <s v="System Administrator"/>
    <s v="Data Communication Administrator"/>
  </r>
  <r>
    <s v="CC Application"/>
    <s v="CONCONI"/>
    <s v="ALESSANDRO"/>
    <s v="U357595"/>
    <s v="alessandro.conconi@intesasanpaolo.com"/>
    <s v="MONCALIERI (TO)"/>
    <s v="CORSO SAVONA, 58 - 10024 MONCALIERI (TO)"/>
    <s v="PaaS &amp; Container Specialist"/>
    <s v="Project Manager"/>
    <s v="PaaS &amp; Container Specialist"/>
  </r>
  <r>
    <s v="CC Server Farm e Storage"/>
    <s v="CONTI"/>
    <s v="FRANCESCO"/>
    <s v="  "/>
    <s v="francesco.conti1@intesasanpaolo.com"/>
    <s v="MONCALIERI (TO)"/>
    <s v="CORSO SAVONA, 58 - 10024 MONCALIERI (TO)"/>
    <s v="System Administrator"/>
    <e v="#N/A"/>
    <s v="Software Defined Data Center Specialist "/>
  </r>
  <r>
    <s v="Coordinamento Progetti"/>
    <s v="CORGIOLU"/>
    <s v="ALESSANDRO"/>
    <s v="U083411"/>
    <s v="alessandro.corgiolu@intesasanpaolo.com"/>
    <s v="BISCEGLIE (MI)"/>
    <s v="VIA BISCEGLIE, 120 - 20152 MILANO (MI)"/>
    <s v="Client Relationship Manager"/>
    <s v="System Administrator"/>
    <s v="Client Relationship Manager"/>
  </r>
  <r>
    <s v="CC Application"/>
    <s v="CROVAGNA"/>
    <s v="ANDREA DARIO"/>
    <s v="  "/>
    <s v="andrea.crovagna@intesasanpaolo.com"/>
    <s v="MONCALIERI (TO)"/>
    <s v="CORSO SAVONA, 58 - 10024 MONCALIERI (TO)"/>
    <s v="Infrastructure Architect"/>
    <e v="#N/A"/>
    <s v="Infrastructure Architect"/>
  </r>
  <r>
    <s v="Data Mgmt e Supporto Storage"/>
    <s v="CURATOLO"/>
    <s v="CRISTIAN"/>
    <s v="U028059"/>
    <s v="cristian.curatolo@intesasanpaolo.com"/>
    <s v="MONCALIERI (TO)"/>
    <s v="CORSO SAVONA, 58 - 10024 MONCALIERI (TO)"/>
    <s v="System Administrator"/>
    <s v="System Administrator"/>
    <s v="System Administrator"/>
  </r>
  <r>
    <s v="Coordinamento Progetti"/>
    <s v="CUTRUPI"/>
    <s v="ALESSIA"/>
    <s v="U026604"/>
    <s v="alessia.cutrupi@intesasanpaolo.com"/>
    <s v="MONCALIERI (TO)"/>
    <s v="CORSO SAVONA, 58 - 10024 MONCALIERI (TO)"/>
    <s v="Delivery manager"/>
    <s v="System Administrator"/>
    <s v="Program Manager"/>
  </r>
  <r>
    <s v="DR e BC"/>
    <s v="D'ACUNTO"/>
    <s v="DAVIDE"/>
    <s v="U018263"/>
    <s v="davide.dacunto@intesasanpaolo.com"/>
    <s v="MONCALIERI (TO)"/>
    <s v="CORSO SAVONA, 58 - 10024 MONCALIERI (TO)"/>
    <s v="DR &amp; Business Continuity Specialist"/>
    <s v="System Administrator"/>
    <s v="DR &amp; Business Continuity Specialist"/>
  </r>
  <r>
    <s v="CC DC SW e Rete"/>
    <s v="D'AGOSTINO"/>
    <s v="NUNZIO"/>
    <s v="  "/>
    <s v="nunzio.dagostino@intesasanpaolo.com"/>
    <s v="MONCALIERI (TO)"/>
    <s v="CORSO SAVONA, 58 - 10024 MONCALIERI (TO)"/>
    <s v="API Specialist "/>
    <e v="#N/A"/>
    <s v="API Specialist "/>
  </r>
  <r>
    <s v="DR e BC"/>
    <s v="DAMI"/>
    <s v="ROBERTO"/>
    <s v="U301190"/>
    <s v="roberto.dami@intesasanpaolo.com"/>
    <s v="PARMA"/>
    <s v="VIA LANGHIRANO, 1 - PAL. C - 43100 PARMA (PR)"/>
    <s v="DR &amp; Business Continuity Specialist"/>
    <s v="IT Coordinator"/>
    <s v="DR &amp; Business Continuity Specialist"/>
  </r>
  <r>
    <s v="CC Server Farm e Storage"/>
    <s v="D'ANDREA"/>
    <s v="DAVIDE"/>
    <s v="  "/>
    <s v="davide.dandrea@intesasanpaolo.com"/>
    <s v="MONCALIERI (TO)"/>
    <s v="CORSO SAVONA, 58 - 10024 MONCALIERI (TO)"/>
    <s v="System Administrator"/>
    <e v="#N/A"/>
    <s v="System Administrator"/>
  </r>
  <r>
    <s v="CC Server Farm e Storage"/>
    <s v="D'APICE"/>
    <s v="MASSIMO"/>
    <s v="U085930"/>
    <s v="massimo.dapice@intesasanpaolo.com"/>
    <s v="MONCALIERI (TO)"/>
    <s v="CORSO SAVONA, 58 - 10024 MONCALIERI (TO)"/>
    <s v="Project Manager "/>
    <s v="Project Manager"/>
    <s v="Program Manager"/>
  </r>
  <r>
    <s v="Data Mgmt e Supporto Storage"/>
    <s v="DE MARTINO"/>
    <s v="DAVIDE"/>
    <s v="U024932"/>
    <s v="davide.demartino@intesasanpaolo.com"/>
    <s v="MONCALIERI (TO)"/>
    <s v="CORSO SAVONA, 58 - 10024 MONCALIERI (TO)"/>
    <s v="System Administrator"/>
    <s v="System Administrator"/>
    <s v="Project Manager "/>
  </r>
  <r>
    <m/>
    <s v="DELLA GHEZZA"/>
    <s v="TOMMASO"/>
    <s v="U035919"/>
    <s v="tommaso.dellaghezza@intesasanpaolo.com"/>
    <s v="PARMA"/>
    <s v="VIA LANGHIRANO, 1 - PAL. C - 43100 PARMA (PR)"/>
    <s v="System Administrator"/>
    <s v="System Administrator"/>
    <s v="Client Relationship Manager"/>
  </r>
  <r>
    <s v="Data Mgmt e Supporto Storage"/>
    <s v="DELLI QUADRI"/>
    <s v="GIUSEPPE"/>
    <s v="U085953"/>
    <s v="giuseppe.delliquadri@intesasanpaolo.com"/>
    <s v="PARMA"/>
    <s v="VIA LANGHIRANO, 1 - PAL. C - 43100 PARMA (PR)"/>
    <s v="System Administrator"/>
    <s v="System Administrator"/>
    <s v="System Administrator"/>
  </r>
  <r>
    <s v="Data Mgmt e Supporto Storage"/>
    <s v="DERLI"/>
    <s v="VEACESLAV"/>
    <s v="  "/>
    <s v="veaceslav.derli@intesasanpaolo.com"/>
    <s v="MONCALIERI (TO)"/>
    <s v="CORSO SAVONA, 58 - 10024 MONCALIERI (TO)"/>
    <s v="System Administrator"/>
    <e v="#N/A"/>
    <s v="System Administrator"/>
  </r>
  <r>
    <s v="CC DC SW e Rete"/>
    <s v="DURANDO"/>
    <s v="MANUEL"/>
    <s v="  "/>
    <s v="manuel.durando@intesasanpaolo.com"/>
    <s v="MONCALIERI (TO)"/>
    <s v="CORSO SAVONA, 58 - 10024 MONCALIERI (TO)"/>
    <s v="Data Communication Administrator"/>
    <e v="#N/A"/>
    <s v="API Specialist "/>
  </r>
  <r>
    <s v="Data Mgmt e Supporto Storage"/>
    <s v="FOGLIASSO"/>
    <s v="ROBERTO"/>
    <s v="U019817"/>
    <s v="roberto.fogliasso@intesasanpaolo.com"/>
    <s v="MONCALIERI (TO)"/>
    <s v="CORSO SAVONA, 58 - 10024 MONCALIERI (TO)"/>
    <s v="System Administrator"/>
    <s v="System Administrator"/>
    <s v="Software Defined Storage Specialist"/>
  </r>
  <r>
    <s v="CC Application"/>
    <s v="FOLLI"/>
    <s v="ANDREA"/>
    <s v="U086369"/>
    <s v="andrea.folli@intesasanpaolo.com"/>
    <s v="PARMA"/>
    <s v="VIA LANGHIRANO, 1 - PAL. C - 43100 PARMA (PR)"/>
    <s v="System Administrator"/>
    <s v="System Administrator"/>
    <s v="System Administrator"/>
  </r>
  <r>
    <s v="DR e BC"/>
    <s v="FORTI"/>
    <s v="ROBERTO"/>
    <s v="  "/>
    <s v="roberto.forti@intesasanpaolo.com"/>
    <s v="BISCEGLIE (MI)"/>
    <s v="VIA BISCEGLIE, 120 - 20152 MILANO (MI)"/>
    <s v="Client Relationship Manager"/>
    <e v="#N/A"/>
    <s v="DR &amp; Business Continuity Specialist"/>
  </r>
  <r>
    <s v="CC Server Farm e Storage"/>
    <s v="FRAUDATARIO"/>
    <s v="BIAGIO"/>
    <s v="U030639"/>
    <s v="biagio.fraudatario@intesasanpaolo.com"/>
    <s v="MONCALIERI (TO)"/>
    <s v="CORSO SAVONA, 58 - 10024 MONCALIERI (TO)"/>
    <s v="System Administrator"/>
    <s v="System Administrator"/>
    <s v="Infrastructure Architect"/>
  </r>
  <r>
    <s v="CC DC SW e Rete"/>
    <s v="FUCILLI"/>
    <s v="NICOLA"/>
    <s v="U086429"/>
    <s v="nicola.fucilli@intesasanpaolo.com"/>
    <s v="PARMA"/>
    <s v="VIA LANGHIRANO, 1 - PAL. C - 43100 PARMA (PR)"/>
    <s v="Infrastructure Architect"/>
    <s v="System Administrator"/>
    <s v="Infrastructure Architect"/>
  </r>
  <r>
    <s v="CC Application"/>
    <s v="GARIBALDI"/>
    <s v="DOMENICO"/>
    <s v="U024950"/>
    <s v="domenico.garibaldi@intesasanpaolo.com"/>
    <s v="MONCALIERI (TO)"/>
    <s v="CORSO SAVONA, 58 - 10024 MONCALIERI (TO)"/>
    <s v="Project Manager "/>
    <s v="System Administrator"/>
    <s v="Project Manager "/>
  </r>
  <r>
    <s v="Coordinamento Progetti"/>
    <s v="GARRUTO"/>
    <s v="EUGENIO"/>
    <s v="U028005"/>
    <s v="eugenio.garruto@intesasanpaolo.com"/>
    <s v="MONCALIERI (TO)"/>
    <s v="CORSO SAVONA, 58 - 10024 MONCALIERI (TO)"/>
    <s v="Client Relationship Manager"/>
    <s v="System Administrator"/>
    <s v="Client Relationship Manager"/>
  </r>
  <r>
    <s v="CC Database"/>
    <s v="GENTA"/>
    <s v="GIULIA"/>
    <s v="  "/>
    <s v="giulia.genta@intesasanpaolo.com"/>
    <s v="MONCALIERI (TO)"/>
    <s v="CORSO SAVONA, 58 - 10024 MONCALIERI (TO)"/>
    <s v="Infrastructure Data Analyst/Scientist "/>
    <e v="#N/A"/>
    <s v="Infrastructure Data Analyst/Scientist "/>
  </r>
  <r>
    <s v="Coordinamento Progetti"/>
    <s v="GILI"/>
    <s v="SILVIA"/>
    <s v="U023819"/>
    <s v="silvia.gili@intesasanpaolo.com"/>
    <s v="MONCALIERI (TO)"/>
    <s v="CORSO SAVONA, 58 - 10024 MONCALIERI (TO)"/>
    <s v="Client Relationship Manager"/>
    <s v="System Administrator"/>
    <s v="Client Relationship Manager"/>
  </r>
  <r>
    <s v="Data Mgmt e Supporto Storage"/>
    <s v="GOZZI"/>
    <s v="VALENTINA"/>
    <s v="  "/>
    <s v="valentina.gozzi@intesasanpaolo.com"/>
    <s v="PARMA"/>
    <s v="VIA LANGHIRANO, 1 - PAL. C - 43100 PARMA (PR)"/>
    <s v="System Administrator"/>
    <e v="#N/A"/>
    <s v="Software Defined Storage Specialist"/>
  </r>
  <r>
    <s v="CC Sistemi DWH e BI"/>
    <s v="GRASSO"/>
    <s v="SALVATORE"/>
    <s v="  "/>
    <s v="salvatore.grasso@intesasanpaolo.com"/>
    <s v="MONCALIERI (TO)"/>
    <s v="CORSO SAVONA, 58 - 10024 MONCALIERI (TO)"/>
    <s v="Big Data Solution Architect"/>
    <e v="#N/A"/>
    <s v="Big Data Solution Architect"/>
  </r>
  <r>
    <s v="CC Database"/>
    <s v="KHALILI BIJARGAHI"/>
    <s v="MOSTAFA"/>
    <s v="  "/>
    <s v="mostafa.khalilibijargahi@intesasanpaolo.com"/>
    <s v="MONCALIERI (TO)"/>
    <s v="CORSO SAVONA, 58 - 10024 MONCALIERI (TO)"/>
    <s v="System Administrator"/>
    <e v="#N/A"/>
    <s v="Data Base Administrator"/>
  </r>
  <r>
    <s v="CC Database"/>
    <s v="LABATE"/>
    <s v="FABRIZIO PAOLO ALBERTO"/>
    <s v="  "/>
    <s v="fabrizio.labate@intesasanpaolo.com"/>
    <s v="MONCALIERI (TO)"/>
    <s v="CORSO SAVONA, 58 - 10024 MONCALIERI (TO)"/>
    <s v="Data Base Administrator"/>
    <e v="#N/A"/>
    <s v="Data Base Administrator"/>
  </r>
  <r>
    <s v="CC Sistemi DWH e BI"/>
    <s v="LACAVALLA"/>
    <s v="EMMANUELE"/>
    <s v="  "/>
    <s v="emmanuele.lacavalla@intesasanpaolo.com"/>
    <s v="MONCALIERI (TO)"/>
    <s v="CORSO SAVONA, 58 - 10024 MONCALIERI (TO)"/>
    <s v="Infrastructure Data Analyst/Scientist "/>
    <e v="#N/A"/>
    <s v="Infrastructure Data Analyst/Scientist "/>
  </r>
  <r>
    <s v="CC Server Farm e Storage"/>
    <s v="LOMBARDI"/>
    <s v="DANIELE"/>
    <s v="  "/>
    <s v="daniele.lombardi@intesasanpaolo.com"/>
    <s v="MONCALIERI (TO)"/>
    <s v="CORSO SAVONA, 58 - 10024 MONCALIERI (TO)"/>
    <s v="System Administrator"/>
    <e v="#N/A"/>
    <s v="System Administrator"/>
  </r>
  <r>
    <s v="Coordinamento Progetti"/>
    <s v="LOMBARDI"/>
    <s v="RICCARDO"/>
    <s v="  "/>
    <s v="riccardo.lombardi@intesasanpaolo.com"/>
    <s v="BISCEGLIE (MI)"/>
    <s v="VIA BISCEGLIE, 120 - 20152 MILANO (MI)"/>
    <s v="Client Relationship Manager"/>
    <e v="#N/A"/>
    <s v="Client Relationship Manager"/>
  </r>
  <r>
    <s v="Data Mgmt e Supporto Storage"/>
    <s v="LOMBARDO"/>
    <s v="ROBERTO"/>
    <s v="U086354"/>
    <s v="roberto.lombardo@intesasanpaolo.com"/>
    <s v="PARMA"/>
    <s v="VIA LANGHIRANO, 1 - PAL. C - 43100 PARMA (PR)"/>
    <s v="System Administrator"/>
    <s v="System Administrator"/>
    <s v="System Administrator"/>
  </r>
  <r>
    <s v="CC Server Farm e Storage"/>
    <s v="LOTITO"/>
    <s v="ARIANNA"/>
    <s v="  "/>
    <s v="arianna.lotito@intesasanpaolo.com"/>
    <s v="MONCALIERI (TO)"/>
    <s v="CORSO SAVONA, 58 - 10024 MONCALIERI (TO)"/>
    <s v="System Administrator"/>
    <e v="#N/A"/>
    <s v="System Administrator"/>
  </r>
  <r>
    <s v="Coordinamento Progetti"/>
    <s v="LUPO"/>
    <s v="LORENA"/>
    <s v="U028068"/>
    <s v="lorena.lupo@intesasanpaolo.com"/>
    <s v="MONCALIERI (TO)"/>
    <s v="CORSO SAVONA, 58 - 10024 MONCALIERI (TO)"/>
    <s v="Client Relationship Manager"/>
    <s v="System Administrator"/>
    <s v="Client Relationship Manager"/>
  </r>
  <r>
    <s v="Coordinamento Progetti"/>
    <s v="MAIAROTA"/>
    <s v="ELENA"/>
    <s v="  "/>
    <s v="elena.maiarota@intesasanpaolo.com"/>
    <s v="MONCALIERI (TO)"/>
    <s v="CORSO SAVONA, 58 - 10024 MONCALIERI (TO)"/>
    <s v="Client Relationship Manager"/>
    <e v="#N/A"/>
    <s v="Client Relationship Manager"/>
  </r>
  <r>
    <s v="CC DC SW e Rete"/>
    <s v="MANCIAGLI"/>
    <s v="GIULIANO"/>
    <s v="  "/>
    <s v="giuliano.manciagli@intesasanpaolo.com"/>
    <s v="MONCALIERI (TO)"/>
    <s v="CORSO SAVONA, 58 - 10024 MONCALIERI (TO)"/>
    <s v="System Administrator"/>
    <e v="#N/A"/>
    <s v="System Administrator"/>
  </r>
  <r>
    <s v="CC Application"/>
    <s v="MANGIAPANE"/>
    <s v="VALERIA"/>
    <s v="  "/>
    <s v="valeria.mangiapane1@intesasanpaolo.com"/>
    <s v="MONCALIERI (TO)"/>
    <s v="CORSO SAVONA, 58 - 10024 MONCALIERI (TO)"/>
    <s v="PaaS &amp; Container Specialist"/>
    <e v="#N/A"/>
    <s v="PaaS &amp; Container Specialist"/>
  </r>
  <r>
    <s v="CC Server Farm e Storage"/>
    <s v="MARANO"/>
    <s v="TOMMASO"/>
    <s v="U076151"/>
    <s v="tommaso.marano@intesasanpaolo.com"/>
    <s v="NAPOLI"/>
    <s v="VIA G. MARCONI, 15 - 80125 NAPOLI (NA)"/>
    <s v="Project Manager "/>
    <s v="Project Manager"/>
    <s v="Project Manager "/>
  </r>
  <r>
    <s v="CC Application"/>
    <s v="MARCHISIO"/>
    <s v="ALESSANDRO"/>
    <s v="U024977"/>
    <s v="alessandro.marchisio@intesasanpaolo.com"/>
    <s v="MONCALIERI (TO)"/>
    <s v="CORSO SAVONA, 58 - 10024 MONCALIERI (TO)"/>
    <s v="System Administrator"/>
    <s v="System Administrator"/>
    <s v="System Administrator"/>
  </r>
  <r>
    <s v="CC Sistemi DWH e BI"/>
    <s v="MASSI"/>
    <s v="SILVIA"/>
    <s v="  "/>
    <s v="silvia.massi@intesasanpaolo.com"/>
    <s v="MONCALIERI (TO)"/>
    <s v="CORSO SAVONA, 58 - 10024 MONCALIERI (TO)"/>
    <s v="Infrastructure Data Analyst/Scientist "/>
    <s v="Infrastructure Data Analyst/Scientist "/>
    <s v="Infrastructure Data Analyst/Scientist "/>
  </r>
  <r>
    <s v="CC Sistemi DWH e BI"/>
    <s v="MASTRONARDI"/>
    <s v="GIOVANNI"/>
    <s v="  "/>
    <s v="giovanni.mastronardi@intesasanpaolo.com"/>
    <s v="MONCALIERI (TO)"/>
    <s v="CORSO SAVONA, 58 - 10024 MONCALIERI (TO)"/>
    <s v="Big Data Solution Architect"/>
    <e v="#N/A"/>
    <s v="Big Data Solution Architect"/>
  </r>
  <r>
    <s v="CC Server Farm e Storage"/>
    <s v="MELLI"/>
    <s v="MAURO"/>
    <s v="U014932"/>
    <s v="mauro.melli@intesasanpaolo.com"/>
    <s v="MONCALIERI (TO)"/>
    <s v="CORSO SAVONA, 58 - 10024 MONCALIERI (TO)"/>
    <s v="System Administrator"/>
    <s v="System Administrator"/>
    <s v="System Administrator"/>
  </r>
  <r>
    <s v="CC Sistemi DWH e BI"/>
    <s v="MENARDI"/>
    <s v="DAVIDE"/>
    <s v="  "/>
    <s v="davide.menardi@intesasanpaolo.com"/>
    <s v="MONCALIERI (TO)"/>
    <s v="CORSO SAVONA, 58 - 10024 MONCALIERI (TO)"/>
    <s v="Infrastructure Data Analyst/Scientist "/>
    <e v="#N/A"/>
    <s v="Infrastructure Data Analyst/Scientist "/>
  </r>
  <r>
    <s v="CC Server Farm e Storage"/>
    <s v="MIOLA"/>
    <s v="ARIANNA"/>
    <s v="U364034"/>
    <s v="arianna.miola@intesasanpaolo.com"/>
    <s v="MONCALIERI (TO)"/>
    <s v="CORSO SAVONA, 58 - 10024 MONCALIERI (TO)"/>
    <s v="Artificial Intelligence Specialist"/>
    <s v="System Administrator"/>
    <s v="Artificial Intelligence Specialist"/>
  </r>
  <r>
    <s v="Data Mgmt e Supporto Storage"/>
    <s v="MONACO"/>
    <s v="FLORINDA"/>
    <s v="  "/>
    <s v="florinda.monaco@intesasanpaolo.com"/>
    <s v="MONCALIERI (TO)"/>
    <s v="CORSO SAVONA, 58 - 10024 MONCALIERI (TO)"/>
    <s v="System Administrator"/>
    <e v="#N/A"/>
    <s v="Software Defined Storage Specialist"/>
  </r>
  <r>
    <s v="Data Mgmt e Supporto Storage"/>
    <s v="MONARDO"/>
    <s v="GIUSEPPE ANDREA"/>
    <s v="U029642"/>
    <s v="giuseppe.monardo@intesasanpaolo.com"/>
    <s v="MONCALIERI (TO)"/>
    <s v="CORSO SAVONA, 58 - 10024 MONCALIERI (TO)"/>
    <s v="System Administrator"/>
    <s v="System Administrator"/>
    <s v="Software Defined Storage Specialist"/>
  </r>
  <r>
    <s v="CC Application"/>
    <s v="MONCALERO"/>
    <s v="PAOLO"/>
    <s v="U364035"/>
    <s v="paolo.moncalero@intesasanpaolo.com"/>
    <s v="MONCALIERI (TO)"/>
    <s v="CORSO SAVONA, 58 - 10024 MONCALIERI (TO)"/>
    <s v="System Administrator"/>
    <s v="System Administrator"/>
    <s v="System Administrator"/>
  </r>
  <r>
    <s v="CC DC SW e Rete"/>
    <s v="MORABITO"/>
    <s v="ANNA"/>
    <s v="  "/>
    <s v="anna.morabito@intesasanpaolo.com"/>
    <s v="MONCALIERI (TO)"/>
    <s v="CORSO SAVONA, 58 - 10024 MONCALIERI (TO)"/>
    <s v="System Administrator"/>
    <e v="#N/A"/>
    <s v="Data Communication Administrator"/>
  </r>
  <r>
    <s v="CC Application"/>
    <s v="MORELLO"/>
    <s v="CARLO"/>
    <s v="U015017"/>
    <s v="carlo.morello@intesasanpaolo.com"/>
    <s v="MONCALIERI (TO)"/>
    <s v="CORSO SAVONA, 58 - 10024 MONCALIERI (TO)"/>
    <s v="System Administrator"/>
    <s v="System Administrator"/>
    <s v="System Administrator"/>
  </r>
  <r>
    <s v="Coordinamento Progetti"/>
    <s v="MUREDDU"/>
    <s v="MIRKO WALTER"/>
    <s v="U085951"/>
    <s v="mirko.mureddu@intesasanpaolo.com"/>
    <s v="BISCEGLIE (MI)"/>
    <s v="VIA BISCEGLIE, 120 - 20152 MILANO (MI)"/>
    <s v="Project Manager "/>
    <s v="Project Manager"/>
    <s v="Client Relationship Manager"/>
  </r>
  <r>
    <s v="CC Application"/>
    <s v="MUSSO"/>
    <s v="MARIO"/>
    <s v="U020787"/>
    <s v="mario.musso@intesasanpaolo.com"/>
    <s v="MONCALIERI (TO)"/>
    <s v="CORSO SAVONA, 58 - 10024 MONCALIERI (TO)"/>
    <s v="Project Manager "/>
    <s v="Project Manager"/>
    <s v="Infrastructure Architect"/>
  </r>
  <r>
    <s v="CC DC SW e Rete"/>
    <s v="OCCELLI"/>
    <s v="PIERO"/>
    <s v="U012793"/>
    <s v="piero.occelli@intesasanpaolo.com"/>
    <s v="MONCALIERI (TO)"/>
    <s v="CORSO SAVONA, 58 - 10024 MONCALIERI (TO)"/>
    <s v="System Administrator"/>
    <s v="System Administrator"/>
    <s v="Project Manager "/>
  </r>
  <r>
    <s v="CC Database"/>
    <s v="OLIVETTA"/>
    <s v="FRANCESCA"/>
    <s v="U357655"/>
    <s v="francesca.olivetta@intesasanpaolo.com"/>
    <s v="MONCALIERI (TO)"/>
    <s v="CORSO SAVONA, 58 - 10024 MONCALIERI (TO)"/>
    <s v="Data Base Administrator"/>
    <s v="Data Base Administrator"/>
    <s v="Infrastructure Data Analyst/Scientist "/>
  </r>
  <r>
    <s v="CC Database"/>
    <s v="OLLARI"/>
    <s v="CHRISTIAN"/>
    <s v="U086365"/>
    <s v="christian.ollari@intesasanpaolo.com"/>
    <s v="PARMA"/>
    <s v="VIA LANGHIRANO, 1 - PAL. C - 43100 PARMA (PR)"/>
    <s v="Data Base Administrator"/>
    <s v="Data Base Administrator"/>
    <s v="Data Base  Administrator"/>
  </r>
  <r>
    <s v="Data Mgmt e Supporto Storage"/>
    <s v="OPPICI"/>
    <s v="ROBERTO"/>
    <s v="U086366"/>
    <s v="roberto.oppici@intesasanpaolo.com"/>
    <s v="PARMA"/>
    <s v="VIA LANGHIRANO, 1 - PAL. C - 43100 PARMA (PR)"/>
    <s v="System Administrator"/>
    <s v="System Administrator"/>
    <s v="System Administrator"/>
  </r>
  <r>
    <s v="DR e BC"/>
    <s v="PANARESE"/>
    <s v="DARIO"/>
    <s v="U015609"/>
    <s v="dario.panarese@intesasanpaolo.com"/>
    <s v="MONCALIERI (TO)"/>
    <s v="CORSO SAVONA, 58 - 10024 MONCALIERI (TO)"/>
    <s v="DR &amp; Business Continuity Specialist"/>
    <s v="IT Process FM Specialist"/>
    <s v="DR &amp; Business Continuity Specialist"/>
  </r>
  <r>
    <s v="CC Database"/>
    <s v="PARODI"/>
    <s v="ANDREA"/>
    <s v="U017259"/>
    <s v="andrea.parodi@intesasanpaolo.com"/>
    <s v="MONCALIERI (TO)"/>
    <s v="CORSO SAVONA, 58 - 10024 MONCALIERI (TO)"/>
    <s v="Data Base Administrator"/>
    <s v="Data Base Administrator"/>
    <s v="Data Base Administrator"/>
  </r>
  <r>
    <s v="Data Mgmt e Supporto Storage"/>
    <s v="PERFETTI"/>
    <s v="LUIGI"/>
    <s v="U086414"/>
    <s v="luigi.perfetti@intesasanpaolo.com"/>
    <s v="PARMA"/>
    <s v="VIA LANGHIRANO, 1 - PAL. C - 43100 PARMA (PR)"/>
    <s v="System Administrator"/>
    <s v="System Administrator"/>
    <s v="System Administrator"/>
  </r>
  <r>
    <s v="Data Mgmt e Supporto Storage"/>
    <s v="PETITTO"/>
    <s v="CIRO"/>
    <s v="U086367"/>
    <s v="ciro.petitto@intesasanpaolo.com"/>
    <s v="PARMA"/>
    <s v="VIA LANGHIRANO, 1 - PAL. C - 43100 PARMA (PR)"/>
    <s v="System Administrator"/>
    <s v="System Administrator"/>
    <s v="Software Defined Storage Specialist"/>
  </r>
  <r>
    <s v="CC Server Farm e Storage"/>
    <s v="PILLON"/>
    <s v="MARCO"/>
    <s v="U015482"/>
    <s v="marco.pillon@intesasanpaolo.com"/>
    <s v="MONCALIERI (TO)"/>
    <s v="CORSO SAVONA, 58 - 10024 MONCALIERI (TO)"/>
    <s v="System Administrator"/>
    <s v="System Administrator"/>
    <s v="System Administrator"/>
  </r>
  <r>
    <s v="CC Sistemi DWH e BI"/>
    <s v="PIRAS"/>
    <s v="ANGELO"/>
    <s v="U029728"/>
    <s v="angelo.piras@intesasanpaolo.com"/>
    <s v="MONCALIERI (TO)"/>
    <s v="CORSO SAVONA, 58 - 10024 MONCALIERI (TO)"/>
    <s v="System Administrator"/>
    <s v="System Administrator"/>
    <s v="Infrastructure Data Analyst/Scientist "/>
  </r>
  <r>
    <s v="CC Server Farm e Storage"/>
    <s v="PISANI MASSAMORMILE"/>
    <s v="UGO"/>
    <s v="U086404"/>
    <s v="ugo.pisanimassamormile@intesasanpaolo.com"/>
    <s v="NAPOLI"/>
    <s v="VIA G. MARCONI, 15 - 80125 NAPOLI (NA)"/>
    <s v="System Administrator"/>
    <s v="Operator"/>
    <s v="System Administrator"/>
  </r>
  <r>
    <s v="CC DC SW e Rete"/>
    <s v="PIZZATO"/>
    <s v="FEDERICA"/>
    <s v="  "/>
    <s v="federica.pizzato@intesasanpaolo.com"/>
    <s v="MONCALIERI (TO)"/>
    <s v="CORSO SAVONA, 58 - 10024 MONCALIERI (TO)"/>
    <s v="API Specialist "/>
    <e v="#N/A"/>
    <s v="API Specialist "/>
  </r>
  <r>
    <s v="CC Server Farm e Storage"/>
    <s v="POMPEO"/>
    <s v="GUIDO"/>
    <s v="U077878"/>
    <s v="guido.pompeo@intesasanpaolo.com"/>
    <s v="NAPOLI"/>
    <s v="VIA G. MARCONI, 15 - 80125 NAPOLI (NA)"/>
    <s v="System Administrator"/>
    <s v="System Administrator"/>
    <s v="System Administrator"/>
  </r>
  <r>
    <s v="CC Application"/>
    <s v="RAGONE"/>
    <s v="CIRO"/>
    <s v="  "/>
    <s v="ciro.ragone@intesasanpaolo.com"/>
    <s v="MONCALIERI (TO)"/>
    <s v="CORSO SAVONA, 58 - 10024 MONCALIERI (TO)"/>
    <s v="PaaS &amp; Container Specialist"/>
    <e v="#N/A"/>
    <s v="PaaS &amp; Container Specialist"/>
  </r>
  <r>
    <s v="CC Server Farm e Storage"/>
    <s v="RASO"/>
    <s v="ALESSANDRO"/>
    <s v="  "/>
    <s v="alessandro.raso@intesasanpaolo.com"/>
    <s v="MONCALIERI (TO)"/>
    <s v="CORSO SAVONA, 58 - 10024 MONCALIERI (TO)"/>
    <s v="Software Defined Storage Specialist"/>
    <e v="#N/A"/>
    <s v="Software Defined Storage Specialist"/>
  </r>
  <r>
    <s v="Data Mgmt e Supporto Storage"/>
    <s v="RASTELLI"/>
    <s v="ILARIA"/>
    <s v="U086418"/>
    <s v="ilaria.rastelli@intesasanpaolo.com"/>
    <s v="PARMA"/>
    <s v="VIA LANGHIRANO, 1 - PAL. C - 43100 PARMA (PR)"/>
    <s v="System Administrator"/>
    <s v="System Administrator"/>
    <s v="Software Defined Storage Specialist"/>
  </r>
  <r>
    <s v="Coordinamento Progetti"/>
    <s v="REVELLI"/>
    <s v="ANTONIO"/>
    <s v="U030274"/>
    <s v="antonio.revelli@intesasanpaolo.com"/>
    <s v="MONCALIERI (TO)"/>
    <s v="CORSO SAVONA, 58 - 10024 MONCALIERI (TO)"/>
    <s v="Project Manager "/>
    <s v="Project Manager"/>
    <s v="Client Relationship Manager"/>
  </r>
  <r>
    <s v="CC Application"/>
    <s v="RICCHETTI"/>
    <s v="MATTEO"/>
    <s v="U086420"/>
    <s v="matteo.ricchetti@intesasanpaolo.com"/>
    <s v="PARMA"/>
    <s v="VIA LANGHIRANO, 1 - PAL. C - 43100 PARMA (PR)"/>
    <s v="System Administrator"/>
    <s v="System Administrator"/>
    <s v="Infrastructure Architect"/>
  </r>
  <r>
    <s v="CC Server Farm e Storage"/>
    <s v="RIVOTTO"/>
    <s v="LORENZO"/>
    <s v="U015024"/>
    <s v="lorenzo.rivotto@intesasanpaolo.com"/>
    <s v="MONCALIERI (TO)"/>
    <s v="CORSO SAVONA, 58 - 10024 MONCALIERI (TO)"/>
    <s v="Project Manager "/>
    <s v="Project Manager"/>
    <s v="Project Manager "/>
  </r>
  <r>
    <s v="CC Server Farm e Storage"/>
    <s v="ROSSATO"/>
    <s v="FABIO"/>
    <s v="  "/>
    <s v="fabio.rossato@intesasanpaolo.com"/>
    <s v="MONCALIERI (TO)"/>
    <s v="CORSO SAVONA, 58 - 10024 MONCALIERI (TO)"/>
    <s v="Software Defined Storage Specialist"/>
    <e v="#N/A"/>
    <s v="Software Defined Storage Specialist"/>
  </r>
  <r>
    <s v="CC Server Farm e Storage"/>
    <s v="RUTIGLIANO"/>
    <s v="ENRICO"/>
    <s v="U077347"/>
    <s v="enrico.rutigliano@intesasanpaolo.com"/>
    <s v="NAPOLI"/>
    <s v="VIA G. MARCONI, 15 - 80125 NAPOLI (NA)"/>
    <s v="System Administrator"/>
    <s v="System Administrator"/>
    <s v="System Administrator"/>
  </r>
  <r>
    <s v="CC Database"/>
    <s v="SAGGINO"/>
    <s v="RAFFAELE"/>
    <s v="  "/>
    <s v="raffaele.saggino@intesasanpaolo.com"/>
    <s v="MONCALIERI (TO)"/>
    <s v="CORSO SAVONA, 58 - 10024 MONCALIERI (TO)"/>
    <s v="Infrastructure Architect"/>
    <e v="#N/A"/>
    <s v="Infrastructure Architect"/>
  </r>
  <r>
    <s v="CC Server Farm e Storage"/>
    <s v="SANFILIPPO"/>
    <s v="MICHELE"/>
    <s v="U014957"/>
    <s v="michele.sanfilippo@intesasanpaolo.com"/>
    <s v="MONCALIERI (TO)"/>
    <s v="CORSO SAVONA, 58 - 10024 MONCALIERI (TO)"/>
    <s v="Security Infrastructure Specialist"/>
    <s v="System Administrator"/>
    <s v="Security Infrastructure Specialist"/>
  </r>
  <r>
    <s v="Data Mgmt e Supporto Storage"/>
    <s v="SANTACROCE"/>
    <s v="SIMONE"/>
    <s v="  "/>
    <s v="simone.santacroce@intesasanpaolo.com"/>
    <s v="MONCALIERI (TO)"/>
    <s v="CORSO SAVONA, 58 - 10024 MONCALIERI (TO)"/>
    <s v="System Administrator"/>
    <e v="#N/A"/>
    <s v="System Administrator"/>
  </r>
  <r>
    <s v="CC Application"/>
    <s v="SANTINI"/>
    <s v="ALESSANDRO"/>
    <s v="U086426"/>
    <s v="alessandro.santini@intesasanpaolo.com"/>
    <s v="PARMA"/>
    <s v="VIA LANGHIRANO, 1 - PAL. C - 43100 PARMA (PR)"/>
    <s v="Project Manager "/>
    <s v="Project Manager"/>
    <s v="Data Communication Administrator"/>
  </r>
  <r>
    <s v="DR e BC"/>
    <s v="SBRANA"/>
    <s v="BRUNO"/>
    <s v="U083603"/>
    <s v="bruno.sbrana@intesasanpaolo.com"/>
    <s v="BISCEGLIE (MI)"/>
    <s v="VIA BISCEGLIE, 120 - 20152 MILANO (MI)"/>
    <s v="DR &amp; Business Continuity Specialist"/>
    <s v="IT Process FM Specialist"/>
    <s v="DR &amp; Business Continuity Specialist"/>
  </r>
  <r>
    <s v="CC Server Farm e Storage"/>
    <s v="SPADARO"/>
    <s v="STEFANO"/>
    <s v="  "/>
    <s v="stefano.spadaro@intesasanpaolo.com"/>
    <s v="MONCALIERI (TO)"/>
    <s v="CORSO SAVONA, 58 - 10024 MONCALIERI (TO)"/>
    <s v="Software Defined Data Center Specialist "/>
    <e v="#N/A"/>
    <s v="Software Defined Data Center Specialist "/>
  </r>
  <r>
    <s v="CC Server Farm e Storage"/>
    <s v="STRIANO"/>
    <s v="LIBERATO"/>
    <s v="U078572"/>
    <s v="liberato.striano@intesasanpaolo.com"/>
    <s v="NAPOLI"/>
    <s v="VIA G. MARCONI, 15 - 80125 NAPOLI (NA)"/>
    <s v="System Administrator"/>
    <s v="System Administrator"/>
    <s v="Project Manager "/>
  </r>
  <r>
    <s v="CC Server Farm e Storage"/>
    <s v="TORRENGO"/>
    <s v="MASSIMO"/>
    <s v="U022894"/>
    <s v="massimo.torrengo@intesasanpaolo.com"/>
    <s v="MONCALIERI (TO)"/>
    <s v="CORSO SAVONA, 58 - 10024 MONCALIERI (TO)"/>
    <s v="Infrastructure Architect"/>
    <s v="System Administrator"/>
    <s v="Infrastructure Architect"/>
  </r>
  <r>
    <s v="CC Application"/>
    <s v="TRAMONTANA"/>
    <s v="FABIO"/>
    <s v="  "/>
    <s v="fabio.tramontana@intesasanpaolo.com"/>
    <s v="MONCALIERI (TO)"/>
    <s v="CORSO SAVONA, 58 - 10024 MONCALIERI (TO)"/>
    <s v="PaaS &amp; Container Specialist"/>
    <e v="#N/A"/>
    <s v="PaaS &amp; Container Specialist"/>
  </r>
  <r>
    <s v="CC Database"/>
    <s v="TROMBIN"/>
    <s v="ENRICO"/>
    <s v="U357346"/>
    <s v="enrico.trombin@intesasanpaolo.com"/>
    <s v="MONCALIERI (TO)"/>
    <s v="CORSO SAVONA, 58 - 10024 MONCALIERI (TO)"/>
    <s v="Data Base Administrator"/>
    <s v="Data Base Administrator"/>
    <s v="Data Base Administrator"/>
  </r>
  <r>
    <s v="Data Mgmt e Supporto Storage"/>
    <s v="UCCELLATORE"/>
    <s v="DANIELE"/>
    <s v="  "/>
    <s v="daniele.uccellatore@intesasanpaolo.com"/>
    <s v="PARMA"/>
    <s v="VIA LANGHIRANO, 1 - PAL. C - 43100 PARMA (PR)"/>
    <s v="System Administrator"/>
    <e v="#N/A"/>
    <s v="Software Defined Storage Specialist"/>
  </r>
  <r>
    <s v="CC Server Farm e Storage"/>
    <s v="VACCHIANO"/>
    <s v="VALTER"/>
    <s v="U076165"/>
    <s v="valter.vacchiano@intesasanpaolo.com"/>
    <s v="NAPOLI"/>
    <s v="VIA G. MARCONI, 15 - 80125 NAPOLI (NA)"/>
    <s v="System Administrator"/>
    <s v="System Administrator"/>
    <s v="Project Manager "/>
  </r>
  <r>
    <s v="CC Database"/>
    <s v="VEZZANI"/>
    <s v="GABRIELLA"/>
    <s v="U086393"/>
    <s v="gabriella.vezzani@intesasanpaolo.com"/>
    <s v="PARMA"/>
    <s v="VIA LANGHIRANO, 1 - PAL. C - 43100 PARMA (PR)"/>
    <s v="Data Base Administrator"/>
    <s v="Data Base Administrator"/>
    <s v="Data Base Administrator"/>
  </r>
  <r>
    <s v="CC DC SW e Rete"/>
    <s v="VLACHODIMOS"/>
    <s v="IOANNIS"/>
    <s v="U086397"/>
    <s v="ioannis.vlachodimos@intesasanpaolo.com"/>
    <s v="PARMA"/>
    <s v="VIA LANGHIRANO, 1 - PAL. C - 43100 PARMA (PR)"/>
    <s v="System Administrator"/>
    <s v="System Administrator"/>
    <s v="Data Communication Administrator"/>
  </r>
  <r>
    <s v="Coordinamento Progetti"/>
    <s v="ZUCCONE"/>
    <s v="PAOLO"/>
    <s v="U023193"/>
    <s v="paolo.zuccone@intesasanpaolo.com"/>
    <s v="MONCALIERI (TO)"/>
    <s v="CORSO SAVONA, 58 - 10024 MONCALIERI (TO)"/>
    <s v="Project Manager "/>
    <s v="Project Manager"/>
    <s v="Client Relationship Manager"/>
  </r>
  <r>
    <s v="Data Mgmt e Supporto Storage"/>
    <s v="ZULIANI"/>
    <s v="STEFANO"/>
    <s v="U023861"/>
    <s v="stefano.zuliani@intesasanpaolo.com"/>
    <s v="MONCALIERI (TO)"/>
    <s v="CORSO SAVONA, 58 - 10024 MONCALIERI (TO)"/>
    <s v="System Administrator"/>
    <s v="System Administrator"/>
    <s v="System Administrator"/>
  </r>
  <r>
    <m/>
    <s v="BONETTO"/>
    <s v="ROBERTO"/>
    <s v="  "/>
    <s v="roberto.bonetto@intesasanpaolo.com"/>
    <s v="MONCALIERI (TO)"/>
    <s v="CORSO SAVONA, 58 - 10024 MONCALIERI (TO)"/>
    <s v="  "/>
    <e v="#N/A"/>
    <m/>
  </r>
  <r>
    <s v="Supporto Open Applic e Servizi"/>
    <s v="FRANZI"/>
    <s v="GIUSEPPE"/>
    <s v="U041370"/>
    <s v="giuseppe.franzi@intesasanpaolo.com"/>
    <s v="MONCALIERI (TO)"/>
    <s v="CORSO SAVONA, 58 - 10024 MONCALIERI (TO)"/>
    <s v="IT Coordinator"/>
    <s v="System Administrator"/>
    <m/>
  </r>
  <r>
    <s v="Supporto Open DB e Sistemi"/>
    <s v="GIORCELLI"/>
    <s v="ALESSANDRO"/>
    <s v="U024674"/>
    <s v="alessandro.giorcelli@intesasanpaolo.com"/>
    <s v="MONCALIERI (TO)"/>
    <s v="CORSO SAVONA, 58 - 10024 MONCALIERI (TO)"/>
    <s v="IT Coordinator"/>
    <s v="IT Coordinator"/>
    <m/>
  </r>
  <r>
    <s v="Physical Planning"/>
    <s v="LIVIGNI"/>
    <s v="EUGENIO"/>
    <s v="U011911"/>
    <s v="eugenio.livigni@intesasanpaolo.com"/>
    <s v="MONCALIERI (TO)"/>
    <s v="CORSO SAVONA, 58 - 10024 MONCALIERI (TO)"/>
    <s v="IT Coordinator"/>
    <s v="IT Coordinator"/>
    <m/>
  </r>
  <r>
    <s v="Flussi Trasmissivi"/>
    <s v="LONGAGNANI"/>
    <s v="ANDREA"/>
    <s v="U086355"/>
    <s v="andrea.longagnani@intesasanpaolo.com"/>
    <s v="PARMA"/>
    <s v="VIA LANGHIRANO, 1 - PAL. C - 43100 PARMA (PR)"/>
    <s v="IT Coordinator"/>
    <s v="IT Coordinator"/>
    <m/>
  </r>
  <r>
    <s v="Supporto Tecnico MF"/>
    <s v="ZANELLATO"/>
    <s v="PAOLA"/>
    <s v="U013494"/>
    <s v="paola.zanellato@intesasanpaolo.com"/>
    <s v="MONCALIERI (TO)"/>
    <s v="CORSO SAVONA, 58 - 10024 MONCALIERI (TO)"/>
    <s v="IT Coordinator"/>
    <s v="IT Coordinator"/>
    <m/>
  </r>
  <r>
    <s v="Supporto Tecnico MF"/>
    <s v="AIELLO"/>
    <s v="ROBERTO"/>
    <s v="U301152"/>
    <s v="roberto.aiello@intesasanpaolo.com"/>
    <s v="ROMA"/>
    <s v="VIA VINCENZO LAMARO, 25 - 00173 ROMA (RM)"/>
    <s v="Data Base Administrator"/>
    <s v="Data Base Administrator"/>
    <m/>
  </r>
  <r>
    <s v="Supporto Tecnico MF"/>
    <s v="ANTONELLI"/>
    <s v="EMANUELA"/>
    <s v="U301156"/>
    <s v="emanuela.antonelli@intesasanpaolo.com"/>
    <s v="ROMA"/>
    <s v="VIA VINCENZO LAMARO, 25 - 00173 ROMA (RM)"/>
    <s v="Data Communication Administrator"/>
    <s v="System Administrator"/>
    <m/>
  </r>
  <r>
    <s v="Supporto Tecnico MF"/>
    <s v="AUDERO"/>
    <s v="MASSIMO"/>
    <s v="U017970"/>
    <s v="massimo.audero@intesasanpaolo.com"/>
    <s v="MONCALIERI (TO)"/>
    <s v="CORSO SAVONA, 58 - 10024 MONCALIERI (TO)"/>
    <s v="Data Base Administrator"/>
    <s v="Data Base Administrator"/>
    <m/>
  </r>
  <r>
    <s v="Supporto Open DB e Sistemi"/>
    <s v="AVIDANO"/>
    <s v="ANDREA"/>
    <s v="U027969"/>
    <s v="andrea.avidano@intesasanpaolo.com"/>
    <s v="MONCALIERI (TO)"/>
    <s v="CORSO SAVONA, 58 - 10024 MONCALIERI (TO)"/>
    <s v="System Administrator"/>
    <s v="Data Base Administrator"/>
    <m/>
  </r>
  <r>
    <s v="Supporto Open DB e Sistemi"/>
    <s v="BALLONE"/>
    <s v="PAOLO"/>
    <s v="U027945"/>
    <s v="paolo.ballone@intesasanpaolo.com"/>
    <s v="MONCALIERI (TO)"/>
    <s v="CORSO SAVONA, 58 - 10024 MONCALIERI (TO)"/>
    <s v="System Administrator"/>
    <s v="System Administrator"/>
    <m/>
  </r>
  <r>
    <s v="Supporto Tecnico MF"/>
    <s v="BAMBARA"/>
    <s v="ALESSANDRO"/>
    <s v="U364021"/>
    <s v="alessandro.bambara@intesasanpaolo.com"/>
    <s v="MONCALIERI (TO)"/>
    <s v="CORSO SAVONA, 58 - 10024 MONCALIERI (TO)"/>
    <s v="Data Base  Administrator"/>
    <s v="System Administrator"/>
    <m/>
  </r>
  <r>
    <s v="Supporto Open Applic e Servizi"/>
    <s v="BARRERA"/>
    <s v="CRISTINA"/>
    <s v="U028055"/>
    <s v="cristina.barrera@intesasanpaolo.com"/>
    <s v="MONCALIERI (TO)"/>
    <s v="CORSO SAVONA, 58 - 10024 MONCALIERI (TO)"/>
    <s v="System Administrator"/>
    <s v="System Administrator"/>
    <m/>
  </r>
  <r>
    <s v="Supporto Open Applic e Servizi"/>
    <s v="BATTAGLIO"/>
    <s v="ALICE"/>
    <s v="U369647"/>
    <s v="alice.battaglio@intesasanpaolo.com"/>
    <s v="MONCALIERI (TO)"/>
    <s v="CORSO SAVONA, 58 - 10024 MONCALIERI (TO)"/>
    <s v="System Administrator"/>
    <s v="no def"/>
    <m/>
  </r>
  <r>
    <s v="Supporto Open Applic e Servizi"/>
    <s v="BELFIORE"/>
    <s v="DAVIDE SALVATORE"/>
    <s v="  "/>
    <s v="davide.belfiore@intesasanpaolo.com"/>
    <s v="MONCALIERI (TO)"/>
    <s v="CORSO SAVONA, 58 - 10024 MONCALIERI (TO)"/>
    <s v="N/A"/>
    <e v="#N/A"/>
    <m/>
  </r>
  <r>
    <s v="Flussi Trasmissivi"/>
    <s v="BELLINGERI"/>
    <s v="GIANFRANCO"/>
    <s v="U086196"/>
    <s v="gianfranco.bellingeri@intesasanpaolo.com"/>
    <s v="PARMA"/>
    <s v="VIA LANGHIRANO, 1 - PAL. C - 43100 PARMA (PR)"/>
    <s v="Network Automation"/>
    <s v="System Administrator"/>
    <m/>
  </r>
  <r>
    <s v="Supporto Open Applic e Servizi"/>
    <s v="BERTOZZI"/>
    <s v="SAURO"/>
    <s v="U028735"/>
    <s v="sauro.bertozzi@intesasanpaolo.com"/>
    <s v="MONCALIERI (TO)"/>
    <s v="CORSO SAVONA, 58 - 10024 MONCALIERI (TO)"/>
    <s v="System Administrator"/>
    <s v="System Administrator"/>
    <m/>
  </r>
  <r>
    <s v="Supporto Open DB e Sistemi"/>
    <s v="BIONDI"/>
    <s v="FABIO"/>
    <s v="U369643"/>
    <s v="fabio.biondi@intesasanpaolo.com"/>
    <s v="MONCALIERI (TO)"/>
    <s v="CORSO SAVONA, 58 - 10024 MONCALIERI (TO)"/>
    <s v="Data Base  Administrator"/>
    <s v="no def"/>
    <m/>
  </r>
  <r>
    <s v="Supporto Tecnico MF"/>
    <s v="BORSATO"/>
    <s v="RENATO"/>
    <s v="  "/>
    <s v="renato.borsato@intesasanpaolo.com"/>
    <s v="BISCEGLIE (MI)"/>
    <s v="VIA BISCEGLIE, 120 - 20152 MILANO (MI)"/>
    <s v="System Administrator"/>
    <e v="#N/A"/>
    <m/>
  </r>
  <r>
    <s v="Flussi Trasmissivi"/>
    <s v="BOSI"/>
    <s v="ROBERTO"/>
    <s v="U086308"/>
    <s v="roberto.bosi1@intesasanpaolo.com"/>
    <s v="PARMA"/>
    <s v="VIA LANGHIRANO, 1 - PAL. C - 43100 PARMA (PR)"/>
    <s v="Communication specialist"/>
    <s v="System Administrator"/>
    <m/>
  </r>
  <r>
    <s v="Flussi Trasmissivi"/>
    <s v="BOTRUGNO"/>
    <s v="COSIMO"/>
    <s v="U086309"/>
    <s v="cosimo.botrugno@intesasanpaolo.com"/>
    <s v="PARMA"/>
    <s v="VIA LANGHIRANO, 1 - PAL. C - 43100 PARMA (PR)"/>
    <s v="Network Automation"/>
    <s v="System Administrator"/>
    <m/>
  </r>
  <r>
    <s v="Supporto Open Applic e Servizi"/>
    <s v="BRASA"/>
    <s v="STEFANO"/>
    <s v="U045372"/>
    <s v="stefano.brasa@intesasanpaolo.com"/>
    <s v="MONCALIERI (TO)"/>
    <s v="CORSO SAVONA, 58 - 10024 MONCALIERI (TO)"/>
    <s v="N/A"/>
    <s v="Project Manager"/>
    <m/>
  </r>
  <r>
    <s v="Supporto Open Applic e Servizi"/>
    <s v="BRAVIN"/>
    <s v="MAXIMILIAN"/>
    <s v="U369646"/>
    <s v="maximilian.bravin@intesasanpaolo.com"/>
    <s v="MONCALIERI (TO)"/>
    <s v="CORSO SAVONA, 58 - 10024 MONCALIERI (TO)"/>
    <s v="System Administrator"/>
    <s v="no def"/>
    <m/>
  </r>
  <r>
    <s v="Supporto Tecnico MF"/>
    <s v="BRESCIA"/>
    <s v="ROBERTO"/>
    <s v="  "/>
    <s v="roberto.brescia@intesasanpaolo.com"/>
    <s v="MONCALIERI (TO)"/>
    <s v="CORSO SAVONA, 58 - 10024 MONCALIERI (TO)"/>
    <s v="Data Base  Administrator"/>
    <e v="#N/A"/>
    <m/>
  </r>
  <r>
    <s v="Flussi Trasmissivi"/>
    <s v="BUSANI"/>
    <s v="MARCO"/>
    <s v="  "/>
    <s v="marco.busani@intesasanpaolo.com"/>
    <s v="PARMA"/>
    <s v="VIA LANGHIRANO, 1 - PAL. C - 43100 PARMA (PR)"/>
    <s v="Communication specialist"/>
    <e v="#N/A"/>
    <m/>
  </r>
  <r>
    <s v="Supporto Tecnico MF"/>
    <s v="CANNAVIELLO"/>
    <s v="ROBERTO"/>
    <s v="U301171"/>
    <s v="roberto.cannaviello@intesasanpaolo.com"/>
    <s v="ROMA"/>
    <s v="VIA VINCENZO LAMARO, 25 - 00173 ROMA (RM)"/>
    <s v="Data Base Administrator"/>
    <s v="Data Base Administrator"/>
    <m/>
  </r>
  <r>
    <s v="Supporto Open Applic e Servizi"/>
    <s v="CAPACCIO"/>
    <s v="LUCA"/>
    <s v="  "/>
    <s v="luca.capaccio@intesasanpaolo.com"/>
    <s v="MONCALIERI (TO)"/>
    <s v="CORSO SAVONA, 58 - 10024 MONCALIERI (TO)"/>
    <s v="System Administrator"/>
    <e v="#N/A"/>
    <m/>
  </r>
  <r>
    <s v="Supporto Open Applic e Servizi"/>
    <s v="CARELLA"/>
    <s v="RENATO"/>
    <s v="  "/>
    <s v="renato.carella@intesasanpaolo.com"/>
    <s v="MONCALIERI (TO)"/>
    <s v="CORSO SAVONA, 58 - 10024 MONCALIERI (TO)"/>
    <s v="System Administrator"/>
    <e v="#N/A"/>
    <m/>
  </r>
  <r>
    <s v="Supporto Open DB e Sistemi"/>
    <s v="CARPI"/>
    <s v="FIORENZO"/>
    <s v="U357315"/>
    <s v="fiorenzo.carpi@intesasanpaolo.com"/>
    <s v="MONCALIERI (TO)"/>
    <s v="CORSO SAVONA, 58 - 10024 MONCALIERI (TO)"/>
    <s v="Data Base Administrator"/>
    <s v="Data Base Administrator"/>
    <m/>
  </r>
  <r>
    <s v="Supporto Open Applic e Servizi"/>
    <s v="CARTA"/>
    <s v="FABIO"/>
    <s v="  "/>
    <s v="fabio.carta@intesasanpaolo.com"/>
    <s v="MONCALIERI (TO)"/>
    <s v="CORSO SAVONA, 58 - 10024 MONCALIERI (TO)"/>
    <s v="N/A"/>
    <e v="#N/A"/>
    <m/>
  </r>
  <r>
    <s v="Supporto Open Applic e Servizi"/>
    <s v="CELLI"/>
    <s v="FABRIZIO ANTONIO"/>
    <s v="U364369"/>
    <s v="fabrizio.celli@intesasanpaolo.com"/>
    <s v="MONCALIERI (TO)"/>
    <s v="CORSO SAVONA, 58 - 10024 MONCALIERI (TO)"/>
    <s v="System Administrator"/>
    <s v="System Administrator"/>
    <m/>
  </r>
  <r>
    <s v="Supporto Tecnico MF"/>
    <s v="CENA"/>
    <s v="FABRIZIO"/>
    <s v="U017967"/>
    <s v="fabrizio.cena@intesasanpaolo.com"/>
    <s v="MONCALIERI (TO)"/>
    <s v="CORSO SAVONA, 58 - 10024 MONCALIERI (TO)"/>
    <s v="Data Base Administrator"/>
    <s v="Data Base Administrator"/>
    <m/>
  </r>
  <r>
    <s v="Supporto Open DB e Sistemi"/>
    <s v="CENTOMANI"/>
    <s v="RAFFAELE"/>
    <s v="  "/>
    <s v="raffaele.centomani@intesasanpaolo.com"/>
    <s v="MONCALIERI (TO)"/>
    <s v="CORSO SAVONA, 58 - 10024 MONCALIERI (TO)"/>
    <s v="System Administrator"/>
    <e v="#N/A"/>
    <m/>
  </r>
  <r>
    <s v="Supporto Open Applic e Servizi"/>
    <s v="CHIARAVALLE"/>
    <s v="PASQUALE"/>
    <s v="  "/>
    <s v="pasquale.chiaravalle@intesasanpaolo.com"/>
    <s v="MONCALIERI (TO)"/>
    <s v="CORSO SAVONA, 58 - 10024 MONCALIERI (TO)"/>
    <s v="System Administrator"/>
    <e v="#N/A"/>
    <m/>
  </r>
  <r>
    <s v="Supporto Open DB e Sistemi"/>
    <s v="CIPOLLONE"/>
    <s v="ANTONINO"/>
    <s v="U345437"/>
    <s v="antonino.cipollone@intesasanpaolo.com"/>
    <s v="MONCALIERI (TO)"/>
    <s v="CORSO SAVONA, 58 - 10024 MONCALIERI (TO)"/>
    <s v="Data Base Administrator"/>
    <s v="Data Base Administrator"/>
    <m/>
  </r>
  <r>
    <s v="Supporto Tecnico MF"/>
    <s v="COLETTA"/>
    <s v="VALENTINO"/>
    <s v="U301183"/>
    <s v="valentino.coletta@intesasanpaolo.com"/>
    <s v="ROMA"/>
    <s v="VIA VINCENZO LAMARO, 25 - 00173 ROMA (RM)"/>
    <s v="Data Base Administrator"/>
    <s v="Data Base Administrator"/>
    <m/>
  </r>
  <r>
    <s v="Supporto Tecnico MF"/>
    <s v="CONTEGIACOMO"/>
    <s v="PIETRO"/>
    <s v="  "/>
    <s v="pietro.contegiacomo@intesasanpaolo.com"/>
    <s v="MONCALIERI (TO)"/>
    <s v="CORSO SAVONA, 58 - 10024 MONCALIERI (TO)"/>
    <s v="Data Base  Administrator"/>
    <e v="#N/A"/>
    <m/>
  </r>
  <r>
    <s v="Supporto Open Applic e Servizi"/>
    <s v="COTTONE"/>
    <s v="FILIPPO"/>
    <s v="  "/>
    <s v="filippo.cottone@intesasanpaolo.com"/>
    <s v="MONCALIERI (TO)"/>
    <s v="CORSO SAVONA, 58 - 10024 MONCALIERI (TO)"/>
    <s v="N/A"/>
    <e v="#N/A"/>
    <m/>
  </r>
  <r>
    <s v="Supporto Open Applic e Servizi"/>
    <s v="CUCCOLINI"/>
    <s v="ALESSANDRO"/>
    <s v="  "/>
    <s v="alessandro.cuccolini@intesasanpaolo.com"/>
    <s v="MONCALIERI (TO)"/>
    <s v="CORSO SAVONA, 58 - 10024 MONCALIERI (TO)"/>
    <s v="System Administrator"/>
    <e v="#N/A"/>
    <m/>
  </r>
  <r>
    <s v="Supporto Open Applic e Servizi"/>
    <s v="DE CRESCENZO"/>
    <s v="FABIO"/>
    <s v="U023915"/>
    <s v="fabio.decrescenzo@intesasanpaolo.com"/>
    <s v="MONCALIERI (TO)"/>
    <s v="CORSO SAVONA, 58 - 10024 MONCALIERI (TO)"/>
    <s v="System Administrator"/>
    <s v="System Administrator"/>
    <m/>
  </r>
  <r>
    <s v="Supporto Tecnico MF"/>
    <s v="DE ROSA"/>
    <s v="DAVIDE"/>
    <s v="U086303"/>
    <s v="davide.derosa@intesasanpaolo.com"/>
    <s v="BISCEGLIE (MI)"/>
    <s v="VIA BISCEGLIE, 120 - 20152 MILANO (MI)"/>
    <s v="System Administrator"/>
    <s v="System Administrator"/>
    <m/>
  </r>
  <r>
    <s v="Supporto Open Applic e Servizi"/>
    <s v="DE ROSA"/>
    <s v="FABIO"/>
    <s v="  "/>
    <s v="fabio.derosa1@intesasanpaolo.com"/>
    <s v="MONCALIERI (TO)"/>
    <s v="CORSO SAVONA, 58 - 10024 MONCALIERI (TO)"/>
    <s v="System Administrator"/>
    <e v="#N/A"/>
    <m/>
  </r>
  <r>
    <s v="Supporto Tecnico MF"/>
    <s v="DEL RE"/>
    <s v="TOMMASO M.RICCARDO"/>
    <s v="U301194"/>
    <s v="tommaso.delre@intesasanpaolo.com"/>
    <s v="ROMA"/>
    <s v="VIA VINCENZO LAMARO, 25 - 00173 ROMA (RM)"/>
    <s v="System Administrator"/>
    <s v="System Administrator"/>
    <m/>
  </r>
  <r>
    <s v="Supporto Open Applic e Servizi"/>
    <s v="DETTONI"/>
    <s v="FABRIZIO"/>
    <s v="  "/>
    <s v="fabrizio.dettoni@intesasanpaolo.com"/>
    <s v="MONCALIERI (TO)"/>
    <s v="CORSO SAVONA, 58 - 10024 MONCALIERI (TO)"/>
    <s v="Data Communication Administrator"/>
    <e v="#N/A"/>
    <m/>
  </r>
  <r>
    <s v="Supporto Open Applic e Servizi"/>
    <s v="DI LABIO"/>
    <s v="PAOLO"/>
    <s v="  "/>
    <s v="paolo.dilabio@intesasanpaolo.com"/>
    <s v="MONCALIERI (TO)"/>
    <s v="CORSO SAVONA, 58 - 10024 MONCALIERI (TO)"/>
    <s v="Data Communication Administrator"/>
    <e v="#N/A"/>
    <m/>
  </r>
  <r>
    <s v="Supporto Tecnico MF"/>
    <s v="DI LEO"/>
    <s v="ORNELLA"/>
    <s v="U301197"/>
    <s v="ornella.dileo@intesasanpaolo.com"/>
    <s v="ROMA"/>
    <s v="VIA VINCENZO LAMARO, 25 - 00173 ROMA (RM)"/>
    <s v="Data Communication Administrator"/>
    <s v="System Administrator"/>
    <m/>
  </r>
  <r>
    <s v="Supporto Tecnico MF"/>
    <s v="DI ROMA"/>
    <s v="ENZO"/>
    <s v="U301198"/>
    <s v="enzo.diroma@intesasanpaolo.com"/>
    <s v="ROMA"/>
    <s v="VIA VINCENZO LAMARO, 25 - 00173 ROMA (RM)"/>
    <s v="Data Communication Administrator"/>
    <s v="System Administrator"/>
    <m/>
  </r>
  <r>
    <s v="Supporto Tecnico MF"/>
    <s v="DONNARUMMA"/>
    <s v="ANTONIO"/>
    <s v="U301200"/>
    <s v="antonio.donnarumma@intesasanpaolo.com"/>
    <s v="ROMA"/>
    <s v="VIA VINCENZO LAMARO, 25 - 00173 ROMA (RM)"/>
    <s v="Data Communication Administrator"/>
    <s v="System Administrator"/>
    <m/>
  </r>
  <r>
    <s v="Physical Planning"/>
    <s v="DONNINI"/>
    <s v="CARLO"/>
    <s v="U086376"/>
    <s v="carlo.donnini@intesasanpaolo.com"/>
    <s v="PARMA"/>
    <s v="VIA LANGHIRANO, 1 - PAL. C - 43100 PARMA (PR)"/>
    <s v="Operator"/>
    <s v="Operator"/>
    <m/>
  </r>
  <r>
    <s v="Flussi Trasmissivi"/>
    <s v="FAVA"/>
    <s v="EMANUELE"/>
    <s v="U086389"/>
    <s v="emanuele.fava@intesasanpaolo.com"/>
    <s v="PARMA"/>
    <s v="VIA LANGHIRANO, 1 - PAL. C - 43100 PARMA (PR)"/>
    <s v="Network Automation"/>
    <s v="System Administrator"/>
    <m/>
  </r>
  <r>
    <s v="Supporto Open Applic e Servizi"/>
    <s v="FERRARESE"/>
    <s v="BRUNO"/>
    <s v="U044866"/>
    <s v="bruno.ferrarese@intesasanpaolo.com"/>
    <s v="MONCALIERI (TO)"/>
    <s v="CORSO SAVONA, 58 - 10024 MONCALIERI (TO)"/>
    <s v="System Administrator"/>
    <s v="System Administrator"/>
    <m/>
  </r>
  <r>
    <s v="Supporto Tecnico MF"/>
    <s v="FONTANOT"/>
    <s v="RICCARDO"/>
    <s v="U024067"/>
    <s v="riccardo.fontanot@intesasanpaolo.com"/>
    <s v="MONCALIERI (TO)"/>
    <s v="CORSO SAVONA, 58 - 10024 MONCALIERI (TO)"/>
    <s v="Data Communication Administrator"/>
    <s v="System Administrator"/>
    <m/>
  </r>
  <r>
    <s v="Flussi Trasmissivi"/>
    <s v="FRAGNI"/>
    <s v="ALESSANDRO"/>
    <s v="U086280"/>
    <s v="alessandro.fragni@intesasanpaolo.com"/>
    <s v="PARMA"/>
    <s v="VIA LANGHIRANO, 1 - PAL. C - 43100 PARMA (PR)"/>
    <s v="Communication specialist"/>
    <s v="System Administrator"/>
    <m/>
  </r>
  <r>
    <s v="Physical Planning"/>
    <s v="FRANCO"/>
    <s v="GIANPAOLO"/>
    <s v="U014237"/>
    <s v="gianpaolo.franco@intesasanpaolo.com"/>
    <s v="MONCALIERI (TO)"/>
    <s v="CORSO SAVONA, 58 - 10024 MONCALIERI (TO)"/>
    <s v="Delivery manager"/>
    <s v="Operator"/>
    <m/>
  </r>
  <r>
    <s v="Supporto Tecnico MF"/>
    <s v="FRANCO"/>
    <s v="MAURO"/>
    <s v="U017972"/>
    <s v="mauro.franco@intesasanpaolo.com"/>
    <s v="MONCALIERI (TO)"/>
    <s v="CORSO SAVONA, 58 - 10024 MONCALIERI (TO)"/>
    <s v="Data Communication Administrator"/>
    <s v="System Administrator"/>
    <m/>
  </r>
  <r>
    <s v="Physical Planning"/>
    <s v="GANDOLFI"/>
    <s v="ANTONIO"/>
    <s v="U086384"/>
    <s v="antonio.gandolfi@intesasanpaolo.com"/>
    <s v="PARMA"/>
    <s v="VIA LANGHIRANO, 1 - PAL. C - 43100 PARMA (PR)"/>
    <s v="Operator"/>
    <s v="Operator"/>
    <m/>
  </r>
  <r>
    <s v="Supporto Tecnico MF"/>
    <s v="GARAVAGLIA"/>
    <s v="MAURO"/>
    <s v="U086385"/>
    <s v="mauro.garavaglia@intesasanpaolo.com"/>
    <s v="BISCEGLIE (MI)"/>
    <s v="VIA BISCEGLIE, 120 - 20152 MILANO (MI)"/>
    <s v="System Administrator"/>
    <s v="System Administrator"/>
    <m/>
  </r>
  <r>
    <s v="Supporto Open Applic e Servizi"/>
    <s v="GERMANO"/>
    <s v="ALBERTO"/>
    <s v="  "/>
    <s v="alberto.germano@intesasanpaolo.com"/>
    <s v="MONCALIERI (TO)"/>
    <s v="CORSO SAVONA, 58 - 10024 MONCALIERI (TO)"/>
    <s v="System Administrator"/>
    <e v="#N/A"/>
    <m/>
  </r>
  <r>
    <s v="Supporto Open Applic e Servizi"/>
    <s v="GIACALONE"/>
    <s v="ENZO"/>
    <s v="U052427"/>
    <s v="enzo.giacalone@intesasanpaolo.com"/>
    <s v="BOLOGNA"/>
    <s v="PIAZZA SAN DOMENICO - 40124 BOLOGNA (BO)"/>
    <s v="N/A"/>
    <s v="Operator"/>
    <m/>
  </r>
  <r>
    <s v="Supporto Open DB e Sistemi"/>
    <s v="GIORDANO"/>
    <s v="FRANCESCO"/>
    <s v="U305499"/>
    <s v="francesco.giordano@intesasanpaolo.com"/>
    <s v="MONCALIERI (TO)"/>
    <s v="CORSO SAVONA, 58 - 10024 MONCALIERI (TO)"/>
    <s v="System Administrator"/>
    <s v="System Administrator"/>
    <m/>
  </r>
  <r>
    <s v="Physical Planning"/>
    <s v="GIOVANELLI"/>
    <s v="GIAN PAOLO"/>
    <s v="U086351"/>
    <s v="gianpaolo.giovanelli@intesasanpaolo.com"/>
    <s v="PARMA"/>
    <s v="VIA LANGHIRANO, 1 - PAL. C - 43100 PARMA (PR)"/>
    <s v="Operator"/>
    <s v="Operator"/>
    <m/>
  </r>
  <r>
    <s v="Supporto Tecnico MF"/>
    <s v="GORLATO"/>
    <s v="ENNIO ORLANDO"/>
    <s v="  "/>
    <s v="ennio.gorlato@intesasanpaolo.com"/>
    <s v="MONCALIERI (TO)"/>
    <s v="CORSO SAVONA, 58 - 10024 MONCALIERI (TO)"/>
    <s v="Data Base  Administrator"/>
    <e v="#N/A"/>
    <m/>
  </r>
  <r>
    <s v="Supporto Tecnico MF"/>
    <s v="INCANNILA"/>
    <s v="STEFANO"/>
    <s v="  "/>
    <s v="stefano.incannila@intesasanpaolo.com"/>
    <s v="MONCALIERI (TO)"/>
    <s v="CORSO SAVONA, 58 - 10024 MONCALIERI (TO)"/>
    <s v="Data Base  Administrator"/>
    <e v="#N/A"/>
    <m/>
  </r>
  <r>
    <s v="Supporto Open DB e Sistemi"/>
    <s v="KANA ZEBAZE"/>
    <s v="JEAN PIERRE"/>
    <s v="  "/>
    <s v="jean.kanazebaze@intesasanpaolo.com"/>
    <s v="MONCALIERI (TO)"/>
    <s v="CORSO SAVONA, 58 - 10024 MONCALIERI (TO)"/>
    <s v="Data Base  Administrator"/>
    <e v="#N/A"/>
    <m/>
  </r>
  <r>
    <s v="Supporto Open DB e Sistemi"/>
    <s v="LA STELLA"/>
    <s v="LUCA"/>
    <s v="U023763"/>
    <s v="luca.lastella@intesasanpaolo.com"/>
    <s v="MONCALIERI (TO)"/>
    <s v="CORSO SAVONA, 58 - 10024 MONCALIERI (TO)"/>
    <s v="System Administrator"/>
    <s v="System Administrator"/>
    <m/>
  </r>
  <r>
    <s v="Supporto Open DB e Sistemi"/>
    <s v="LACATUSU"/>
    <s v="DANIEL"/>
    <s v="  "/>
    <s v="daniel.lacatusu@intesasanpaolo.com"/>
    <s v="MONCALIERI (TO)"/>
    <s v="CORSO SAVONA, 58 - 10024 MONCALIERI (TO)"/>
    <s v="System Administrator"/>
    <e v="#N/A"/>
    <m/>
  </r>
  <r>
    <s v="Supporto Open Applic e Servizi"/>
    <s v="LATINO"/>
    <s v="FLAVIA"/>
    <s v="  "/>
    <s v="flavia.latino@intesasanpaolo.com"/>
    <s v="MONCALIERI (TO)"/>
    <s v="CORSO SAVONA, 58 - 10024 MONCALIERI (TO)"/>
    <s v="System Administrator"/>
    <e v="#N/A"/>
    <m/>
  </r>
  <r>
    <s v="Flussi Trasmissivi"/>
    <s v="LAZZARI"/>
    <s v="SIMONE"/>
    <s v="U086277"/>
    <s v="simone.lazzari@intesasanpaolo.com"/>
    <s v="PARMA"/>
    <s v="VIA LANGHIRANO, 1 - PAL. C - 43100 PARMA (PR)"/>
    <s v="Communication specialist"/>
    <s v="System Administrator"/>
    <m/>
  </r>
  <r>
    <s v="Supporto Open DB e Sistemi"/>
    <s v="LEUZZI"/>
    <s v="ALESSANDRO"/>
    <s v="  "/>
    <s v="alessandro.leuzzi@intesasanpaolo.com"/>
    <s v="MONCALIERI (TO)"/>
    <s v="CORSO SAVONA, 58 - 10024 MONCALIERI (TO)"/>
    <s v="Data Base  Administrator"/>
    <e v="#N/A"/>
    <m/>
  </r>
  <r>
    <s v="Supporto Tecnico MF"/>
    <s v="MALDINI"/>
    <s v="GILBERTO"/>
    <s v="U301225"/>
    <s v="gilberto.maldini@intesasanpaolo.com"/>
    <s v="ROMA"/>
    <s v="VIA VINCENZO LAMARO, 25 - 00173 ROMA (RM)"/>
    <s v="Data Base  Administrator"/>
    <s v="System Administrator"/>
    <m/>
  </r>
  <r>
    <s v="Supporto Open DB e Sistemi"/>
    <s v="MANGIALARDO"/>
    <s v="SERGIO"/>
    <s v="U029729"/>
    <s v="sergio.mangialardo@intesasanpaolo.com"/>
    <s v="MONCALIERI (TO)"/>
    <s v="CORSO SAVONA, 58 - 10024 MONCALIERI (TO)"/>
    <s v="Data Base Administrator"/>
    <s v="Data Base Administrator"/>
    <m/>
  </r>
  <r>
    <s v="Supporto Tecnico MF"/>
    <s v="MARCIANO'"/>
    <s v="GIANLUCA"/>
    <s v="U301229"/>
    <s v="gianluca.marciano@intesasanpaolo.com"/>
    <s v="ROMA"/>
    <s v="VIA VINCENZO LAMARO, 25 - 00173 ROMA (RM)"/>
    <s v="Data Base Administrator"/>
    <s v="Data Base Administrator"/>
    <m/>
  </r>
  <r>
    <s v="Supporto Tecnico MF"/>
    <s v="MAROTTA"/>
    <s v="UMBERTO"/>
    <s v="  "/>
    <s v="umberto.marotta@intesasanpaolo.com"/>
    <s v="ROMA"/>
    <s v="VIA VINCENZO LAMARO, 25 - 00173 ROMA (RM)"/>
    <s v="Data Communication Administrator"/>
    <e v="#N/A"/>
    <m/>
  </r>
  <r>
    <s v="Flussi Trasmissivi"/>
    <s v="MASSARI"/>
    <s v="GABRIELE"/>
    <s v="U086350"/>
    <s v="gabriele.massari@intesasanpaolo.com"/>
    <s v="PARMA"/>
    <s v="VIA LANGHIRANO, 1 - PAL. C - 43100 PARMA (PR)"/>
    <s v="Network Automation"/>
    <s v="System Administrator"/>
    <m/>
  </r>
  <r>
    <s v="Supporto Tecnico MF"/>
    <s v="MATTALIA"/>
    <s v="SERENA"/>
    <s v="  "/>
    <s v="serena.mattalia@intesasanpaolo.com"/>
    <s v="MONCALIERI (TO)"/>
    <s v="CORSO SAVONA, 58 - 10024 MONCALIERI (TO)"/>
    <s v="Data Base  Administrator"/>
    <e v="#N/A"/>
    <m/>
  </r>
  <r>
    <s v="Supporto Tecnico MF"/>
    <s v="MIGLIORI"/>
    <s v="ELEUTERIO"/>
    <s v="  "/>
    <s v="eleuterio.migliori@intesasanpaolo.com"/>
    <s v="ROMA"/>
    <s v="VIA VINCENZO LAMARO, 25 - 00173 ROMA (RM)"/>
    <s v="Data Base  Administrator"/>
    <e v="#N/A"/>
    <m/>
  </r>
  <r>
    <s v="Supporto Open DB e Sistemi"/>
    <s v="MONTEFERRANTE"/>
    <s v="GIOVANNI"/>
    <s v="  "/>
    <s v="giovanni.monteferrante@intesasanpaolo.com"/>
    <s v="MONCALIERI (TO)"/>
    <s v="CORSO SAVONA, 58 - 10024 MONCALIERI (TO)"/>
    <s v="System Administrator"/>
    <e v="#N/A"/>
    <m/>
  </r>
  <r>
    <s v="Supporto Tecnico MF"/>
    <s v="MONTICONE"/>
    <s v="FLAVIO"/>
    <s v="U017374"/>
    <s v="flavio.monticone@intesasanpaolo.com"/>
    <s v="MONCALIERI (TO)"/>
    <s v="CORSO SAVONA, 58 - 10024 MONCALIERI (TO)"/>
    <s v="Data Base  Administrator"/>
    <s v="Project Manager"/>
    <m/>
  </r>
  <r>
    <s v="Flussi Trasmissivi"/>
    <s v="MORZA"/>
    <s v="GABRIELE"/>
    <s v="U086362"/>
    <s v="gabriele.morza@intesasanpaolo.com"/>
    <s v="PARMA"/>
    <s v="VIA LANGHIRANO, 1 - PAL. C - 43100 PARMA (PR)"/>
    <s v="Communication specialist"/>
    <s v="System Administrator"/>
    <m/>
  </r>
  <r>
    <s v="Supporto Tecnico MF"/>
    <s v="MOSCHELLI"/>
    <s v="MAURO"/>
    <s v="U020444"/>
    <s v="mauro.moschelli@intesasanpaolo.com"/>
    <s v="MONCALIERI (TO)"/>
    <s v="CORSO SAVONA, 58 - 10024 MONCALIERI (TO)"/>
    <s v="Data Base  Administrator"/>
    <s v="System Administrator"/>
    <m/>
  </r>
  <r>
    <s v="Supporto Tecnico MF"/>
    <s v="NEGOSSI"/>
    <s v="LUCA"/>
    <s v="  "/>
    <s v="luca.negossi@intesasanpaolo.com"/>
    <s v="MONCALIERI (TO)"/>
    <s v="CORSO SAVONA, 58 - 10024 MONCALIERI (TO)"/>
    <s v="Data Communication Administrator"/>
    <e v="#N/A"/>
    <m/>
  </r>
  <r>
    <s v="Physical Planning"/>
    <s v="PATELLI"/>
    <s v="ROBERTO"/>
    <s v="U042855"/>
    <s v="roberto.patelli@intesasanpaolo.com"/>
    <s v="MONCALIERI (TO)"/>
    <s v="CORSO SAVONA, 58 - 10024 MONCALIERI (TO)"/>
    <s v="Delivery manager"/>
    <s v="Operator"/>
    <m/>
  </r>
  <r>
    <s v="Physical Planning"/>
    <s v="PEDRAZZINI"/>
    <s v="CRISTIANO"/>
    <s v="U086411"/>
    <s v="cristiano.pedrazzini@intesasanpaolo.com"/>
    <s v="PARMA"/>
    <s v="VIA LANGHIRANO, 1 - PAL. C - 43100 PARMA (PR)"/>
    <s v="Delivery manager"/>
    <s v="Operator"/>
    <s v="Delivery manager"/>
  </r>
  <r>
    <s v="Supporto Tecnico MF"/>
    <s v="PIAZZA"/>
    <s v="DAVIDE"/>
    <s v="U086416"/>
    <s v="davide.piazza@intesasanpaolo.com"/>
    <s v="BISCEGLIE (MI)"/>
    <s v="VIA BISCEGLIE, 120 - 20152 MILANO (MI)"/>
    <s v="System Administrator"/>
    <s v="System Administrator"/>
    <m/>
  </r>
  <r>
    <s v="Supporto Tecnico MF"/>
    <s v="PIERI"/>
    <s v="ALESSANDRO"/>
    <s v="U301251"/>
    <s v="alessandro.pieri@intesasanpaolo.com"/>
    <s v="ROMA"/>
    <s v="VIA VINCENZO LAMARO, 25 - 00173 ROMA (RM)"/>
    <s v="Data Base  Administrator"/>
    <s v="System Administrator"/>
    <m/>
  </r>
  <r>
    <s v="Supporto Tecnico MF"/>
    <s v="PIRON"/>
    <s v="GIOVANNI"/>
    <s v="U301252"/>
    <s v="giovanni.piron@intesasanpaolo.com"/>
    <s v="BISCEGLIE (MI)"/>
    <s v="VIA BISCEGLIE, 120 - 20152 MILANO (MI)"/>
    <s v="System Administrator"/>
    <s v="System Administrator"/>
    <m/>
  </r>
  <r>
    <s v="Supporto Open Applic e Servizi"/>
    <s v="RAMUNDO"/>
    <s v="GIANLUCA"/>
    <s v="  "/>
    <s v="gianluca.ramundo@intesasanpaolo.com"/>
    <s v="MONCALIERI (TO)"/>
    <s v="CORSO SAVONA, 58 - 10024 MONCALIERI (TO)"/>
    <s v="System Administrator"/>
    <e v="#N/A"/>
    <m/>
  </r>
  <r>
    <s v="Supporto Tecnico MF"/>
    <s v="RECCHIONI"/>
    <s v="ROBERTO"/>
    <s v="U301260"/>
    <s v="roberto.recchioni@intesasanpaolo.com"/>
    <s v="ROMA"/>
    <s v="VIA VINCENZO LAMARO, 25 - 00173 ROMA (RM)"/>
    <s v="Data Base  Administrator"/>
    <s v="System Administrator"/>
    <m/>
  </r>
  <r>
    <s v="Supporto Tecnico MF"/>
    <s v="RIPAMONTI"/>
    <s v="FRANCO"/>
    <s v="U086410"/>
    <s v="franco.ripamonti@intesasanpaolo.com"/>
    <s v="BISCEGLIE (MI)"/>
    <s v="VIA BISCEGLIE, 120 - 20152 MILANO (MI)"/>
    <s v="System Administrator"/>
    <s v="System Administrator"/>
    <m/>
  </r>
  <r>
    <s v="Flussi Trasmissivi"/>
    <s v="ROGNONI"/>
    <s v="MARCO"/>
    <s v="U086322"/>
    <s v="marco.rognoni@intesasanpaolo.com"/>
    <s v="PARMA"/>
    <s v="VIA LANGHIRANO, 1 - PAL. C - 43100 PARMA (PR)"/>
    <s v="N/A"/>
    <s v="Operator"/>
    <m/>
  </r>
  <r>
    <s v="Supporto Open Applic e Servizi"/>
    <s v="ROMANO"/>
    <s v="GIOVANNI"/>
    <s v="  "/>
    <s v="giovanni.romano3@intesasanpaolo.com"/>
    <s v="MONCALIERI (TO)"/>
    <s v="CORSO SAVONA, 58 - 10024 MONCALIERI (TO)"/>
    <s v="Delivery manager"/>
    <e v="#N/A"/>
    <m/>
  </r>
  <r>
    <s v="Supporto Open Applic e Servizi"/>
    <s v="ROVERE"/>
    <s v="SIMONA"/>
    <s v="  "/>
    <s v="simona.rovere@intesasanpaolo.com"/>
    <s v="MONCALIERI (TO)"/>
    <s v="CORSO SAVONA, 58 - 10024 MONCALIERI (TO)"/>
    <s v="System Administrator"/>
    <e v="#N/A"/>
    <m/>
  </r>
  <r>
    <s v="Supporto Open Applic e Servizi"/>
    <s v="RUBBA"/>
    <s v="ALESSANDRO"/>
    <s v="U364040"/>
    <s v="alessandro.rubba@intesasanpaolo.com"/>
    <s v="MONCALIERI (TO)"/>
    <s v="CORSO SAVONA, 58 - 10024 MONCALIERI (TO)"/>
    <s v="System Administrator"/>
    <s v="System Administrator"/>
    <m/>
  </r>
  <r>
    <s v="Supporto Open Applic e Servizi"/>
    <s v="SALEEM"/>
    <s v="KHURRAM"/>
    <s v="  "/>
    <s v="khurram.saleem@intesasanpaolo.com"/>
    <s v="MONCALIERI (TO)"/>
    <s v="CORSO SAVONA, 58 - 10024 MONCALIERI (TO)"/>
    <s v="System Administrator"/>
    <e v="#N/A"/>
    <m/>
  </r>
  <r>
    <s v="Flussi Trasmissivi"/>
    <s v="SALVINI"/>
    <s v="STEFANO"/>
    <s v="U086335"/>
    <s v="stefano.salvini@intesasanpaolo.com"/>
    <s v="PARMA"/>
    <s v="VIA LANGHIRANO, 1 - PAL. C - 43100 PARMA (PR)"/>
    <s v="Communication specialist"/>
    <s v="System Administrator"/>
    <m/>
  </r>
  <r>
    <s v="Supporto Open Applic e Servizi"/>
    <s v="SAPONARO"/>
    <s v="ANTONIA"/>
    <s v="  "/>
    <s v="antonia.saponaro@intesasanpaolo.com"/>
    <s v="MONCALIERI (TO)"/>
    <s v="CORSO SAVONA, 58 - 10024 MONCALIERI (TO)"/>
    <s v="Data Communication Administrator"/>
    <e v="#N/A"/>
    <m/>
  </r>
  <r>
    <s v="Flussi Trasmissivi"/>
    <s v="SASSI"/>
    <s v="MASSIMO"/>
    <s v="U086427"/>
    <s v="massimo.sassi@intesasanpaolo.com"/>
    <s v="PARMA"/>
    <s v="VIA LANGHIRANO, 1 - PAL. C - 43100 PARMA (PR)"/>
    <s v="Communication specialist"/>
    <s v="System Administrator"/>
    <m/>
  </r>
  <r>
    <s v="Supporto Open Applic e Servizi"/>
    <s v="SCARPARO"/>
    <s v="MAURIZIO"/>
    <s v="  "/>
    <s v="maurizio.scarparo@intesasanpaolo.com"/>
    <s v="MONCALIERI (TO)"/>
    <s v="CORSO SAVONA, 58 - 10024 MONCALIERI (TO)"/>
    <s v="System Administrator"/>
    <e v="#N/A"/>
    <m/>
  </r>
  <r>
    <s v="Supporto Open DB e Sistemi"/>
    <s v="SENNO"/>
    <s v="MARCO"/>
    <s v="  "/>
    <s v="marco.senno@intesasanpaolo.com"/>
    <s v="MONCALIERI (TO)"/>
    <s v="CORSO SAVONA, 58 - 10024 MONCALIERI (TO)"/>
    <s v="System Administrator"/>
    <e v="#N/A"/>
    <m/>
  </r>
  <r>
    <s v="Physical Planning"/>
    <s v="SINA"/>
    <s v="GIULIANO"/>
    <s v="U025660"/>
    <s v="giuliano.sina@intesasanpaolo.com"/>
    <s v="MONCALIERI (TO)"/>
    <s v="CORSO SAVONA, 58 - 10024 MONCALIERI (TO)"/>
    <s v="Delivery manager"/>
    <s v="Operator"/>
    <s v="Delivery manager"/>
  </r>
  <r>
    <s v="Physical Planning"/>
    <s v="SOAVI"/>
    <s v="GIUSEPPE"/>
    <s v="U086400"/>
    <s v="giuseppe.soavi@intesasanpaolo.com"/>
    <s v="PARMA"/>
    <s v="VIA LANGHIRANO, 1 - PAL. C - 43100 PARMA (PR)"/>
    <s v="Operator"/>
    <s v="Operator"/>
    <m/>
  </r>
  <r>
    <s v="Supporto Open Applic e Servizi"/>
    <s v="SORGENTE"/>
    <s v="ANDREA"/>
    <s v="  "/>
    <s v="andrea.sorgente@intesasanpaolo.com"/>
    <s v="MONCALIERI (TO)"/>
    <s v="CORSO SAVONA, 58 - 10024 MONCALIERI (TO)"/>
    <s v="System Administrator"/>
    <e v="#N/A"/>
    <m/>
  </r>
  <r>
    <s v="Flussi Trasmissivi"/>
    <s v="SPOTTI"/>
    <s v="MICHELE"/>
    <s v="U086421"/>
    <s v="michele.spotti@intesasanpaolo.com"/>
    <s v="PARMA"/>
    <s v="VIA LANGHIRANO, 1 - PAL. C - 43100 PARMA (PR)"/>
    <s v="Network Automation"/>
    <s v="System Administrator"/>
    <m/>
  </r>
  <r>
    <s v="Supporto Open Applic e Servizi"/>
    <s v="STROSCIO"/>
    <s v="ELISA"/>
    <s v="  "/>
    <s v="elisa.stroscio@intesasanpaolo.com"/>
    <s v="MONCALIERI (TO)"/>
    <s v="CORSO SAVONA, 58 - 10024 MONCALIERI (TO)"/>
    <s v="System Administrator"/>
    <e v="#N/A"/>
    <m/>
  </r>
  <r>
    <s v="Supporto Tecnico MF"/>
    <s v="TAMIETTI"/>
    <s v="ALBERTO"/>
    <s v="U016376"/>
    <s v="alberto.tamietti@intesasanpaolo.com"/>
    <s v="MONCALIERI (TO)"/>
    <s v="CORSO SAVONA, 58 - 10024 MONCALIERI (TO)"/>
    <s v="Data Communication Administrator"/>
    <s v="System Administrator"/>
    <m/>
  </r>
  <r>
    <s v="Supporto Open Applic e Servizi"/>
    <s v="THIMJO"/>
    <s v="KRIST"/>
    <s v="  "/>
    <s v="krist.thimjo@intesasanpaolo.com"/>
    <s v="MONCALIERI (TO)"/>
    <s v="CORSO SAVONA, 58 - 10024 MONCALIERI (TO)"/>
    <s v="Data Communication Administrator"/>
    <e v="#N/A"/>
    <m/>
  </r>
  <r>
    <s v="Supporto Open Applic e Servizi"/>
    <s v="TRON"/>
    <s v="SIMONE COSTANTINO"/>
    <s v="U364135"/>
    <s v="simone.tron@intesasanpaolo.com"/>
    <s v="MONCALIERI (TO)"/>
    <s v="CORSO SAVONA, 58 - 10024 MONCALIERI (TO)"/>
    <s v="System Administrator"/>
    <s v="System Administrator"/>
    <m/>
  </r>
  <r>
    <s v="Physical Planning"/>
    <s v="VANNONI"/>
    <s v="FABIO LUCA"/>
    <s v="U086392"/>
    <s v="fabio.vannoni@intesasanpaolo.com"/>
    <s v="PARMA"/>
    <s v="VIA LANGHIRANO, 1 - PAL. C - 43100 PARMA (PR)"/>
    <s v="Delivery manager"/>
    <s v="Operator"/>
    <s v="Delivery manager"/>
  </r>
  <r>
    <s v="Supporto Tecnico MF"/>
    <s v="VINCENZI"/>
    <s v="FABRIZIO"/>
    <s v="U086395"/>
    <s v="fabrizio.vincenzi@intesasanpaolo.com"/>
    <s v="BISCEGLIE (MI)"/>
    <s v="VIA BISCEGLIE, 120 - 20152 MILANO (MI)"/>
    <s v="System Administrator"/>
    <s v="System Administrator"/>
    <m/>
  </r>
  <r>
    <s v="Flussi Trasmissivi"/>
    <s v="VISIOLI"/>
    <s v="MONICA"/>
    <s v="U086396"/>
    <s v="monica.visioli@intesasanpaolo.com"/>
    <s v="PARMA"/>
    <s v="VIA LANGHIRANO, 1 - PAL. C - 43100 PARMA (PR)"/>
    <s v="Network Automation"/>
    <s v="System Administrator"/>
    <m/>
  </r>
  <r>
    <s v="Supporto Open DB e Sistemi"/>
    <s v="ZELFERINO"/>
    <s v="ALESSANDRO"/>
    <s v="U369820"/>
    <s v="alessandro.zelferino@intesasanpaolo.com"/>
    <s v="MONCALIERI (TO)"/>
    <s v="CORSO SAVONA, 58 - 10024 MONCALIERI (TO)"/>
    <s v="Data Base  Administrator"/>
    <s v="no def"/>
    <m/>
  </r>
  <r>
    <m/>
    <s v="SEVESO"/>
    <s v="GIANLUIGI"/>
    <s v="  "/>
    <s v="gianluigi.seveso@intesasanpaolo.com"/>
    <s v="BISCEGLIE (MI)"/>
    <s v="VIA BISCEGLIE, 120 - 20152 MILANO (MI)"/>
    <s v="  "/>
    <e v="#N/A"/>
    <m/>
  </r>
  <r>
    <s v="Sist Base e Sol. Specialistiche"/>
    <s v="AMORETTI"/>
    <s v="CLAUDIO"/>
    <s v="U083779"/>
    <s v="claudio.amoretti@intesasanpaolo.com"/>
    <s v="PARMA"/>
    <s v="VIA LANGHIRANO, 1 - PAL. C - 43100 PARMA (PR)"/>
    <s v="IT Coordinator"/>
    <s v="IT Coordinator"/>
    <m/>
  </r>
  <r>
    <s v="Supporto Specialistico e SWD"/>
    <s v="CRISPINO"/>
    <s v="FRANCESCA"/>
    <s v="U075427"/>
    <s v="francesca.crispino@intesasanpaolo.com"/>
    <s v="NAPOLI"/>
    <s v="VIA G. MARCONI, 15 - 80125 NAPOLI (NA)"/>
    <s v="IT Coordinator"/>
    <s v="IT Coordinator"/>
    <m/>
  </r>
  <r>
    <s v="Sistemi di Automazione"/>
    <s v="IZZO"/>
    <s v="ANTONIO"/>
    <s v="U035850"/>
    <s v="antonio.izzo@intesasanpaolo.com"/>
    <s v="BOLOGNA"/>
    <s v="PIAZZA SAN DOMENICO - 40124 BOLOGNA (BO)"/>
    <s v="IT Coordinator"/>
    <s v="IT Coordinator"/>
    <m/>
  </r>
  <r>
    <s v="Presidi Territoriali"/>
    <s v="LEONI"/>
    <s v="STEFANO"/>
    <s v="U083777"/>
    <s v="stefano.leoni@intesasanpaolo.com"/>
    <s v="PARMA"/>
    <s v="VIA LANGHIRANO, 1 - PAL. C - 43100 PARMA (PR)"/>
    <s v="IT Coordinator"/>
    <s v="IT Coordinator"/>
    <m/>
  </r>
  <r>
    <s v="Servizi Infrastrutturali AP e DB MS"/>
    <s v="LIONETTI"/>
    <s v="ANNALISA"/>
    <s v="U026366"/>
    <s v="annalisa.lionetti@intesasanpaolo.com"/>
    <s v="MONCALIERI (TO)"/>
    <s v="CORSO SAVONA, 58 - 10024 MONCALIERI (TO)"/>
    <s v="IT Coordinator"/>
    <s v="Project Manager"/>
    <m/>
  </r>
  <r>
    <s v="CC Infr Microsoft"/>
    <s v="LODDO"/>
    <s v="MARCO"/>
    <s v="U364093"/>
    <s v="marco.loddo@intesasanpaolo.com"/>
    <s v="MONCALIERI (TO)"/>
    <s v="CORSO SAVONA, 58 - 10024 MONCALIERI (TO)"/>
    <s v="IT Coordinator"/>
    <s v="System Administrator"/>
    <m/>
  </r>
  <r>
    <s v="Gestione progetti e manutenzione"/>
    <s v="VECCHIERELLI"/>
    <s v="ROBERTO"/>
    <s v="U085895"/>
    <s v="roberto.vecchierelli@intesasanpaolo.com"/>
    <s v="BISCEGLIE (MI)"/>
    <s v="VIA BISCEGLIE, 120 - 20152 MILANO (MI)"/>
    <s v="IT Coordinator"/>
    <s v="IT Coordinator"/>
    <m/>
  </r>
  <r>
    <s v="GST IMAC e Beni ICT"/>
    <s v="ZATTI"/>
    <s v="ELIANA"/>
    <s v="U085925"/>
    <s v="eliana.zatti@intesasanpaolo.com"/>
    <s v="PARMA"/>
    <s v="VIA LANGHIRANO, 1 - PAL. C - 43100 PARMA (PR)"/>
    <s v="IT Coordinator"/>
    <s v="Operator"/>
    <m/>
  </r>
  <r>
    <s v="Supporto Specialistico e SWD"/>
    <s v="ABATE"/>
    <s v="FRANCESCO"/>
    <s v="U077427"/>
    <s v="francesco.abate@intesasanpaolo.com"/>
    <s v="NAPOLI"/>
    <s v="VIA G. MARCONI, 15 - 80125 NAPOLI (NA)"/>
    <s v="System Administrator"/>
    <s v="System Administrator"/>
    <m/>
  </r>
  <r>
    <s v="Gestione progetti e manutenzione"/>
    <s v="ALESSANDRINO"/>
    <s v="GIUSEPPE LUCA"/>
    <s v="U086188"/>
    <s v="giuseppe.alessandrino@intesasanpaolo.com"/>
    <s v="BISCEGLIE (MI)"/>
    <s v="VIA BISCEGLIE, 120 - 20152 MILANO (MI)"/>
    <s v="Project Manager "/>
    <s v="Project Manager"/>
    <m/>
  </r>
  <r>
    <s v="Supporto Specialistico e SWD"/>
    <s v="ALOI"/>
    <s v="CLAUDIA"/>
    <s v="U077565"/>
    <s v="claudia.aloi@intesasanpaolo.com"/>
    <s v="NAPOLI"/>
    <s v="VIA G. MARCONI, 15 - 80125 NAPOLI (NA)"/>
    <s v="System Administrator"/>
    <s v="System Administrator"/>
    <m/>
  </r>
  <r>
    <s v="CC Infr Microsoft"/>
    <s v="AMBROGIO"/>
    <s v="MICHELE"/>
    <s v="  "/>
    <s v="michele.ambrogio@intesasanpaolo.com"/>
    <s v="MONCALIERI (TO)"/>
    <s v="CORSO SAVONA, 58 - 10024 MONCALIERI (TO)"/>
    <s v="System Administrator"/>
    <e v="#N/A"/>
    <e v="#N/A"/>
  </r>
  <r>
    <s v="Presidi Territoriali"/>
    <s v="AMETRANO"/>
    <s v="ALESSANDRO"/>
    <s v="  "/>
    <s v="alessandro.ametrano@intesasanpaolo.com"/>
    <s v="VERBANIA"/>
    <s v="PIAZZA ALDO MORO, 8 - 28921 VERBANIA (VB)"/>
    <s v="IT Operator"/>
    <e v="#N/A"/>
    <m/>
  </r>
  <r>
    <s v="Sist Base e Sol. Specialistiche"/>
    <s v="ANELLI"/>
    <s v="GIOVANNI"/>
    <s v="U086342"/>
    <s v="giovanni.anelli@intesasanpaolo.com"/>
    <s v="PARMA"/>
    <s v="VIA LANGHIRANO, 1 - PAL. C - 43100 PARMA (PR)"/>
    <s v="System Administrator"/>
    <s v="System Administrator"/>
    <m/>
  </r>
  <r>
    <s v="Sist Base e Sol. Specialistiche"/>
    <s v="AZZALI"/>
    <s v="PAOLA"/>
    <s v="U093156"/>
    <s v="paola.azzali@intesasanpaolo.com"/>
    <s v="PARMA"/>
    <s v="VIA LANGHIRANO, 1 - PAL. C - 43100 PARMA (PR)"/>
    <s v="System Administrator"/>
    <s v="System Administrator"/>
    <m/>
  </r>
  <r>
    <s v="CC Infr Microsoft"/>
    <s v="AZZINI"/>
    <s v="GIAMBATTISTA"/>
    <s v="U032953"/>
    <s v="giambattista.azzini@intesasanpaolo.com"/>
    <s v="COMO"/>
    <s v="VIA GARIBALDI, 133/135 - 22073 FINO MORNASCO (CO)"/>
    <s v="System Administrator"/>
    <s v="System Administrator"/>
    <m/>
  </r>
  <r>
    <s v="Sist Base e Sol. Specialistiche"/>
    <s v="BARRI"/>
    <s v="RITO"/>
    <s v="U086316"/>
    <s v="rito.barri@intesasanpaolo.com"/>
    <s v="BISCEGLIE (MI)"/>
    <s v="VIA BISCEGLIE, 120 - 20152 MILANO (MI)"/>
    <s v="System Administrator"/>
    <s v="System Administrator"/>
    <m/>
  </r>
  <r>
    <s v="Gestione progetti e manutenzione"/>
    <s v="BASTIANELLO"/>
    <s v="SIMONA"/>
    <s v="U085946"/>
    <s v="simona.bastianello@intesasanpaolo.com"/>
    <s v="BISCEGLIE (MI)"/>
    <s v="VIA BISCEGLIE, 120 - 20152 MILANO (MI)"/>
    <s v="Project Manager "/>
    <s v="Project Manager"/>
    <m/>
  </r>
  <r>
    <s v="Presidi Territoriali"/>
    <s v="BATTIATO"/>
    <s v="ROBERTO"/>
    <s v="U010000"/>
    <s v="roberto.battiato@intesasanpaolo.com"/>
    <s v="MONCALIERI (TO)"/>
    <s v="CORSO SAVONA, 58 - 10024 MONCALIERI (TO)"/>
    <s v="IT Operator"/>
    <s v="Operator"/>
    <m/>
  </r>
  <r>
    <s v="Sistemi di Automazione"/>
    <s v="BELVISI"/>
    <s v="GIAN LUCA"/>
    <s v="U035790"/>
    <s v="gianluca.belvisi@intesasanpaolo.com"/>
    <s v="BOLOGNA"/>
    <s v="PIAZZA SAN DOMENICO - 40124 BOLOGNA (BO)"/>
    <s v="System Administrator"/>
    <s v="System Administrator"/>
    <m/>
  </r>
  <r>
    <s v="Presidi Territoriali"/>
    <s v="BENSI"/>
    <s v="PIER LUIGI"/>
    <s v="U010041"/>
    <s v="pierluigi.bensi@intesasanpaolo.com"/>
    <s v="SAN CARLO (MI)"/>
    <s v="PIAZZA SAN CARLO, 156 - 10121 TORINO (TO)"/>
    <s v="IT Operator"/>
    <s v="Operator"/>
    <m/>
  </r>
  <r>
    <s v="GST IMAC e Beni ICT"/>
    <s v="BERNUZZI"/>
    <s v="BEATRICE"/>
    <s v="U085894"/>
    <s v="beatrice.bernuzzi@intesasanpaolo.com"/>
    <s v="PARMA"/>
    <s v="VIA LANGHIRANO, 1 - PAL. C - 43100 PARMA (PR)"/>
    <s v="IT Operator"/>
    <s v="Operator"/>
    <m/>
  </r>
  <r>
    <s v="Sist Base e Sol. Specialistiche"/>
    <s v="BERTE'"/>
    <s v="SANTI"/>
    <s v="  "/>
    <s v="santi.berte@intesasanpaolo.com"/>
    <s v="PARMA"/>
    <s v="VIA LANGHIRANO, 1 - PAL. C - 43100 PARMA (PR)"/>
    <s v="IT Operator"/>
    <e v="#N/A"/>
    <s v="System Administrator"/>
  </r>
  <r>
    <s v="Presidi Territoriali"/>
    <s v="BEVILACQUA"/>
    <s v="CORRADO"/>
    <s v="  "/>
    <s v="corrado.bevilacqua@intesasanpaolo.com"/>
    <s v="FABRIANO"/>
    <s v="VIA DON GIUSEPPE RIGANELLI, 36 - 60044 FABRIANO (AN)"/>
    <s v="IT Operator"/>
    <e v="#N/A"/>
    <m/>
  </r>
  <r>
    <s v="Presidi Territoriali"/>
    <s v="BIANCHI"/>
    <s v="MARCO"/>
    <s v="U013191"/>
    <s v="marco.bianchi1@intesasanpaolo.com"/>
    <s v="C.SO INGHILTERRA (TO)"/>
    <s v="CORSO INGHILTERRA, 3 - 10138 TORINO (TO)"/>
    <s v="IT Operator"/>
    <s v="System Administrator"/>
    <e v="#N/A"/>
  </r>
  <r>
    <s v="Gestione progetti e manutenzione"/>
    <s v="BIROLINI"/>
    <s v="AURELIO"/>
    <s v="U043004"/>
    <s v="aurelio.birolini@intesasanpaolo.com"/>
    <s v="BERGAMO"/>
    <s v="VIA CRISPI, 1 - 24122 BERGAMO (BG)"/>
    <s v="Project Manager "/>
    <s v="Project Manager"/>
    <e v="#N/A"/>
  </r>
  <r>
    <s v="Presidi Territoriali"/>
    <s v="BIZZARRI"/>
    <s v="IVANO"/>
    <s v="U014515"/>
    <s v="ivano.bizzarri@intesasanpaolo.com"/>
    <s v="ROMA"/>
    <s v="VIA VINCENZO LAMARO, 25 - 00173 ROMA (RM)"/>
    <s v="IT Operator"/>
    <s v="Operator"/>
    <m/>
  </r>
  <r>
    <s v="Sist Base e Sol. Specialistiche"/>
    <s v="BONADEO"/>
    <s v="GIOVANNI"/>
    <s v="U086317"/>
    <s v="giovanni.bonadeo@intesasanpaolo.com"/>
    <s v="BISCEGLIE (MI)"/>
    <s v="VIA BISCEGLIE, 120 - 20152 MILANO (MI)"/>
    <s v="System Administrator"/>
    <s v="System Administrator"/>
    <m/>
  </r>
  <r>
    <s v="GST IMAC e Beni ICT"/>
    <s v="BONATI"/>
    <s v="FABRIZIO"/>
    <s v="U086318"/>
    <s v="fabrizio.bonati@intesasanpaolo.com"/>
    <s v="PARMA"/>
    <s v="VIA LANGHIRANO, 1 - PAL. C - 43100 PARMA (PR)"/>
    <s v="IT Operator"/>
    <s v="Operator"/>
    <e v="#N/A"/>
  </r>
  <r>
    <s v="Gestione progetti e manutenzione"/>
    <s v="BONATTI"/>
    <s v="DAVIDE"/>
    <s v="U086150"/>
    <s v="davide.bonatti@intesasanpaolo.com"/>
    <s v="BISCEGLIE (MI)"/>
    <s v="VIA BISCEGLIE, 120 - 20152 MILANO (MI)"/>
    <s v="Project Manager "/>
    <s v="Project Manager"/>
    <m/>
  </r>
  <r>
    <s v="Gestione progetti e manutenzione"/>
    <s v="BONSIGNORE"/>
    <s v="VERONICA"/>
    <s v="U085965"/>
    <s v="veronica.bonsignore@intesasanpaolo.com"/>
    <s v="BISCEGLIE (MI)"/>
    <s v="VIA BISCEGLIE, 120 - 20152 MILANO (MI)"/>
    <s v="IT Operator"/>
    <s v="Operator"/>
    <m/>
  </r>
  <r>
    <s v="Presidi Territoriali"/>
    <s v="BORELLO"/>
    <s v="BRUNO"/>
    <s v="U012674"/>
    <s v="bruno.borello@intesasanpaolo.com"/>
    <s v="MONCALIERI (TO)"/>
    <s v="CORSO SAVONA, 58 - 10024 MONCALIERI (TO)"/>
    <s v="IT Operator"/>
    <s v="Operator"/>
    <e v="#N/A"/>
  </r>
  <r>
    <s v="Sist Base e Sol. Specialistiche"/>
    <s v="BOSETTI"/>
    <s v="ADRIANO ANGELO"/>
    <s v="U086164"/>
    <s v="adriano.bosetti@intesasanpaolo.com"/>
    <s v="BISCEGLIE (MI)"/>
    <s v="VIA BISCEGLIE, 120 - 20152 MILANO (MI)"/>
    <s v="System Administrator"/>
    <s v="System Administrator"/>
    <e v="#N/A"/>
  </r>
  <r>
    <s v="Sist Base e Sol. Specialistiche"/>
    <s v="BUZZI"/>
    <s v="ROBERTO"/>
    <s v="U086334"/>
    <s v="roberto.buzzi@intesasanpaolo.com"/>
    <s v="PARMA"/>
    <s v="VIA LANGHIRANO, 1 - PAL. C - 43100 PARMA (PR)"/>
    <s v="System Administrator"/>
    <s v="System Administrator"/>
    <m/>
  </r>
  <r>
    <s v="Sist Base e Sol. Specialistiche"/>
    <s v="CAGLIO"/>
    <s v="FABIO"/>
    <s v="U086180"/>
    <s v="fabio.caglio@intesasanpaolo.com"/>
    <s v="BISCEGLIE (MI)"/>
    <s v="VIA BISCEGLIE, 120 - 20152 MILANO (MI)"/>
    <s v="System Administrator"/>
    <s v="System Administrator"/>
    <m/>
  </r>
  <r>
    <s v="Presidi Territoriali"/>
    <s v="CALVARESE"/>
    <s v="MARCO"/>
    <s v="U036157"/>
    <s v="marco.calvarese@intesasanpaolo.com"/>
    <s v="TERAMO"/>
    <s v="VIA CRISTOFORO COLOMBO, 13 - 64100 TERAMO (TE)"/>
    <s v="IT Operator"/>
    <s v="Operator"/>
    <m/>
  </r>
  <r>
    <s v="Sist Base e Sol. Specialistiche"/>
    <s v="CARICATI"/>
    <s v="MARCO"/>
    <s v="U086323"/>
    <s v="marco.caricati@intesasanpaolo.com"/>
    <s v="PARMA"/>
    <s v="VIA LANGHIRANO, 1 - PAL. C - 43100 PARMA (PR)"/>
    <s v="System Administrator"/>
    <s v="System Administrator"/>
    <m/>
  </r>
  <r>
    <s v="Gestione progetti e manutenzione"/>
    <s v="CARINO"/>
    <s v="ALESSANDRO"/>
    <s v="U086161"/>
    <s v="alessandro.carino@intesasanpaolo.com"/>
    <s v="BISCEGLIE (MI)"/>
    <s v="VIA BISCEGLIE, 120 - 20152 MILANO (MI)"/>
    <s v="Project Manager "/>
    <s v="Project Manager"/>
    <m/>
  </r>
  <r>
    <s v="Presidi Territoriali"/>
    <s v="CAROSSO"/>
    <s v="RICCARDO"/>
    <s v="U016273"/>
    <s v="riccardo.carosso@intesasanpaolo.com"/>
    <s v="MONCALIERI (TO)"/>
    <s v="CORSO SAVONA, 58 - 10024 MONCALIERI (TO)"/>
    <s v="IT Operator"/>
    <s v="Operator"/>
    <m/>
  </r>
  <r>
    <s v="CC Infr Microsoft"/>
    <s v="CARRABS"/>
    <s v="MASSIMO"/>
    <s v="U034995"/>
    <s v="massimo.carrabs@intesasanpaolo.com"/>
    <s v="MONCALIERI (TO)"/>
    <s v="CORSO SAVONA, 58 - 10024 MONCALIERI (TO)"/>
    <s v="System Administrator"/>
    <s v="System Administrator"/>
    <m/>
  </r>
  <r>
    <s v="Gestione progetti e manutenzione"/>
    <s v="CASELLI"/>
    <s v="GIOVANNI"/>
    <s v="U086325"/>
    <s v="giovanni.caselli@intesasanpaolo.com"/>
    <s v="PARMA"/>
    <s v="VIA LANGHIRANO, 1 - PAL. C - 43100 PARMA (PR)"/>
    <s v="IT Operator"/>
    <s v="System Administrator"/>
    <m/>
  </r>
  <r>
    <s v="GST IMAC e Beni ICT"/>
    <s v="CASTELLI"/>
    <s v="GRAZIANO"/>
    <s v="U033009"/>
    <s v="graziano.castelli@intesasanpaolo.com"/>
    <s v="COMO"/>
    <s v="VIA GARIBALDI, 133/135 - 22073 FINO MORNASCO (CO)"/>
    <s v="IT Operator"/>
    <s v="Operator"/>
    <e v="#N/A"/>
  </r>
  <r>
    <s v="Sistemi di Automazione"/>
    <s v="CASTELLIN"/>
    <s v="GIONATA"/>
    <s v="U035015"/>
    <s v="gionata.castellin@intesasanpaolo.com"/>
    <s v="BOLOGNA"/>
    <s v="PIAZZA SAN DOMENICO - 40124 BOLOGNA (BO)"/>
    <s v="System Administrator"/>
    <s v="System Administrator"/>
    <m/>
  </r>
  <r>
    <s v="Servizi Infrastrutturali AP e DB MS"/>
    <s v="CASTIGLIONE"/>
    <s v="GIAN LUCA"/>
    <s v="U028162"/>
    <s v="gianluca.castiglione@intesasanpaolo.com"/>
    <s v="MONCALIERI (TO)"/>
    <s v="CORSO SAVONA, 58 - 10024 MONCALIERI (TO)"/>
    <s v="System Administrator"/>
    <s v="System Administrator"/>
    <m/>
  </r>
  <r>
    <s v="GST IMAC e Beni ICT"/>
    <s v="CATALANO"/>
    <s v="LORENZO"/>
    <s v="U086172"/>
    <s v="lorenzo.catalano@intesasanpaolo.com"/>
    <s v="PARMA"/>
    <s v="VIA LANGHIRANO, 1 - PAL. C - 43100 PARMA (PR)"/>
    <s v="IT Operator"/>
    <s v="System Administrator"/>
    <m/>
  </r>
  <r>
    <s v="Sist Base e Sol. Specialistiche"/>
    <s v="CATELLANI"/>
    <s v="STEFANO"/>
    <s v="U086326"/>
    <s v="stefano.catellani@intesasanpaolo.com"/>
    <s v="PARMA"/>
    <s v="VIA LANGHIRANO, 1 - PAL. C - 43100 PARMA (PR)"/>
    <s v="System Administrator"/>
    <s v="System Administrator"/>
    <m/>
  </r>
  <r>
    <s v="Presidi Territoriali"/>
    <s v="CATINO"/>
    <s v="DOMENICO"/>
    <s v="U019744"/>
    <s v="domenico.catino@intesasanpaolo.com"/>
    <s v="C.SO INGHILTERRA (TO)"/>
    <s v="CORSO INGHILTERRA, 3 - 10138 TORINO (TO)"/>
    <s v="IT Operator"/>
    <s v="Operator"/>
    <m/>
  </r>
  <r>
    <s v="Sist Base e Sol. Specialistiche"/>
    <s v="CAVALLI"/>
    <s v="FRANCESCO"/>
    <s v="U086175"/>
    <s v="francesco.cavalli@intesasanpaolo.com"/>
    <s v="PARMA"/>
    <s v="VIA LANGHIRANO, 1 - PAL. C - 43100 PARMA (PR)"/>
    <s v="System Administrator"/>
    <s v="System Administrator"/>
    <m/>
  </r>
  <r>
    <s v="Gestione progetti e manutenzione"/>
    <s v="CAVANUS"/>
    <s v="PAOLO"/>
    <s v="U085892"/>
    <s v="paolo.cavanus@intesasanpaolo.com"/>
    <s v="BISCEGLIE (MI)"/>
    <s v="VIA BISCEGLIE, 120 - 20152 MILANO (MI)"/>
    <s v="IT Operator"/>
    <s v="Operator"/>
    <s v="Project Manager"/>
  </r>
  <r>
    <s v="Servizi Infrastrutturali AP e DB MS"/>
    <s v="CERRATO"/>
    <s v="CHIARA"/>
    <s v="U023976"/>
    <s v="chiara.cerrato@intesasanpaolo.com"/>
    <s v="MONCALIERI (TO)"/>
    <s v="CORSO SAVONA, 58 - 10024 MONCALIERI (TO)"/>
    <s v="Project Manager "/>
    <s v="Project Manager"/>
    <s v="System Administrator"/>
  </r>
  <r>
    <s v="Sistemi di Automazione"/>
    <s v="CHELI"/>
    <s v="MAURO"/>
    <s v="U035779"/>
    <s v="mauro.cheli@intesasanpaolo.com"/>
    <s v="BOLOGNA"/>
    <s v="PIAZZA SAN DOMENICO - 40124 BOLOGNA (BO)"/>
    <s v="System Administrator"/>
    <s v="System Administrator"/>
    <m/>
  </r>
  <r>
    <s v="Sist Base e Sol. Specialistiche"/>
    <s v="CHOJWA"/>
    <s v="ANTONIO"/>
    <s v="U086328"/>
    <s v="antonio.chojwa@intesasanpaolo.com"/>
    <s v="PARMA"/>
    <s v="VIA LANGHIRANO, 1 - PAL. C - 43100 PARMA (PR)"/>
    <s v="System Administrator"/>
    <s v="System Administrator"/>
    <m/>
  </r>
  <r>
    <s v="Supporto Specialistico e SWD"/>
    <s v="CIFARIELLO"/>
    <s v="STEFANO"/>
    <s v="U075769"/>
    <s v="stefano.cifariello@intesasanpaolo.com"/>
    <s v="NAPOLI"/>
    <s v="VIA G. MARCONI, 15 - 80125 NAPOLI (NA)"/>
    <s v="System Administrator"/>
    <s v="System Administrator"/>
    <m/>
  </r>
  <r>
    <s v="CC Infr Microsoft"/>
    <s v="CINQUESANTI"/>
    <s v="FERRUCCIO"/>
    <s v="U033635"/>
    <s v="ferruccio.cinquesanti@intesasanpaolo.com"/>
    <s v="COMO"/>
    <s v="VIA GARIBALDI, 133/135 - 22073 FINO MORNASCO (CO)"/>
    <s v="System Administrator"/>
    <s v="System Administrator"/>
    <m/>
  </r>
  <r>
    <s v="Presidi Territoriali"/>
    <s v="CLEMENTI"/>
    <s v="MASSIMO"/>
    <s v="U051424"/>
    <s v="massimo.clementi@intesasanpaolo.com"/>
    <s v="ROMA"/>
    <s v="VIA VINCENZO LAMARO, 25 - 00173 ROMA (RM)"/>
    <s v="IT Operator"/>
    <s v="Operator"/>
    <m/>
  </r>
  <r>
    <s v="Gestione progetti e manutenzione"/>
    <s v="COLABONA"/>
    <s v="FABIO"/>
    <s v="U086330"/>
    <s v="fabio.colabona@intesasanpaolo.com"/>
    <s v="PARMA"/>
    <s v="VIA LANGHIRANO, 1 - PAL. C - 43100 PARMA (PR)"/>
    <s v="IT Operator"/>
    <s v="Operator"/>
    <m/>
  </r>
  <r>
    <s v="Supporto Specialistico e SWD"/>
    <s v="COLAIZZI"/>
    <s v="MARIELLA"/>
    <s v="U301182"/>
    <s v="mariella.colaizzi@intesasanpaolo.com"/>
    <s v="ROMA"/>
    <s v="VIA VINCENZO LAMARO, 25 - 00173 ROMA (RM)"/>
    <s v="System Administrator"/>
    <s v="System Administrator"/>
    <m/>
  </r>
  <r>
    <s v="Gestione progetti e manutenzione"/>
    <s v="COLOMBO"/>
    <s v="LUIGI"/>
    <s v="U086331"/>
    <s v="luigi.colombo@intesasanpaolo.com"/>
    <s v="BISCEGLIE (MI)"/>
    <s v="VIA BISCEGLIE, 120 - 20152 MILANO (MI)"/>
    <s v="Project Manager "/>
    <s v="Project Manager"/>
    <m/>
  </r>
  <r>
    <s v="Presidi Territoriali"/>
    <s v="COPPOLA"/>
    <s v="CLAUDIO"/>
    <s v="U077424"/>
    <s v="claudio.coppola@intesasanpaolo.com"/>
    <s v="NAPOLI"/>
    <s v="VIA TOLEDO, 177/178 - 80134 NAPOLI (NA)"/>
    <s v="IT Operator"/>
    <s v="Operator"/>
    <m/>
  </r>
  <r>
    <s v="Supporto Specialistico e SWD"/>
    <s v="COSCO"/>
    <s v="ALESSANDRO"/>
    <s v="U076143"/>
    <s v="alessandro.cosco@intesasanpaolo.com"/>
    <s v="NAPOLI"/>
    <s v="VIA G. MARCONI, 15 - 80125 NAPOLI (NA)"/>
    <s v="System Administrator"/>
    <s v="System Administrator"/>
    <m/>
  </r>
  <r>
    <s v="Presidi Territoriali"/>
    <s v="CRISETTI"/>
    <s v="GIUSEPPE"/>
    <s v="  "/>
    <s v="giuseppe.crisetti@intesasanpaolo.com"/>
    <s v="FOGGIA"/>
    <s v="VIA CHECCHIA RISPOLI, 297 - 71016 SAN SEVERO (FG)"/>
    <s v="IT Operator"/>
    <e v="#N/A"/>
    <m/>
  </r>
  <r>
    <s v="Servizi Infrastrutturali AP e DB MS"/>
    <s v="CUTOLO"/>
    <s v="FRANCESCO"/>
    <s v="U077428"/>
    <s v="francesco.cutolo@intesasanpaolo.com"/>
    <s v="NAPOLI"/>
    <s v="VIA G. MARCONI, 15 - 80125 NAPOLI (NA)"/>
    <s v="System Administrator"/>
    <s v="System Administrator"/>
    <m/>
  </r>
  <r>
    <s v="Gestione progetti e manutenzione"/>
    <s v="D'ALBA"/>
    <s v="CLAUDIO"/>
    <s v="U036168"/>
    <s v="claudio.dalba@intesasanpaolo.com"/>
    <s v="BISCEGLIE (MI)"/>
    <s v="VIA BISCEGLIE, 120 - 20152 MILANO (MI)"/>
    <s v="Project Manager "/>
    <s v="Project Manager"/>
    <m/>
  </r>
  <r>
    <s v="Presidi Territoriali"/>
    <s v="D'AMBROSIO"/>
    <s v="CARLO"/>
    <s v="U301189"/>
    <s v="carlo.dambrosio@intesasanpaolo.com"/>
    <s v="TERAMO"/>
    <s v="VIA CRISTOFORO COLOMBO, 13 - 64100 TERAMO (TE)"/>
    <s v="IT Operator"/>
    <s v="Operator"/>
    <m/>
  </r>
  <r>
    <s v="Sist Base e Sol. Specialistiche"/>
    <s v="DE BERNARDI"/>
    <s v="EMANUELA"/>
    <s v="U085931"/>
    <s v="emanuela.debernardi@intesasanpaolo.com"/>
    <s v="PARMA"/>
    <s v="VIA LANGHIRANO, 1 - PAL. C - 43100 PARMA (PR)"/>
    <s v="IT Operator"/>
    <s v="Operator"/>
    <m/>
  </r>
  <r>
    <s v="Supporto Specialistico e SWD"/>
    <s v="DE FRANCESCO"/>
    <s v="MASSIMO"/>
    <s v="  "/>
    <s v="massimo.defrancesco@intesasanpaolo.com"/>
    <s v="ROMA"/>
    <s v="VIA VINCENZO LAMARO, 25 - 00173 ROMA (RM)"/>
    <s v="IT Operator"/>
    <e v="#N/A"/>
    <m/>
  </r>
  <r>
    <s v="Supporto Specialistico e SWD"/>
    <s v="DE LINDEMANN"/>
    <s v="UGO"/>
    <s v="U301192"/>
    <s v="ugo.delindemann@intesasanpaolo.com"/>
    <s v="ROMA"/>
    <s v="VIA VINCENZO LAMARO, 25 - 00173 ROMA (RM)"/>
    <s v="System Administrator"/>
    <s v="System Administrator"/>
    <e v="#N/A"/>
  </r>
  <r>
    <s v="Sistemi di Automazione"/>
    <s v="DE MARIA"/>
    <s v="ALESSANDRA"/>
    <s v="  "/>
    <s v="alessandra.demaria@intesasanpaolo.com"/>
    <s v="BOLOGNA"/>
    <s v="PIAZZA SAN DOMENICO - 40124 BOLOGNA (BO)"/>
    <s v="IT Operator"/>
    <e v="#N/A"/>
    <s v="System Administrator"/>
  </r>
  <r>
    <s v="Gestione progetti e manutenzione"/>
    <s v="DE NARDO"/>
    <s v="PIER GIUSEPPE"/>
    <s v="U085932"/>
    <s v="piergiuseppe.denardo@intesasanpaolo.com"/>
    <s v="BISCEGLIE (MI)"/>
    <s v="VIA BISCEGLIE, 120 - 20152 MILANO (MI)"/>
    <s v="Project Manager "/>
    <s v="Project Manager"/>
    <m/>
  </r>
  <r>
    <s v="Presidi Territoriali"/>
    <s v="DE SANTIS"/>
    <s v="RAFFAELE"/>
    <s v="U076145"/>
    <s v="raffaele.desantis@intesasanpaolo.com"/>
    <s v="NAPOLI"/>
    <s v="VIA TOLEDO, 177/178 - 80134 NAPOLI (NA)"/>
    <s v="IT Operator"/>
    <s v="Operator"/>
    <m/>
  </r>
  <r>
    <s v="Gestione progetti e manutenzione"/>
    <s v="DEGREGORI"/>
    <s v="CLAUDIO"/>
    <s v="U083599"/>
    <s v="claudio.degregori@intesasanpaolo.com"/>
    <s v="BISCEGLIE (MI)"/>
    <s v="VIA BISCEGLIE, 120 - 20152 MILANO (MI)"/>
    <s v="IT Operator"/>
    <s v="Operator"/>
    <e v="#N/A"/>
  </r>
  <r>
    <s v="Supporto Specialistico e SWD"/>
    <s v="DI BENNARDO"/>
    <s v="BIAGIO"/>
    <s v="U075719"/>
    <s v="biagio.dibennardo@intesasanpaolo.com"/>
    <s v="NAPOLI"/>
    <s v="VIA G. MARCONI, 15 - 80125 NAPOLI (NA)"/>
    <s v="System Administrator"/>
    <s v="System Administrator"/>
    <m/>
  </r>
  <r>
    <s v="Supporto Specialistico e SWD"/>
    <s v="DI BONITO"/>
    <s v="GIAN FRANCO"/>
    <s v="U075226"/>
    <s v="gianfranco.dibonito@intesasanpaolo.com"/>
    <s v="NAPOLI"/>
    <s v="VIA G. MARCONI, 15 - 80125 NAPOLI (NA)"/>
    <s v="System Administrator"/>
    <s v="System Administrator"/>
    <m/>
  </r>
  <r>
    <s v="Supporto Specialistico e SWD"/>
    <s v="DI DOMENICO"/>
    <s v="MATTEO"/>
    <s v="U077570"/>
    <s v="matteo.didomenico@intesasanpaolo.com"/>
    <s v="NAPOLI"/>
    <s v="VIA G. MARCONI, 15 - 80125 NAPOLI (NA)"/>
    <s v="System Administrator"/>
    <s v="System Administrator"/>
    <m/>
  </r>
  <r>
    <s v="Supporto Specialistico e SWD"/>
    <s v="DI GUIDA"/>
    <s v="ATTILIO"/>
    <s v="U025558"/>
    <s v="attilio.diguida@intesasanpaolo.com"/>
    <s v="NAPOLI"/>
    <s v="VIA G. MARCONI, 15 - 80125 NAPOLI (NA)"/>
    <s v="System Administrator"/>
    <s v="System Administrator"/>
    <m/>
  </r>
  <r>
    <s v="Gestione progetti e manutenzione"/>
    <s v="DI STASO"/>
    <s v="LUCA"/>
    <s v="  "/>
    <s v="luca.distaso@intesasanpaolo.com"/>
    <s v="BISCEGLIE (MI)"/>
    <s v="VIA BISCEGLIE, 120 - 20152 MILANO (MI)"/>
    <s v="IT Operator"/>
    <e v="#N/A"/>
    <m/>
  </r>
  <r>
    <s v="Sistemi di Automazione"/>
    <s v="DIANIN"/>
    <s v="SILVIA"/>
    <s v="U035805"/>
    <s v="silvia.dianin@intesasanpaolo.com"/>
    <s v="BOLOGNA"/>
    <s v="PIAZZA SAN DOMENICO - 40124 BOLOGNA (BO)"/>
    <s v="Project Manager "/>
    <s v="Project Manager"/>
    <m/>
  </r>
  <r>
    <s v="Presidi Territoriali"/>
    <s v="DIMITRI"/>
    <s v="ANTONELLO"/>
    <s v="U010252"/>
    <s v="antonello.dimitri@intesasanpaolo.com"/>
    <s v="ROMA"/>
    <s v="VIA VINCENZO LAMARO, 25 - 00173 ROMA (RM)"/>
    <s v="IT Operator"/>
    <s v="Operator"/>
    <e v="#N/A"/>
  </r>
  <r>
    <s v="Supporto Specialistico e SWD"/>
    <s v="ESPOSITO"/>
    <s v="ENRICO"/>
    <s v="U077572"/>
    <s v="enrico.esposito@intesasanpaolo.com"/>
    <s v="NAPOLI"/>
    <s v="VIA G. MARCONI, 15 - 80125 NAPOLI (NA)"/>
    <s v="System Administrator"/>
    <s v="System Administrator"/>
    <m/>
  </r>
  <r>
    <s v="Presidi Territoriali"/>
    <s v="FERRONI"/>
    <s v="FEDERICO ATANASIO"/>
    <s v="  "/>
    <s v="federico.ferroni@intesasanpaolo.com"/>
    <s v="FABRIANO"/>
    <s v="VIA DON GIUSEPPE RIGANELLI, 36 - 60044 FABRIANO (AN)"/>
    <s v="IT Operator"/>
    <e v="#N/A"/>
    <m/>
  </r>
  <r>
    <s v="Sist Base e Sol. Specialistiche"/>
    <s v="FIORILLO"/>
    <s v="LUCA"/>
    <s v="U078507"/>
    <s v="luca.fiorillo@intesasanpaolo.com"/>
    <s v="ROMA"/>
    <s v="VIA VINCENZO LAMARO, 25 - 00173 ROMA (RM)"/>
    <s v="System Administrator"/>
    <s v="System Administrator"/>
    <m/>
  </r>
  <r>
    <s v="Servizi Infrastrutturali AP e DB MS"/>
    <s v="FLAUTO"/>
    <s v="SALVATORE"/>
    <s v="U077573"/>
    <s v="salvatore.flauto@intesasanpaolo.com"/>
    <s v="NAPOLI"/>
    <s v="VIA G. MARCONI, 15 - 80125 NAPOLI (NA)"/>
    <s v="Data Base  Administrator"/>
    <s v="Data Base Administrator"/>
    <m/>
  </r>
  <r>
    <s v="Presidi Territoriali"/>
    <s v="GABAGLIO"/>
    <s v="SANDRO"/>
    <s v="U033074"/>
    <s v="sandro.gabaglio@intesasanpaolo.com"/>
    <s v="COMO"/>
    <s v="VIA GARIBALDI, 133/135 - 22073 FINO MORNASCO (CO)"/>
    <s v="IT Operator"/>
    <s v="Operator"/>
    <m/>
  </r>
  <r>
    <s v="CC Infr Microsoft"/>
    <s v="GALTAROSSA"/>
    <s v="CRISTIANO"/>
    <s v="  "/>
    <s v="cristiano.galtarossa@intesasanpaolo.com"/>
    <s v="MONCALIERI (TO)"/>
    <s v="CORSO SAVONA, 58 - 10024 MONCALIERI (TO)"/>
    <s v="System Administrator"/>
    <e v="#N/A"/>
    <m/>
  </r>
  <r>
    <s v="Presidi Territoriali"/>
    <s v="GAMBAZZA"/>
    <s v="ENNIO"/>
    <s v="  "/>
    <s v="ennio.gambazza@intesasanpaolo.com"/>
    <s v="VERBANIA"/>
    <s v="PIAZZA ALDO MORO, 8 - 28921 VERBANIA (VB)"/>
    <s v="IT Operator"/>
    <e v="#N/A"/>
    <m/>
  </r>
  <r>
    <s v="Sistemi di Automazione"/>
    <s v="GARAGNANI"/>
    <s v="CLAUDIO"/>
    <s v="U035818"/>
    <s v="claudio.garagnani@intesasanpaolo.com"/>
    <s v="BOLOGNA"/>
    <s v="PIAZZA SAN DOMENICO - 40124 BOLOGNA (BO)"/>
    <s v="System Administrator"/>
    <s v="System Administrator"/>
    <e v="#N/A"/>
  </r>
  <r>
    <s v="Gestione progetti e manutenzione"/>
    <s v="GERUSSI"/>
    <s v="MARCO CESARE"/>
    <s v="U085938"/>
    <s v="marco.gerussi@intesasanpaolo.com"/>
    <s v="BISCEGLIE (MI)"/>
    <s v="VIA BISCEGLIE, 120 - 20152 MILANO (MI)"/>
    <s v="IT Operator"/>
    <s v="Operator"/>
    <e v="#N/A"/>
  </r>
  <r>
    <s v="Gestione progetti e manutenzione"/>
    <s v="GHERARDI"/>
    <s v="CLAUDIO MASSIMO"/>
    <s v="U085928"/>
    <s v="claudio.gherardi@intesasanpaolo.com"/>
    <s v="BISCEGLIE (MI)"/>
    <s v="VIA BISCEGLIE, 120 - 20152 MILANO (MI)"/>
    <s v="IT Operator"/>
    <s v="Operator"/>
    <e v="#N/A"/>
  </r>
  <r>
    <s v="GST IMAC e Beni ICT"/>
    <s v="GHIDINI"/>
    <s v="CARLO"/>
    <s v="U086359"/>
    <s v="carlo.ghidini@intesasanpaolo.com"/>
    <s v="PARMA"/>
    <s v="VIA LANGHIRANO, 1 - PAL. C - 43100 PARMA (PR)"/>
    <s v="IT Operator"/>
    <s v="Operator"/>
    <m/>
  </r>
  <r>
    <s v="Presidi Territoriali"/>
    <s v="GHITTI"/>
    <s v="EMILIO"/>
    <s v="U016812"/>
    <s v="emilio.ghitti@intesasanpaolo.com"/>
    <s v="CLERICI (MI)"/>
    <s v="VIA CLERICI, 4 - 20121 MILANO (MI)"/>
    <s v="IT Operator"/>
    <s v="Operator"/>
    <m/>
  </r>
  <r>
    <s v="Presidi Territoriali"/>
    <s v="GIACON"/>
    <s v="FEDERICO"/>
    <s v="U035389"/>
    <s v="federico.giacon@intesasanpaolo.com"/>
    <s v="SARMEOLA (PD)"/>
    <s v="VIA ADIGE, 6 - SARMEOLA - 35030 RUBANO (PD)"/>
    <s v="IT Operator"/>
    <s v="Operator"/>
    <e v="#N/A"/>
  </r>
  <r>
    <s v="Gestione progetti e manutenzione"/>
    <s v="GIANDOMENICO"/>
    <s v="GIULIO ANTONIO"/>
    <s v="U085940"/>
    <s v="giulio.giandomenico@intesasanpaolo.com"/>
    <s v="BISCEGLIE (MI)"/>
    <s v="VIA BISCEGLIE, 120 - 20152 MILANO (MI)"/>
    <s v="Project Manager "/>
    <s v="Project Manager"/>
    <m/>
  </r>
  <r>
    <s v="Gestione progetti e manutenzione"/>
    <s v="GIANNI"/>
    <s v="LUIGI"/>
    <s v="U085941"/>
    <s v="luigi.gianni@intesasanpaolo.com"/>
    <s v="PARMA"/>
    <s v="VIA LANGHIRANO, 1 - PAL. C - 43100 PARMA (PR)"/>
    <s v="IT Operator"/>
    <s v="Operator"/>
    <e v="#N/A"/>
  </r>
  <r>
    <s v="Gestione progetti e manutenzione"/>
    <s v="GIUFFRE'"/>
    <s v="ROBERTO"/>
    <s v="U083778"/>
    <s v="roberto.giuffre@intesasanpaolo.com"/>
    <s v="BISCEGLIE (MI)"/>
    <s v="VIA BISCEGLIE, 120 - 20152 MILANO (MI)"/>
    <s v="IT Operator"/>
    <s v="Operator"/>
    <m/>
  </r>
  <r>
    <s v="Supporto Specialistico e SWD"/>
    <s v="GIULIANI"/>
    <s v="MAURO"/>
    <s v="U078786"/>
    <s v="mauro.giuliani@intesasanpaolo.com"/>
    <s v="NAPOLI"/>
    <s v="VIA G. MARCONI, 15 - 80125 NAPOLI (NA)"/>
    <s v="System Administrator"/>
    <s v="System Administrator"/>
    <m/>
  </r>
  <r>
    <s v="Servizi Infrastrutturali AP e DB MS"/>
    <s v="GRECO"/>
    <s v="FABIO"/>
    <s v="U328880"/>
    <s v="fabio.greco1@intesasanpaolo.com"/>
    <s v="MONCALIERI (TO)"/>
    <s v="CORSO SAVONA, 58 - 10024 MONCALIERI (TO)"/>
    <s v="System Administrator"/>
    <s v="System Administrator"/>
    <m/>
  </r>
  <r>
    <s v="Presidi Territoriali"/>
    <s v="GRIGOLATO"/>
    <s v="MARIO"/>
    <s v="U301220"/>
    <s v="mario.grigolato@intesasanpaolo.com"/>
    <s v="C.SO INGHILTERRA (TO)"/>
    <s v="CORSO INGHILTERRA, 3 - 10138 TORINO (TO)"/>
    <s v="IT Operator"/>
    <s v="Operator"/>
    <m/>
  </r>
  <r>
    <s v="Sist Base e Sol. Specialistiche"/>
    <s v="INVERARDI"/>
    <s v="IACOPO"/>
    <s v="U085943"/>
    <s v="iacopo.inverardi@intesasanpaolo.com"/>
    <s v="PARMA"/>
    <s v="VIA LANGHIRANO, 1 - PAL. C - 43100 PARMA (PR)"/>
    <s v="System Administrator"/>
    <s v="System Administrator"/>
    <m/>
  </r>
  <r>
    <s v="Sist Base e Sol. Specialistiche"/>
    <s v="LANZARA"/>
    <s v="GIANCARLO"/>
    <s v="U085944"/>
    <s v="giancarlo.lanzara@intesasanpaolo.com"/>
    <s v="PARMA"/>
    <s v="VIA LANGHIRANO, 1 - PAL. C - 43100 PARMA (PR)"/>
    <s v="System Administrator"/>
    <s v="System Administrator"/>
    <m/>
  </r>
  <r>
    <s v="Presidi Territoriali"/>
    <s v="LAVAGETTO"/>
    <s v="VALTER"/>
    <s v="U013731"/>
    <s v="valter.lavagetto@intesasanpaolo.com"/>
    <s v="GENOVA"/>
    <s v="VIA FIESCHI, 4 - 16121 GENOVA (GE)"/>
    <s v="IT Operator"/>
    <s v="Operator"/>
    <e v="#N/A"/>
  </r>
  <r>
    <s v="Supporto Specialistico e SWD"/>
    <s v="LETTIERI"/>
    <s v="MARIO"/>
    <s v="U078509"/>
    <s v="mario.lettieri@intesasanpaolo.com"/>
    <s v="NAPOLI"/>
    <s v="VIA G. MARCONI, 15 - 80125 NAPOLI (NA)"/>
    <s v="System Administrator"/>
    <s v="System Administrator"/>
    <m/>
  </r>
  <r>
    <s v="Supporto Specialistico e SWD"/>
    <s v="LIARDO"/>
    <s v="ALFREDO"/>
    <s v="  "/>
    <s v="alfredo.liardo@intesasanpaolo.com"/>
    <s v="NAPOLI"/>
    <s v="VIA G. MARCONI, 15 - 80125 NAPOLI (NA)"/>
    <s v="System Administrator"/>
    <e v="#N/A"/>
    <m/>
  </r>
  <r>
    <s v="Supporto Specialistico e SWD"/>
    <s v="LOTITO"/>
    <s v="CARLO"/>
    <s v="U076598"/>
    <s v="carlo.lotito@intesasanpaolo.com"/>
    <s v="NAPOLI"/>
    <s v="VIA G. MARCONI, 15 - 80125 NAPOLI (NA)"/>
    <s v="System Administrator"/>
    <s v="System Administrator"/>
    <m/>
  </r>
  <r>
    <s v="Supporto Specialistico e SWD"/>
    <s v="LUCCI"/>
    <s v="LUCIANO"/>
    <s v="U301606"/>
    <s v="luciano.lucci@intesasanpaolo.com"/>
    <s v="ROMA"/>
    <s v="VIA VINCENZO LAMARO, 25 - 00173 ROMA (RM)"/>
    <s v="System Administrator"/>
    <s v="System Administrator"/>
    <m/>
  </r>
  <r>
    <s v="CC Infr Microsoft"/>
    <s v="LUCCO BORLERA"/>
    <s v="YURI"/>
    <s v="  "/>
    <s v="yuri.luccoborlera@intesasanpaolo.com"/>
    <s v="MONCALIERI (TO)"/>
    <s v="CORSO SAVONA, 58 - 10024 MONCALIERI (TO)"/>
    <s v="System Administrator"/>
    <e v="#N/A"/>
    <m/>
  </r>
  <r>
    <s v="Presidi Territoriali"/>
    <s v="MADRIGALI"/>
    <s v="FRANCO"/>
    <s v="U085939"/>
    <s v="franco.madrigali@intesasanpaolo.com"/>
    <s v="CLERICI (MI)"/>
    <s v="VIA CLERICI, 4 - 20121 MILANO (MI)"/>
    <s v="IT Operator"/>
    <s v="System Administrator"/>
    <m/>
  </r>
  <r>
    <s v="Supporto Specialistico e SWD"/>
    <s v="MAFFUCCI"/>
    <s v="MARCO"/>
    <s v="U301224"/>
    <s v="marco.maffucci@intesasanpaolo.com"/>
    <s v="ROMA"/>
    <s v="VIA VINCENZO LAMARO, 25 - 00173 ROMA (RM)"/>
    <s v="System Administrator"/>
    <s v="System Administrator"/>
    <m/>
  </r>
  <r>
    <s v="Presidi Territoriali"/>
    <s v="MAGLIONE"/>
    <s v="BIAGIO"/>
    <s v="U077877"/>
    <s v="biagio.maglione@intesasanpaolo.com"/>
    <s v="NAPOLI"/>
    <s v="VIA G. MARCONI, 15 - 80125 NAPOLI (NA)"/>
    <s v="IT Operator"/>
    <s v="Operator"/>
    <e v="#N/A"/>
  </r>
  <r>
    <s v="Servizi Infrastrutturali AP e DB MS"/>
    <s v="MALACRINO"/>
    <s v="ENRICO"/>
    <s v="  "/>
    <s v="enrico.malacrino@intesasanpaolo.com"/>
    <s v="MONCALIERI (TO)"/>
    <s v="CORSO SAVONA, 58 - 10024 MONCALIERI (TO)"/>
    <s v="System Administrator"/>
    <e v="#N/A"/>
    <m/>
  </r>
  <r>
    <s v="Gestione progetti e manutenzione"/>
    <s v="MANZONI"/>
    <s v="DAMIANO GUIDO"/>
    <s v="U044245"/>
    <s v="damiano.manzoni@intesasanpaolo.com"/>
    <s v="BERGAMO"/>
    <s v="VIA CRISPI, 1 - 24122 BERGAMO (BG)"/>
    <s v="IT Operator"/>
    <s v="Operator"/>
    <m/>
  </r>
  <r>
    <s v="GST IMAC e Beni ICT"/>
    <s v="MARCHESI"/>
    <s v="ARMANDO"/>
    <s v="U033857"/>
    <s v="armando.marchesi@intesasanpaolo.com"/>
    <s v="COMO"/>
    <s v="VIA GARIBALDI, 133/135 - 22073 FINO MORNASCO (CO)"/>
    <s v="IT Operator"/>
    <s v="Operator"/>
    <m/>
  </r>
  <r>
    <s v="GST IMAC e Beni ICT"/>
    <s v="MARCHESI"/>
    <s v="BARBARA"/>
    <s v="U086287"/>
    <s v="barbara.marchesi@intesasanpaolo.com"/>
    <s v="PARMA"/>
    <s v="VIA LANGHIRANO, 1 - PAL. C - 43100 PARMA (PR)"/>
    <s v="IT Operator"/>
    <s v="Operator"/>
    <m/>
  </r>
  <r>
    <s v="Presidi Territoriali"/>
    <s v="MARCHETTI"/>
    <s v="CRISTIANO"/>
    <s v="U085911"/>
    <s v="cristiano.marchetti@intesasanpaolo.com"/>
    <s v="CLERICI (MI)"/>
    <s v="VIA CLERICI, 4 - 20121 MILANO (MI)"/>
    <s v="IT Operator"/>
    <s v="System Administrator"/>
    <m/>
  </r>
  <r>
    <s v="Supporto Specialistico e SWD"/>
    <s v="MARGIO"/>
    <s v="ALFREDO"/>
    <s v="U077989"/>
    <s v="alfredo.margio@intesasanpaolo.com"/>
    <s v="NAPOLI"/>
    <s v="VIA G. MARCONI, 15 - 80125 NAPOLI (NA)"/>
    <s v="System Administrator"/>
    <s v="System Administrator"/>
    <m/>
  </r>
  <r>
    <s v="Supporto Specialistico e SWD"/>
    <s v="MARINO"/>
    <s v="ERNESTO"/>
    <s v="U073983"/>
    <s v="ernesto.marino@intesasanpaolo.com"/>
    <s v="NAPOLI"/>
    <s v="VIA G. MARCONI, 15 - 80125 NAPOLI (NA)"/>
    <s v="System Administrator"/>
    <s v="System Administrator"/>
    <m/>
  </r>
  <r>
    <s v="Presidi Territoriali"/>
    <s v="MARZADURI"/>
    <s v="ROBERTO"/>
    <s v="U035855"/>
    <s v="roberto.marzaduri@intesasanpaolo.com"/>
    <s v="BOLOGNA"/>
    <s v="PIAZZA SAN DOMENICO - 40124 BOLOGNA (BO)"/>
    <s v="IT Operator"/>
    <s v="Operator"/>
    <m/>
  </r>
  <r>
    <s v="Supporto Specialistico e SWD"/>
    <s v="MATTA"/>
    <s v="FABIO"/>
    <s v="U301231"/>
    <s v="fabio.matta1@intesasanpaolo.com"/>
    <s v="ROMA"/>
    <s v="VIA VINCENZO LAMARO, 25 - 00173 ROMA (RM)"/>
    <s v="System Administrator"/>
    <s v="System Administrator"/>
    <m/>
  </r>
  <r>
    <s v="Presidi Territoriali"/>
    <s v="MEDICI"/>
    <s v="MASSIMILIANO GIULIO"/>
    <s v="  "/>
    <s v="massimiliano.medici@intesasanpaolo.com"/>
    <s v="BARI"/>
    <s v="CSO V. EMANUELE II, 112 - 70122 BARI (BA)"/>
    <s v="IT Operator"/>
    <e v="#N/A"/>
    <m/>
  </r>
  <r>
    <s v="Sist Base e Sol. Specialistiche"/>
    <s v="MEO"/>
    <s v="MASSIMO"/>
    <s v="U085963"/>
    <s v="massimo.meo@intesasanpaolo.com"/>
    <s v="BISCEGLIE (MI)"/>
    <s v="VIA BISCEGLIE, 120 - 20152 MILANO (MI)"/>
    <s v="System Administrator"/>
    <s v="System Administrator"/>
    <m/>
  </r>
  <r>
    <s v="Supporto Specialistico e SWD"/>
    <s v="MILANO"/>
    <s v="ANTONIO"/>
    <s v="U078511"/>
    <s v="antonio.milano@intesasanpaolo.com"/>
    <s v="NAPOLI"/>
    <s v="VIA G. MARCONI, 15 - 80125 NAPOLI (NA)"/>
    <s v="System Administrator"/>
    <s v="System Administrator"/>
    <m/>
  </r>
  <r>
    <s v="GST IMAC e Beni ICT"/>
    <s v="MONTECROCI"/>
    <s v="MARTINA"/>
    <s v="  "/>
    <s v="martina.montecroci@intesasanpaolo.com"/>
    <s v="PARMA"/>
    <s v="VIA LANGHIRANO, 1 - PAL. C - 43100 PARMA (PR)"/>
    <s v="IT Operator"/>
    <e v="#N/A"/>
    <m/>
  </r>
  <r>
    <s v="Presidi Territoriali"/>
    <s v="MORESSA"/>
    <s v="ALESSANDRO"/>
    <s v="  "/>
    <s v="alessandro.moressa@intesasanpaolo.com"/>
    <s v="MONTEBELLUNA (TV)"/>
    <s v="VIA FELTRINA SUD, 250 - 31044 MONTEBELLUNA (TV)"/>
    <s v="IT Operator"/>
    <e v="#N/A"/>
    <m/>
  </r>
  <r>
    <s v="CC Infr Microsoft"/>
    <s v="MORO"/>
    <s v="DAVIDE"/>
    <s v="  "/>
    <s v="davide.moro@intesasanpaolo.com"/>
    <s v="MONCALIERI (TO)"/>
    <s v="CORSO SAVONA, 58 - 10024 MONCALIERI (TO)"/>
    <s v="System Administrator"/>
    <e v="#N/A"/>
    <m/>
  </r>
  <r>
    <s v="Supporto Specialistico e SWD"/>
    <s v="NAPOLITANO"/>
    <s v="VINCENZO"/>
    <s v="U078135"/>
    <s v="vincenzo.napolitano@intesasanpaolo.com"/>
    <s v="NAPOLI"/>
    <s v="VIA G. MARCONI, 15 - 80125 NAPOLI (NA)"/>
    <s v="System Administrator"/>
    <s v="System Administrator"/>
    <m/>
  </r>
  <r>
    <s v="GST IMAC e Beni ICT"/>
    <s v="NOCCIOLATI"/>
    <s v="GIORGIO"/>
    <s v="U085913"/>
    <s v="giorgio.nocciolati@intesasanpaolo.com"/>
    <s v="PARMA"/>
    <s v="VIA LANGHIRANO, 1 - PAL. C - 43100 PARMA (PR)"/>
    <s v="IT Operator"/>
    <s v="Operator"/>
    <e v="#N/A"/>
  </r>
  <r>
    <s v="Presidi Territoriali"/>
    <s v="OMEGNA"/>
    <s v="FRANCO"/>
    <s v="U044550"/>
    <s v="franco.omegna@intesasanpaolo.com"/>
    <s v="SAN CARLO (MI)"/>
    <s v="PIAZZA SAN CARLO, 156 - 10121 TORINO (TO)"/>
    <s v="IT Operator"/>
    <s v="Operator"/>
    <m/>
  </r>
  <r>
    <s v="Presidi Territoriali"/>
    <s v="ONGARO"/>
    <s v="ANTONIO"/>
    <s v="U035386"/>
    <s v="antonio.ongaro@intesasanpaolo.com"/>
    <s v="SARMEOLA (PD)"/>
    <s v="VIA ADIGE, 6 - SARMEOLA - 35030 RUBANO (PD)"/>
    <s v="IT Operator"/>
    <s v="Operator"/>
    <e v="#N/A"/>
  </r>
  <r>
    <s v="Sist Base e Sol. Specialistiche"/>
    <s v="ORLANDINI"/>
    <s v="IVO"/>
    <s v="U085915"/>
    <s v="ivo.orlandini@intesasanpaolo.com"/>
    <s v="PARMA"/>
    <s v="VIA LANGHIRANO, 1 - PAL. C - 43100 PARMA (PR)"/>
    <s v="System Administrator"/>
    <s v="System Administrator"/>
    <m/>
  </r>
  <r>
    <s v="Presidi Territoriali"/>
    <s v="PALAZZO"/>
    <s v="ORIETTA"/>
    <s v="U011821"/>
    <s v="orietta.palazzo@intesasanpaolo.com"/>
    <s v="GENOVA"/>
    <s v="VIA FIESCHI, 4 - 16121 GENOVA (GE)"/>
    <s v="IT Operator"/>
    <s v="Operator"/>
    <e v="#N/A"/>
  </r>
  <r>
    <s v="Sist Base e Sol. Specialistiche"/>
    <s v="PASQUALE"/>
    <s v="PAOLO"/>
    <s v="U083720"/>
    <s v="paolo.pasquale@intesasanpaolo.com"/>
    <s v="BISCEGLIE (MI)"/>
    <s v="VIA BISCEGLIE, 120 - 20152 MILANO (MI)"/>
    <s v="System Administrator"/>
    <s v="System Administrator"/>
    <m/>
  </r>
  <r>
    <s v="Presidi Territoriali"/>
    <s v="PASTORINO"/>
    <s v="LUCA"/>
    <s v="U026821"/>
    <s v="luca.pastorino@intesasanpaolo.com"/>
    <s v="BOLOGNA"/>
    <s v="PIAZZA SAN DOMENICO - 40124 BOLOGNA (BO)"/>
    <s v="IT Operator"/>
    <s v="Operator"/>
    <m/>
  </r>
  <r>
    <s v="Presidi Territoriali"/>
    <s v="PATRUNO"/>
    <s v="PIERPAOLO"/>
    <s v="  "/>
    <s v="pierpaolo.patruno@intesasanpaolo.com"/>
    <s v="LECCE"/>
    <s v="VIA VERDI, 2 - 73020 CAVALLINO (LE)"/>
    <s v="IT Operator"/>
    <e v="#N/A"/>
    <m/>
  </r>
  <r>
    <s v="Presidi Territoriali"/>
    <s v="PEGORIN"/>
    <s v="RENATO"/>
    <s v="  "/>
    <s v="renato.pegorin@intesasanpaolo.com"/>
    <s v="MONTEBELLUNA (TV)"/>
    <s v="VIA FELTRINA SUD, 250 - 31044 MONTEBELLUNA (TV)"/>
    <s v="IT Operator"/>
    <e v="#N/A"/>
    <m/>
  </r>
  <r>
    <s v="Supporto Specialistico e SWD"/>
    <s v="PELLEGRINO"/>
    <s v="SIMONE"/>
    <s v="U078355"/>
    <s v="simone.pellegrino@intesasanpaolo.com"/>
    <s v="NAPOLI"/>
    <s v="VIA G. MARCONI, 15 - 80125 NAPOLI (NA)"/>
    <s v="System Administrator"/>
    <s v="System Administrator"/>
    <m/>
  </r>
  <r>
    <s v="Presidi Territoriali"/>
    <s v="PEPI"/>
    <s v="ANDREA GIOVANNI"/>
    <s v="U332443"/>
    <s v="andrea.pepi@intesasanpaolo.com"/>
    <s v="CLERICI (MI)"/>
    <s v="VIA CLERICI, 4 - 20121 MILANO (MI)"/>
    <s v="IT Operator"/>
    <s v="Operator"/>
    <m/>
  </r>
  <r>
    <s v="Supporto Specialistico e SWD"/>
    <s v="PICARDI"/>
    <s v="ALFREDO"/>
    <s v="U076490"/>
    <s v="alfredo.picardi@intesasanpaolo.com"/>
    <s v="NAPOLI"/>
    <s v="VIA G. MARCONI, 15 - 80125 NAPOLI (NA)"/>
    <s v="System Administrator"/>
    <s v="System Administrator"/>
    <m/>
  </r>
  <r>
    <s v="Servizi Infrastrutturali AP e DB MS"/>
    <s v="PIEDEPALUMBO"/>
    <s v="CARLO"/>
    <s v="U078062"/>
    <s v="carlo.piedepalumbo@intesasanpaolo.com"/>
    <s v="NAPOLI"/>
    <s v="VIA G. MARCONI, 15 - 80125 NAPOLI (NA)"/>
    <s v="System Administrator"/>
    <s v="System Administrator"/>
    <m/>
  </r>
  <r>
    <s v="Gestione progetti e manutenzione"/>
    <s v="PINCELLI"/>
    <s v="CARLO"/>
    <s v="U085916"/>
    <s v="carlo.pincelli@intesasanpaolo.com"/>
    <s v="BISCEGLIE (MI)"/>
    <s v="VIA BISCEGLIE, 120 - 20152 MILANO (MI)"/>
    <s v="Project Manager "/>
    <s v="Project Manager"/>
    <e v="#N/A"/>
  </r>
  <r>
    <s v="GST IMAC e Beni ICT"/>
    <s v="PUCCI"/>
    <s v="ALESSANDRA"/>
    <s v="U085917"/>
    <s v="alessandra.pucci@intesasanpaolo.com"/>
    <s v="PARMA"/>
    <s v="VIA LANGHIRANO, 1 - PAL. C - 43100 PARMA (PR)"/>
    <s v="IT Operator"/>
    <s v="Operator"/>
    <m/>
  </r>
  <r>
    <s v="GST IMAC e Beni ICT"/>
    <s v="RABONI"/>
    <s v="MARCO"/>
    <s v="U085927"/>
    <s v="marco.raboni@intesasanpaolo.com"/>
    <s v="PARMA"/>
    <s v="VIA LANGHIRANO, 1 - PAL. C - 43100 PARMA (PR)"/>
    <s v="IT Operator"/>
    <s v="Operator"/>
    <m/>
  </r>
  <r>
    <s v="Gestione progetti e manutenzione"/>
    <s v="RAGUSA"/>
    <s v="MARCO"/>
    <s v="U085961"/>
    <s v="marco.ragusa@intesasanpaolo.com"/>
    <s v="BISCEGLIE (MI)"/>
    <s v="VIA BISCEGLIE, 120 - 20152 MILANO (MI)"/>
    <s v="Project Manager "/>
    <s v="Project Manager"/>
    <m/>
  </r>
  <r>
    <s v="Presidi Territoriali"/>
    <s v="RE"/>
    <s v="GIUSEPPE"/>
    <s v="  "/>
    <s v="giuseppe.re@intesasanpaolo.com"/>
    <s v="CLERICI (MI)"/>
    <s v="VIA CLERICI, 4 - 20121 MILANO (MI)"/>
    <s v="IT Operator"/>
    <e v="#N/A"/>
    <m/>
  </r>
  <r>
    <s v="Presidi Territoriali"/>
    <s v="RINALDI"/>
    <s v="MARCO"/>
    <s v="U309688"/>
    <s v="marco.rinaldi@intesasanpaolo.com"/>
    <s v="FIRENZE"/>
    <s v="VIA CARLO MAGNO, 7 - 50127 FIRENZE (FI)"/>
    <s v="IT Operator"/>
    <s v="Operator"/>
    <m/>
  </r>
  <r>
    <s v="Supporto Specialistico e SWD"/>
    <s v="RIPPA"/>
    <s v="FABRIZIO"/>
    <s v="U076108"/>
    <s v="fabrizio.rippa@intesasanpaolo.com"/>
    <s v="NAPOLI"/>
    <s v="VIA G. MARCONI, 15 - 80125 NAPOLI (NA)"/>
    <s v="System Administrator"/>
    <s v="System Administrator"/>
    <m/>
  </r>
  <r>
    <s v="CC Infr Microsoft"/>
    <s v="RIZZATI"/>
    <s v="MARTINA"/>
    <s v="  "/>
    <s v="martina.rizzati@intesasanpaolo.com"/>
    <s v="MONCALIERI (TO)"/>
    <s v="CORSO SAVONA, 58 - 10024 MONCALIERI (TO)"/>
    <s v="System Administrator"/>
    <e v="#N/A"/>
    <m/>
  </r>
  <r>
    <s v="Supporto Specialistico e SWD"/>
    <s v="RIZZUTO"/>
    <s v="MAURO"/>
    <s v="U078384"/>
    <s v="mauro.rizzuto@intesasanpaolo.com"/>
    <s v="NAPOLI"/>
    <s v="VIA G. MARCONI, 15 - 80125 NAPOLI (NA)"/>
    <s v="System Administrator"/>
    <s v="System Administrator"/>
    <m/>
  </r>
  <r>
    <s v="Presidi Territoriali"/>
    <s v="ROLLA"/>
    <s v="BRUNO"/>
    <s v="U014199"/>
    <s v="bruno.rolla@intesasanpaolo.com"/>
    <s v="SAN CARLO (MI)"/>
    <s v="PIAZZA SAN CARLO, 156 - 10121 TORINO (TO)"/>
    <s v="IT Operator"/>
    <s v="Operator"/>
    <m/>
  </r>
  <r>
    <s v="Gestione Operativa PR"/>
    <s v="ROSSETTI"/>
    <s v="MARCO"/>
    <s v="U076109"/>
    <s v="marco.rossetti1@intesasanpaolo.com"/>
    <s v="NAPOLI"/>
    <s v="VIA G. MARCONI, 15 - 80125 NAPOLI (NA)"/>
    <s v="System Administrator"/>
    <s v="System Administrator"/>
    <m/>
  </r>
  <r>
    <s v="Gestione progetti e manutenzione"/>
    <s v="SALVADORI"/>
    <s v="GIANLUCA"/>
    <s v="U085920"/>
    <s v="gianluca.salvadori@intesasanpaolo.com"/>
    <s v="BISCEGLIE (MI)"/>
    <s v="VIA BISCEGLIE, 120 - 20152 MILANO (MI)"/>
    <s v="Project Manager "/>
    <s v="Project Manager"/>
    <m/>
  </r>
  <r>
    <s v="Gestione progetti e manutenzione"/>
    <s v="SAMBRUNA"/>
    <s v="MARCO"/>
    <s v="  "/>
    <s v="marco.sambruna@intesasanpaolo.com"/>
    <s v="BISCEGLIE (MI)"/>
    <s v="VIA BISCEGLIE, 120 - 20152 MILANO (MI)"/>
    <s v="IT Operator"/>
    <e v="#N/A"/>
    <s v="Project Manager "/>
  </r>
  <r>
    <s v="Gestione progetti e manutenzione"/>
    <s v="SAMMITO"/>
    <s v="LUCA"/>
    <s v="  "/>
    <s v="luca.sammito@intesasanpaolo.com"/>
    <s v="BISCEGLIE (MI)"/>
    <s v="VIA BISCEGLIE, 120 - 20152 MILANO (MI)"/>
    <s v="IT Operator"/>
    <e v="#N/A"/>
    <m/>
  </r>
  <r>
    <s v="Supporto Specialistico e SWD"/>
    <s v="SCOGNAMIGLIO"/>
    <s v="GIUSEPPE"/>
    <s v="U075667"/>
    <s v="giuseppe.scognamiglio@intesasanpaolo.com"/>
    <s v="NAPOLI"/>
    <s v="VIA G. MARCONI, 15 - 80125 NAPOLI (NA)"/>
    <s v="System Administrator"/>
    <s v="System Administrator"/>
    <m/>
  </r>
  <r>
    <s v="Supporto Specialistico e SWD"/>
    <s v="SERINO"/>
    <s v="EMMANUELE"/>
    <s v="U076162"/>
    <s v="emmanuele.serino@intesasanpaolo.com"/>
    <s v="NAPOLI"/>
    <s v="VIA G. MARCONI, 15 - 80125 NAPOLI (NA)"/>
    <s v="System Administrator"/>
    <s v="System Administrator"/>
    <m/>
  </r>
  <r>
    <s v="CC Infr Microsoft"/>
    <s v="SERRA"/>
    <s v="MARCO"/>
    <s v="U018218"/>
    <s v="marco.serra1@intesasanpaolo.com"/>
    <s v="MONCALIERI (TO)"/>
    <s v="CORSO SAVONA, 58 - 10024 MONCALIERI (TO)"/>
    <s v="System Administrator"/>
    <s v="System Administrator"/>
    <m/>
  </r>
  <r>
    <s v="Supporto Specialistico e SWD"/>
    <s v="SIMONETTI"/>
    <s v="ANDREA"/>
    <s v="U301277"/>
    <s v="andrea.simonetti@intesasanpaolo.com"/>
    <s v="ROMA"/>
    <s v="VIA VINCENZO LAMARO, 25 - 00173 ROMA (RM)"/>
    <s v="System Administrator"/>
    <s v="System Administrator"/>
    <m/>
  </r>
  <r>
    <s v="Presidi Territoriali"/>
    <s v="SORATO"/>
    <s v="MASSIMILIANO"/>
    <s v="U036040"/>
    <s v="massimiliano.sorato@intesasanpaolo.com"/>
    <s v="SARMEOLA (PD)"/>
    <s v="VIA ADIGE, 6 - SARMEOLA - 35030 RUBANO (PD)"/>
    <s v="IT Operator"/>
    <s v="Operator"/>
    <m/>
  </r>
  <r>
    <s v="Gestione progetti e manutenzione"/>
    <s v="SPINA"/>
    <s v="MARTINA"/>
    <s v="  "/>
    <s v="martina.spina@intesasanpaolo.com"/>
    <s v="BISCEGLIE (MI)"/>
    <s v="VIA BISCEGLIE, 120 - 20152 MILANO (MI)"/>
    <s v="IT Operator"/>
    <e v="#N/A"/>
    <s v="Project Manager"/>
  </r>
  <r>
    <s v="Servizi Infrastrutturali AP e DB MS"/>
    <s v="STABILE"/>
    <s v="MASSIMO"/>
    <s v="U028143"/>
    <s v="massimo.stabile@intesasanpaolo.com"/>
    <s v="MONCALIERI (TO)"/>
    <s v="CORSO SAVONA, 58 - 10024 MONCALIERI (TO)"/>
    <s v="System Administrator"/>
    <s v="System Administrator"/>
    <m/>
  </r>
  <r>
    <s v="Presidi Territoriali"/>
    <s v="STUCCHI"/>
    <s v="LUIGI"/>
    <s v="U083600"/>
    <s v="luigi.stucchi@intesasanpaolo.com"/>
    <s v="CLERICI (MI)"/>
    <s v="VIA CLERICI, 4 - 20121 MILANO (MI)"/>
    <s v="IT Operator"/>
    <s v="Operator"/>
    <m/>
  </r>
  <r>
    <s v="Supporto Specialistico e SWD"/>
    <s v="TORRESI"/>
    <s v="SERGIO"/>
    <s v="U301282"/>
    <s v="sergio.torresi@intesasanpaolo.com"/>
    <s v="ROMA"/>
    <s v="VIA VINCENZO LAMARO, 25 - 00173 ROMA (RM)"/>
    <s v="System Administrator"/>
    <s v="System Administrator"/>
    <m/>
  </r>
  <r>
    <s v="Sistemi di Automazione"/>
    <s v="TOSI"/>
    <s v="CLAUDIO"/>
    <s v="U035823"/>
    <s v="claudio.tosi@intesasanpaolo.com"/>
    <s v="BOLOGNA"/>
    <s v="PIAZZA SAN DOMENICO - 40124 BOLOGNA (BO)"/>
    <s v="System Administrator"/>
    <s v="Project Manager"/>
    <e v="#N/A"/>
  </r>
  <r>
    <s v="Servizi Infrastrutturali AP e DB MS"/>
    <s v="TROMBOTTO"/>
    <s v="ANDREA"/>
    <s v="U024673"/>
    <s v="andrea.trombotto@intesasanpaolo.com"/>
    <s v="MONCALIERI (TO)"/>
    <s v="CORSO SAVONA, 58 - 10024 MONCALIERI (TO)"/>
    <s v="System Administrator"/>
    <s v="System Administrator"/>
    <m/>
  </r>
  <r>
    <s v="Gestione progetti e manutenzione"/>
    <s v="TROULLIER"/>
    <s v="SARA"/>
    <s v="U085855"/>
    <s v="sara.troullier@intesasanpaolo.com"/>
    <s v="BISCEGLIE (MI)"/>
    <s v="VIA BISCEGLIE, 120 - 20152 MILANO (MI)"/>
    <s v="IT Operator"/>
    <s v="Operator"/>
    <s v="Project Manager"/>
  </r>
  <r>
    <s v="Gestione progetti e manutenzione"/>
    <s v="TUCCI"/>
    <s v="MANUEL"/>
    <s v="  "/>
    <s v="manuel.tucci@intesasanpaolo.com"/>
    <s v="BISCEGLIE (MI)"/>
    <s v="VIA BISCEGLIE, 120 - 20152 MILANO (MI)"/>
    <s v="IT Operator"/>
    <e v="#N/A"/>
    <s v="Project Manager "/>
  </r>
  <r>
    <s v="Presidi Territoriali"/>
    <s v="TURI"/>
    <s v="DONATELLA"/>
    <s v="U035462"/>
    <s v="donatella.turi@intesasanpaolo.com"/>
    <s v="SARMEOLA (PD)"/>
    <s v="VIA ADIGE, 6 - SARMEOLA - 35030 RUBANO (PD)"/>
    <s v="IT Operator"/>
    <s v="Operator"/>
    <m/>
  </r>
  <r>
    <s v="Gestione progetti e manutenzione"/>
    <s v="VAI"/>
    <s v="CLAUDIA"/>
    <s v="U086139"/>
    <s v="claudia.vai@intesasanpaolo.com"/>
    <s v="BISCEGLIE (MI)"/>
    <s v="VIA BISCEGLIE, 120 - 20152 MILANO (MI)"/>
    <s v="Project Manager "/>
    <s v="Project Manager"/>
    <m/>
  </r>
  <r>
    <s v="Servizi Infrastrutturali AP e DB MS"/>
    <s v="VAIR"/>
    <s v="ENRICO"/>
    <s v="U029646"/>
    <s v="enrico.vair@intesasanpaolo.com"/>
    <s v="MONCALIERI (TO)"/>
    <s v="CORSO SAVONA, 58 - 10024 MONCALIERI (TO)"/>
    <s v="System Administrator"/>
    <s v="System Administrator"/>
    <m/>
  </r>
  <r>
    <s v="Gestione progetti e manutenzione"/>
    <s v="VALIA"/>
    <s v="ANTONIO"/>
    <s v="U301288"/>
    <s v="antonio.valia@intesasanpaolo.com"/>
    <s v="BISCEGLIE (MI)"/>
    <s v="VIA BISCEGLIE, 120 - 20152 MILANO (MI)"/>
    <s v="IT Operator"/>
    <s v="Operator"/>
    <e v="#N/A"/>
  </r>
  <r>
    <s v="Presidi Territoriali"/>
    <s v="VENTURIERO"/>
    <s v="VINCENZO"/>
    <s v="U073750"/>
    <s v="vincenzo.venturiero@intesasanpaolo.com"/>
    <s v="NAPOLI"/>
    <s v="VIA G. MARCONI, 15 - 80125 NAPOLI (NA)"/>
    <s v="IT Operator"/>
    <s v="Operator"/>
    <m/>
  </r>
  <r>
    <s v="GST IMAC e Beni ICT"/>
    <s v="VIANI"/>
    <s v="RAFFAELLA"/>
    <s v="U086341"/>
    <s v="raffaella.viani@intesasanpaolo.com"/>
    <s v="PARMA"/>
    <s v="VIA LANGHIRANO, 1 - PAL. C - 43100 PARMA (PR)"/>
    <s v="IT Operator"/>
    <s v="Operator"/>
    <m/>
  </r>
  <r>
    <s v="Gestione progetti e manutenzione"/>
    <s v="VILLANO"/>
    <s v="FABRIZIO"/>
    <s v="  "/>
    <s v="fabrizio.villano@intesasanpaolo.com"/>
    <s v="BISCEGLIE (MI)"/>
    <s v="VIA BISCEGLIE, 120 - 20152 MILANO (MI)"/>
    <s v="IT Operator"/>
    <e v="#N/A"/>
    <m/>
  </r>
  <r>
    <s v="Supporto Specialistico e SWD"/>
    <s v="VINCI"/>
    <s v="GIANPAOLO"/>
    <s v="U078114"/>
    <s v="gianpaolo.vinci@intesasanpaolo.com"/>
    <s v="NAPOLI"/>
    <s v="VIA G. MARCONI, 15 - 80125 NAPOLI (NA)"/>
    <s v="System Administrator"/>
    <s v="System Administrator"/>
    <m/>
  </r>
  <r>
    <s v="Gestione progetti e manutenzione"/>
    <s v="VIOLA"/>
    <s v="PAOLA"/>
    <s v="U301292"/>
    <s v="paola.viola1@intesasanpaolo.com"/>
    <s v="BISCEGLIE (MI)"/>
    <s v="VIA BISCEGLIE, 120 - 20152 MILANO (MI)"/>
    <s v="IT Operator"/>
    <s v="Operator"/>
    <e v="#N/A"/>
  </r>
  <r>
    <s v="Sistemi di Automazione"/>
    <s v="VITALE"/>
    <s v="GIUSEPPE"/>
    <s v="U035016"/>
    <s v="giuseppe.vitale1@intesasanpaolo.com"/>
    <s v="BOLOGNA"/>
    <s v="PIAZZA SAN DOMENICO - 40124 BOLOGNA (BO)"/>
    <s v="System Administrator"/>
    <s v="System Administrator"/>
    <m/>
  </r>
  <r>
    <s v="Presidi Territoriali"/>
    <s v="VITALINI"/>
    <s v="CLAUDIO"/>
    <s v="U301295"/>
    <s v="claudio.vitalini@intesasanpaolo.com"/>
    <s v="ROMA"/>
    <s v="VIA VINCENZO LAMARO, 25 - 00173 ROMA (RM)"/>
    <s v="IT Operator"/>
    <s v="Operator"/>
    <e v="#N/A"/>
  </r>
  <r>
    <s v="Sist Base e Sol. Specialistiche"/>
    <s v="ZAGNI"/>
    <s v="PAOLO"/>
    <s v="U085923"/>
    <s v="paolo.zagni@intesasanpaolo.com"/>
    <s v="PARMA"/>
    <s v="VIA LANGHIRANO, 1 - PAL. C - 43100 PARMA (PR)"/>
    <s v="System Administrator"/>
    <s v="System Administrator"/>
    <m/>
  </r>
  <r>
    <s v="Gestione progetti e manutenzione"/>
    <s v="ZUCCHI"/>
    <s v="DAVIDE"/>
    <s v="  "/>
    <s v="davide.zucchi@intesasanpaolo.com"/>
    <s v="BISCEGLIE (MI)"/>
    <s v="VIA BISCEGLIE, 120 - 20152 MILANO (MI)"/>
    <s v="IT Operator"/>
    <e v="#N/A"/>
    <m/>
  </r>
  <r>
    <m/>
    <s v="CARETTI"/>
    <s v="FABRIZIO"/>
    <s v="U093220"/>
    <s v="fabrizio.caretti1@intesasanpaolo.com"/>
    <s v="BISCEGLIE (MI)"/>
    <s v="VIA BISCEGLIE, 120 - 20152 MILANO (MI)"/>
    <s v="IT Coordinator"/>
    <s v="IT Coordinator"/>
    <m/>
  </r>
  <r>
    <s v="Prog. Telecomunicazioni"/>
    <s v="BARILLA'"/>
    <s v="ANTONIO"/>
    <s v="U018268"/>
    <s v="antonio.barilla@intesasanpaolo.com"/>
    <s v="MONCALIERI (TO)"/>
    <s v="CORSO SAVONA, 58 - 10024 MONCALIERI (TO)"/>
    <s v="IT Coordinator"/>
    <s v="IT Coordinator"/>
    <m/>
  </r>
  <r>
    <s v="Coord. Servizi Presidi TLC"/>
    <s v="COGNI"/>
    <s v="GIAN MARIA"/>
    <s v="U083602"/>
    <s v="gianmaria.cogni@intesasanpaolo.com"/>
    <s v="BISCEGLIE (MI)"/>
    <s v="VIA BISCEGLIE, 120 - 20152 MILANO (MI)"/>
    <s v="IT Coordinator"/>
    <s v="IT Coordinator"/>
    <m/>
  </r>
  <r>
    <s v="Supporto Telecomunicazioni"/>
    <s v="ROBERTO"/>
    <s v="GIORGIO"/>
    <s v="U026283"/>
    <s v="giorgio.roberto@intesasanpaolo.com"/>
    <s v="MONCALIERI (TO)"/>
    <s v="CORSO SAVONA, 58 - 10024 MONCALIERI (TO)"/>
    <s v="IT Coordinator"/>
    <s v="IT Coordinator"/>
    <m/>
  </r>
  <r>
    <s v="CC Contact Unit"/>
    <s v="SALA"/>
    <s v="DANILO PIETRO"/>
    <s v="U085956"/>
    <s v="danilo.sala@intesasanpaolo.com"/>
    <s v="BISCEGLIE (MI)"/>
    <s v="VIA BISCEGLIE, 120 - 20152 MILANO (MI)"/>
    <s v="IT Coordinator"/>
    <s v="IT Coordinator"/>
    <m/>
  </r>
  <r>
    <s v="Coord. Servizi Presidi TLC"/>
    <s v="AMADORI"/>
    <s v="ANDREA"/>
    <s v="U083842"/>
    <s v="andrea.amadori@intesasanpaolo.com"/>
    <s v="BISCEGLIE (MI)"/>
    <s v="VIA BISCEGLIE, 120 - 20152 MILANO (MI)"/>
    <s v="Network Administrator"/>
    <s v="Network Administrator"/>
    <m/>
  </r>
  <r>
    <s v="Supporto Telecomunicazioni"/>
    <s v="AMAYEH"/>
    <s v="SOMAYEH"/>
    <s v="  "/>
    <s v="somayeh.amayeh@intesasanpaolo.com"/>
    <s v="MONCALIERI (TO)"/>
    <s v="CORSO SAVONA, 58 - 10024 MONCALIERI (TO)"/>
    <s v="Network Administrator"/>
    <e v="#N/A"/>
    <m/>
  </r>
  <r>
    <s v="CC Contact Unit"/>
    <s v="BALDINA"/>
    <s v="PAOLO"/>
    <s v="U081511"/>
    <s v="paolo.baldina@intesasanpaolo.com"/>
    <s v="BISCEGLIE (MI)"/>
    <s v="VIA BISCEGLIE, 120 - 20152 MILANO (MI)"/>
    <s v="Project Manager "/>
    <s v="Network Administrator"/>
    <s v="Project Manager "/>
  </r>
  <r>
    <s v="CC Contact Unit"/>
    <s v="BARBIERI"/>
    <s v="ALESSANDRO"/>
    <s v="U028747"/>
    <s v="alessandro.barbieri2@intesasanpaolo.com"/>
    <s v="BOLOGNA"/>
    <s v="PIAZZA SAN DOMENICO - 40124 BOLOGNA (BO)"/>
    <s v="System Administrator"/>
    <s v="System Administrator"/>
    <m/>
  </r>
  <r>
    <s v="CC Contact Unit"/>
    <s v="BARLETTA"/>
    <s v="DOMENICO"/>
    <s v="  "/>
    <s v="domenico.barletta@intesasanpaolo.com"/>
    <s v="BISCEGLIE (MI)"/>
    <s v="VIA BISCEGLIE, 120 - 20152 MILANO (MI)"/>
    <s v="Infrastructure Architect"/>
    <e v="#N/A"/>
    <s v="Infrastructure Architect"/>
  </r>
  <r>
    <s v="Supporto Telecomunicazioni"/>
    <s v="BATTISTI"/>
    <s v="ELENA"/>
    <s v="  "/>
    <s v="elena.battisti@intesasanpaolo.com"/>
    <s v="MONCALIERI (TO)"/>
    <s v="CORSO SAVONA, 58 - 10024 MONCALIERI (TO)"/>
    <s v="Network Administrator"/>
    <e v="#N/A"/>
    <m/>
  </r>
  <r>
    <s v="Supporto Telecomunicazioni"/>
    <s v="BAYAT"/>
    <s v="AHMAD"/>
    <s v="  "/>
    <s v="ahmad.bayat@intesasanpaolo.com"/>
    <s v="MONCALIERI (TO)"/>
    <s v="CORSO SAVONA, 58 - 10024 MONCALIERI (TO)"/>
    <s v="Network Administrator"/>
    <e v="#N/A"/>
    <m/>
  </r>
  <r>
    <s v="Prog. Telecomunicazioni"/>
    <s v="BIROLI"/>
    <s v="MICHELE"/>
    <s v="U085967"/>
    <s v="michele.biroli@intesasanpaolo.com"/>
    <s v="BISCEGLIE (MI)"/>
    <s v="VIA BISCEGLIE, 120 - 20152 MILANO (MI)"/>
    <s v="Infrastructure Architect"/>
    <s v="Network Administrator"/>
    <s v="Infrastructure Architect"/>
  </r>
  <r>
    <s v="Coord. Servizi Presidi TLC"/>
    <s v="BORLA"/>
    <s v="STEFANO"/>
    <s v="U085976"/>
    <s v="stefano.borla@intesasanpaolo.com"/>
    <s v="BISCEGLIE (MI)"/>
    <s v="VIA BISCEGLIE, 120 - 20152 MILANO (MI)"/>
    <s v="Project Manager "/>
    <s v="Project Manager"/>
    <s v="Project Manager "/>
  </r>
  <r>
    <s v="Supporto Telecomunicazioni"/>
    <s v="CARRER"/>
    <s v="RENATO"/>
    <s v="U018266"/>
    <s v="renato.carrer@intesasanpaolo.com"/>
    <s v="MONCALIERI (TO)"/>
    <s v="CORSO SAVONA, 58 - 10024 MONCALIERI (TO)"/>
    <s v="Project Manager "/>
    <s v="Network Administrator"/>
    <s v="Project Manager "/>
  </r>
  <r>
    <s v="Coord. Servizi Presidi TLC"/>
    <s v="CASELLI"/>
    <s v="CLAUDIO"/>
    <s v="U083604"/>
    <s v="claudio.caselli@intesasanpaolo.com"/>
    <s v="BISCEGLIE (MI)"/>
    <s v="VIA BISCEGLIE, 120 - 20152 MILANO (MI)"/>
    <s v="Automation Specialist"/>
    <s v="Network Administrator"/>
    <s v="Automation Specialist"/>
  </r>
  <r>
    <m/>
    <s v="CASTOLDI"/>
    <s v="MARCO"/>
    <s v="U086153"/>
    <s v="marco.castoldi@intesasanpaolo.com"/>
    <s v="BISCEGLIE (MI)"/>
    <s v="VIA BISCEGLIE, 120 - 20152 MILANO (MI)"/>
    <s v="no def"/>
    <s v="no def"/>
    <s v="N/A"/>
  </r>
  <r>
    <s v="Coord. Servizi Presidi TLC"/>
    <s v="CATALANO"/>
    <s v="COSIMO"/>
    <s v="U086313"/>
    <s v="cosimo.catalano@intesasanpaolo.com"/>
    <s v="BISCEGLIE (MI)"/>
    <s v="VIA BISCEGLIE, 120 - 20152 MILANO (MI)"/>
    <s v="IT Process FM Specialist"/>
    <s v="IT Process FM Specialist"/>
    <s v="IT Process FM Specialist"/>
  </r>
  <r>
    <s v="CC Contact Unit"/>
    <s v="CELLINI"/>
    <s v="MASSIMO"/>
    <s v="U087608"/>
    <s v="massimo.cellini@intesasanpaolo.com"/>
    <s v="BISCEGLIE (MI)"/>
    <s v="VIA BISCEGLIE, 120 - 20152 MILANO (MI)"/>
    <s v="System Administrator"/>
    <s v="Network Administrator"/>
    <m/>
  </r>
  <r>
    <s v="CC Contact Unit"/>
    <s v="CHIAVETTIERI"/>
    <s v="ROBERTO"/>
    <s v="U040114"/>
    <s v="roberto.chiavettieri@intesasanpaolo.com"/>
    <s v="BOLOGNA"/>
    <s v="PIAZZA SAN DOMENICO - 40124 BOLOGNA (BO)"/>
    <s v="System Administrator"/>
    <s v="System Administrator"/>
    <m/>
  </r>
  <r>
    <s v="Supporto Telecomunicazioni"/>
    <s v="COMERCI"/>
    <s v="MANJU"/>
    <s v="  "/>
    <s v="manju.comerci@intesasanpaolo.com"/>
    <s v="MONCALIERI (TO)"/>
    <s v="CORSO SAVONA, 58 - 10024 MONCALIERI (TO)"/>
    <s v="Network Administrator"/>
    <e v="#N/A"/>
    <m/>
  </r>
  <r>
    <s v="Supporto Telecomunicazioni"/>
    <s v="COSTE"/>
    <s v="ENRICO"/>
    <s v="U015892"/>
    <s v="enrico.coste@intesasanpaolo.com"/>
    <s v="MONCALIERI (TO)"/>
    <s v="CORSO SAVONA, 58 - 10024 MONCALIERI (TO)"/>
    <s v="Problem Manager"/>
    <s v="Network Administrator"/>
    <m/>
  </r>
  <r>
    <s v="Coord. Servizi Presidi TLC"/>
    <s v="DELL'ORTO"/>
    <s v="LUCA LORENZO"/>
    <s v="U086373"/>
    <s v="luca.dellorto@intesasanpaolo.com"/>
    <s v="BISCEGLIE (MI)"/>
    <s v="VIA BISCEGLIE, 120 - 20152 MILANO (MI)"/>
    <s v="Infrastructure Architect"/>
    <s v="Operator"/>
    <s v="Infrastructure Architect"/>
  </r>
  <r>
    <s v="Prog. Telecomunicazioni"/>
    <s v="DOGLIO"/>
    <s v="FABIO"/>
    <s v="U015436"/>
    <s v="fabio.doglio@intesasanpaolo.com"/>
    <s v="MONCALIERI (TO)"/>
    <s v="CORSO SAVONA, 58 - 10024 MONCALIERI (TO)"/>
    <s v="Infrastructure Architect"/>
    <s v="Network Administrator"/>
    <s v="Infrastructure Architect"/>
  </r>
  <r>
    <s v="Prog. Telecomunicazioni"/>
    <s v="FACCHINETTI"/>
    <s v="MASSIMO GIOVANNI"/>
    <s v="U085959"/>
    <s v="massimo.facchinetti@intesasanpaolo.com"/>
    <s v="BISCEGLIE (MI)"/>
    <s v="VIA BISCEGLIE, 120 - 20152 MILANO (MI)"/>
    <s v="Infrastructure Architect"/>
    <s v="Network Administrator"/>
    <s v="Infrastructure Architect"/>
  </r>
  <r>
    <s v="Supporto Telecomunicazioni"/>
    <s v="FUDA"/>
    <s v="DANIELE"/>
    <s v="U029643"/>
    <s v="daniele.fuda@intesasanpaolo.com"/>
    <s v="MONCALIERI (TO)"/>
    <s v="CORSO SAVONA, 58 - 10024 MONCALIERI (TO)"/>
    <s v="Infrastructure Architect"/>
    <s v="Network Administrator"/>
    <s v="Infrastructure Architect"/>
  </r>
  <r>
    <s v="Coord. Servizi Presidi TLC"/>
    <s v="GATTO"/>
    <s v="LORENZO"/>
    <s v="  "/>
    <s v="lorenzo.gatto@intesasanpaolo.com"/>
    <s v="MONCALIERI (TO)"/>
    <s v="CORSO SAVONA, 58 - 10024 MONCALIERI (TO)"/>
    <s v="Collaboration Specialist"/>
    <e v="#N/A"/>
    <s v="Collaboration Specialist"/>
  </r>
  <r>
    <s v="Supporto Telecomunicazioni"/>
    <s v="GELATO"/>
    <s v="PAOLO"/>
    <s v="U017591"/>
    <s v="paolo.gelato@intesasanpaolo.com"/>
    <s v="MONCALIERI (TO)"/>
    <s v="CORSO SAVONA, 58 - 10024 MONCALIERI (TO)"/>
    <s v="Network Administrator"/>
    <s v="Network Administrator"/>
    <m/>
  </r>
  <r>
    <s v="Coord. Servizi Presidi TLC"/>
    <s v="GIRIBONO"/>
    <s v="MASSIMO"/>
    <s v="U083843"/>
    <s v="massimo.giribono@intesasanpaolo.com"/>
    <s v="BISCEGLIE (MI)"/>
    <s v="VIA BISCEGLIE, 120 - 20152 MILANO (MI)"/>
    <s v="IT Process FM Specialist"/>
    <s v="IT Process FM Specialist"/>
    <s v="IT Process FM Specialist"/>
  </r>
  <r>
    <s v="Supporto Telecomunicazioni"/>
    <s v="GREGORIO"/>
    <s v="MARCO"/>
    <s v="U339489"/>
    <s v="marco.gregorio@intesasanpaolo.com"/>
    <s v="MONCALIERI (TO)"/>
    <s v="CORSO SAVONA, 58 - 10024 MONCALIERI (TO)"/>
    <s v="Infrastructure Architect"/>
    <s v="Network Administrator"/>
    <s v="Infrastructure Architect"/>
  </r>
  <r>
    <s v="Supporto Telecomunicazioni"/>
    <s v="MACCARIO"/>
    <s v="BRUNO"/>
    <s v="U016070"/>
    <s v="bruno.maccario@intesasanpaolo.com"/>
    <s v="MONCALIERI (TO)"/>
    <s v="CORSO SAVONA, 58 - 10024 MONCALIERI (TO)"/>
    <s v="Problem Manager"/>
    <s v="Network Administrator"/>
    <m/>
  </r>
  <r>
    <s v="Prog. Telecomunicazioni"/>
    <s v="MAGLIANO"/>
    <s v="GIORGIO"/>
    <s v="U020961"/>
    <s v="giorgio.magliano@intesasanpaolo.com"/>
    <s v="MONCALIERI (TO)"/>
    <s v="CORSO SAVONA, 58 - 10024 MONCALIERI (TO)"/>
    <s v="Infrastructure Architect"/>
    <s v="Network Administrator"/>
    <s v="Infrastructure Architect"/>
  </r>
  <r>
    <s v="CC Contact Unit"/>
    <s v="MAJERNA"/>
    <s v="STEFANO"/>
    <s v="U087616"/>
    <s v="stefano.majerna@intesasanpaolo.com"/>
    <s v="BISCEGLIE (MI)"/>
    <s v="VIA BISCEGLIE, 120 - 20152 MILANO (MI)"/>
    <s v="Delivery manager"/>
    <s v="Network Administrator"/>
    <s v="Delivery manager"/>
  </r>
  <r>
    <s v="Prog. Telecomunicazioni"/>
    <s v="MASTROTI"/>
    <s v="DANIELE"/>
    <s v="U085948"/>
    <s v="daniele.mastroti@intesasanpaolo.com"/>
    <s v="BISCEGLIE (MI)"/>
    <s v="VIA BISCEGLIE, 120 - 20152 MILANO (MI)"/>
    <s v="Infrastructure Architect"/>
    <s v="Network Administrator"/>
    <s v="Infrastructure Architect"/>
  </r>
  <r>
    <s v="Supporto Telecomunicazioni"/>
    <s v="MIATELLO"/>
    <s v="CLAUDIO"/>
    <s v="U018262"/>
    <s v="claudio.miatello@intesasanpaolo.com"/>
    <s v="MONCALIERI (TO)"/>
    <s v="CORSO SAVONA, 58 - 10024 MONCALIERI (TO)"/>
    <s v="Network Administrator"/>
    <s v="Network Administrator"/>
    <s v="Network Administrator"/>
  </r>
  <r>
    <s v="Coord. Servizi Presidi TLC"/>
    <s v="MONDINO"/>
    <s v="ENRICO"/>
    <s v="U018267"/>
    <s v="enrico.mondino@intesasanpaolo.com"/>
    <s v="MONCALIERI (TO)"/>
    <s v="CORSO SAVONA, 58 - 10024 MONCALIERI (TO)"/>
    <s v="Network Administrator"/>
    <s v="Network Administrator"/>
    <m/>
  </r>
  <r>
    <s v="CC Contact Unit"/>
    <s v="NOVI"/>
    <s v="MAURO"/>
    <s v="U040376"/>
    <s v="mauro.novi@intesasanpaolo.com"/>
    <s v="BOLOGNA"/>
    <s v="PIAZZA SAN DOMENICO - 40124 BOLOGNA (BO)"/>
    <s v="Infrastructure Architect"/>
    <s v="System Administrator"/>
    <s v="Infrastructure Architect"/>
  </r>
  <r>
    <s v="Coord. Servizi Presidi TLC"/>
    <s v="PARPANESI"/>
    <s v="PAOLO"/>
    <s v="U085952"/>
    <s v="paolo.parpanesi@intesasanpaolo.com"/>
    <s v="BISCEGLIE (MI)"/>
    <s v="VIA BISCEGLIE, 120 - 20152 MILANO (MI)"/>
    <s v="Project Manager "/>
    <s v="Project Manager"/>
    <s v="Project Manager "/>
  </r>
  <r>
    <s v="Prog. Telecomunicazioni"/>
    <s v="PEPE"/>
    <s v="ANGELO"/>
    <s v="U024494"/>
    <s v="angelo.pepe@intesasanpaolo.com"/>
    <s v="MONCALIERI (TO)"/>
    <s v="CORSO SAVONA, 58 - 10024 MONCALIERI (TO)"/>
    <s v="Security Infrastructure Specialist"/>
    <s v="Network Administrator"/>
    <s v="Infrastructure Architect"/>
  </r>
  <r>
    <s v="CC Contact Unit"/>
    <s v="PERSIANI"/>
    <s v="FEDERICO"/>
    <s v="U028758"/>
    <s v="federico.persiani@intesasanpaolo.com"/>
    <s v="BOLOGNA"/>
    <s v="PIAZZA SAN DOMENICO - 40124 BOLOGNA (BO)"/>
    <s v="System Administrator"/>
    <s v="System Administrator"/>
    <m/>
  </r>
  <r>
    <s v="Coord. Servizi Presidi TLC"/>
    <s v="PIETRANGELO"/>
    <s v="MARIANO"/>
    <s v="U014035"/>
    <s v="mariano.pietrangelo@intesasanpaolo.com"/>
    <s v="MONCALIERI (TO)"/>
    <s v="CORSO SAVONA, 58 - 10024 MONCALIERI (TO)"/>
    <s v="Collaboration Specialist"/>
    <s v="System Administrator"/>
    <m/>
  </r>
  <r>
    <s v="Coord. Servizi Presidi TLC"/>
    <s v="POGGI"/>
    <s v="GIANMARCO"/>
    <s v="U304274"/>
    <s v="gianmarco.poggi@intesasanpaolo.com"/>
    <s v="BISCEGLIE (MI)"/>
    <s v="VIA BISCEGLIE, 120 - 20152 MILANO (MI)"/>
    <s v="Project Manager "/>
    <s v="Project Manager"/>
    <s v="Project Manager "/>
  </r>
  <r>
    <s v="Prog. Telecomunicazioni"/>
    <s v="RADAELLI"/>
    <s v="LUCIO"/>
    <s v="U301258"/>
    <s v="lucio.radaelli@intesasanpaolo.com"/>
    <s v="BISCEGLIE (MI)"/>
    <s v="VIA BISCEGLIE, 120 - 20152 MILANO (MI)"/>
    <s v="Infrastructure Architect"/>
    <s v="Network Administrator"/>
    <s v="Infrastructure Architect"/>
  </r>
  <r>
    <s v="Prog. Telecomunicazioni"/>
    <s v="RENDINIELLO"/>
    <s v="DAVIDE"/>
    <s v="U363982"/>
    <s v="davide.rendiniello@intesasanpaolo.com"/>
    <s v="MONCALIERI (TO)"/>
    <s v="CORSO SAVONA, 58 - 10024 MONCALIERI (TO)"/>
    <s v="Software Defined Network  Specialist"/>
    <s v="Network Administrator"/>
    <s v="Software Defined Network  Specialist"/>
  </r>
  <r>
    <s v="Prog. Telecomunicazioni"/>
    <s v="RUCI"/>
    <s v="LEDIO"/>
    <s v="  "/>
    <s v="ledio.ruci@intesasanpaolo.com"/>
    <s v="MONCALIERI (TO)"/>
    <s v="CORSO SAVONA, 58 - 10024 MONCALIERI (TO)"/>
    <s v="Automation Specialist"/>
    <e v="#N/A"/>
    <m/>
  </r>
  <r>
    <s v="Coord. Servizi Presidi TLC"/>
    <s v="SALVATI"/>
    <s v="DIEGO"/>
    <s v="  "/>
    <s v="diego.salvati@intesasanpaolo.com"/>
    <s v="BISCEGLIE (MI)"/>
    <s v="VIA BISCEGLIE, 120 - 20152 MILANO (MI)"/>
    <s v="Network Administrator"/>
    <e v="#N/A"/>
    <s v="Project Manager "/>
  </r>
  <r>
    <s v="Prog. Telecomunicazioni"/>
    <s v="TAGLIABUE"/>
    <s v="MASSIMO"/>
    <s v="U083410"/>
    <s v="massimo.tagliabue@intesasanpaolo.com"/>
    <s v="BISCEGLIE (MI)"/>
    <s v="VIA BISCEGLIE, 120 - 20152 MILANO (MI)"/>
    <s v="Infrastructure Architect"/>
    <s v="Network Administrator"/>
    <s v="Infrastructure Architect"/>
  </r>
  <r>
    <s v="Supporto Telecomunicazioni"/>
    <s v="TENACE"/>
    <s v="ANTONELLO"/>
    <s v="U028144"/>
    <s v="antonello.tenace@intesasanpaolo.com"/>
    <s v="MONCALIERI (TO)"/>
    <s v="CORSO SAVONA, 58 - 10024 MONCALIERI (TO)"/>
    <s v="Automation Specialist"/>
    <s v="Network Administrator"/>
    <s v="Automation Specialist"/>
  </r>
  <r>
    <s v="Coord. Servizi Presidi TLC"/>
    <s v="TURRA"/>
    <s v="KEVIN"/>
    <s v="  "/>
    <s v="kevin.turra@intesasanpaolo.com"/>
    <s v="BISCEGLIE (MI)"/>
    <s v="VIA BISCEGLIE, 120 - 20152 MILANO (MI)"/>
    <s v="Network Administrator"/>
    <e v="#N/A"/>
    <s v="Project Manager "/>
  </r>
  <r>
    <s v="Supporto Telecomunicazioni"/>
    <s v="VALSANIA"/>
    <s v="DAVIDE"/>
    <s v="  "/>
    <s v="davide.valsania@intesasanpaolo.com"/>
    <s v="MONCALIERI (TO)"/>
    <s v="CORSO SAVONA, 58 - 10024 MONCALIERI (TO)"/>
    <s v="Infrastructure Architect"/>
    <e v="#N/A"/>
    <s v="Infrastructure Architect"/>
  </r>
  <r>
    <s v="Prog. Telecomunicazioni"/>
    <s v="VARRESE"/>
    <s v="MICHAEL"/>
    <s v="  "/>
    <s v="michael.varrese@intesasanpaolo.com"/>
    <s v="BISCEGLIE (MI)"/>
    <s v="VIA BISCEGLIE, 120 - 20152 MILANO (MI)"/>
    <s v="Network Administrator"/>
    <e v="#N/A"/>
    <m/>
  </r>
  <r>
    <s v="Supporto Telecomunicazioni"/>
    <s v="VENTRA"/>
    <s v="NICOLA"/>
    <s v="U034788"/>
    <s v="nicola.ventra@intesasanpaolo.com"/>
    <s v="MONCALIERI (TO)"/>
    <s v="CORSO SAVONA, 58 - 10024 MONCALIERI (TO)"/>
    <s v="Network Administrator"/>
    <s v="Network Administrator"/>
    <s v="Network Administrator"/>
  </r>
  <r>
    <s v="Prog. Telecomunicazioni"/>
    <s v="VENTURA"/>
    <s v="CORRADO"/>
    <s v="U028156"/>
    <s v="corrado.ventura@intesasanpaolo.com"/>
    <s v="MONCALIERI (TO)"/>
    <s v="CORSO SAVONA, 58 - 10024 MONCALIERI (TO)"/>
    <s v="Project Manager "/>
    <s v="Network Administrator"/>
    <s v="Project Manager "/>
  </r>
  <r>
    <m/>
    <s v="VOLPI"/>
    <s v="PIERPILADE"/>
    <s v="U085957"/>
    <s v="pierpilade.volpi@intesasanpaolo.com"/>
    <s v="BISCEGLIE (MI)"/>
    <s v="VIA BISCEGLIE, 120 - 20152 MILANO (MI)"/>
    <s v="IT Process FM Specialist"/>
    <s v="IT Process FM Specialist"/>
    <s v="IT Process FM Specialist"/>
  </r>
  <r>
    <m/>
    <s v="CARPI"/>
    <s v="MONICA"/>
    <s v="  "/>
    <s v="monica.carpi@intesasanpaolo.com"/>
    <s v="PARMA"/>
    <s v="VIA LANGHIRANO, 1 - PAL. C - 43100 PARMA (PR)"/>
    <s v="  "/>
    <e v="#N/A"/>
    <m/>
  </r>
  <r>
    <s v="Procedure Operative SIT"/>
    <s v="BONANDIN"/>
    <s v="PAOLO"/>
    <s v="U020695"/>
    <s v="paolo.bonandin@intesasanpaolo.com"/>
    <s v="MONCALIERI (TO)"/>
    <s v="CORSO SAVONA, 58 - 10024 MONCALIERI (TO)"/>
    <s v="IT Coordinator"/>
    <s v="IT Coordinator"/>
    <s v="--- CONFERMATO AS IS ---"/>
  </r>
  <r>
    <s v="Pianificazione e Ottimizzazione Risorse"/>
    <s v="CALABRO'"/>
    <s v="LUDOVICO"/>
    <s v="U017375"/>
    <s v="ludovico.calabro@intesasanpaolo.com"/>
    <s v="MONCALIERI (TO)"/>
    <s v="CORSO SAVONA, 58 - 10024 MONCALIERI (TO)"/>
    <s v="IT Coordinator"/>
    <s v="IT Coordinator"/>
    <s v="--- CONFERMATO AS IS ---"/>
  </r>
  <r>
    <s v="Tuning e Performance"/>
    <s v="MEZZOFRANCO"/>
    <s v="FRANCESCO"/>
    <s v="U024473"/>
    <s v="francesco.mezzofranco@intesasanpaolo.com"/>
    <s v="MONCALIERI (TO)"/>
    <s v="CORSO SAVONA, 58 - 10024 MONCALIERI (TO)"/>
    <s v="IT Coordinator"/>
    <s v="System Administrator"/>
    <s v="--- CONFERMATO AS IS ---"/>
  </r>
  <r>
    <s v="Change Mgmt e Orchestrazione Servizi"/>
    <s v="PADOVANI"/>
    <s v="GIULIO"/>
    <s v="U086398"/>
    <s v="giulio.padovani@intesasanpaolo.com"/>
    <s v="PARMA"/>
    <s v="VIA LANGHIRANO, 1 - PAL. C - 43100 PARMA (PR)"/>
    <s v="IT Coordinator"/>
    <s v="Project Manager"/>
    <s v="--- CONFERMATO AS IS ---"/>
  </r>
  <r>
    <s v="Tuning e Performance"/>
    <s v="ACCARINO"/>
    <s v="ANTONIO"/>
    <s v="U076138"/>
    <s v="antonio.accarino@intesasanpaolo.com"/>
    <s v="NAPOLI"/>
    <s v="VIA G. MARCONI, 15 - 80125 NAPOLI (NA)"/>
    <s v="Capacity &amp; Availability Specialist"/>
    <s v="Data Base Administrator"/>
    <s v="--- CONFERMATO AS IS ---"/>
  </r>
  <r>
    <s v="Procedure Operative SIT"/>
    <s v="ALLOCCO"/>
    <s v="GIOVANNI"/>
    <s v="U011258"/>
    <s v="giovanni.allocco@intesasanpaolo.com"/>
    <s v="MONCALIERI (TO)"/>
    <s v="CORSO SAVONA, 58 - 10024 MONCALIERI (TO)"/>
    <s v="IT Process FM Specialist"/>
    <s v="System Administrator"/>
    <s v="--- CONFERMATO AS IS ---"/>
  </r>
  <r>
    <s v="Procedure Operative SIT"/>
    <s v="ANDRIONE"/>
    <s v="AGNESE LIDIA"/>
    <s v="U011038"/>
    <s v="agnese.andrione@intesasanpaolo.com"/>
    <s v="MONCALIERI (TO)"/>
    <s v="CORSO SAVONA, 58 - 10024 MONCALIERI (TO)"/>
    <s v="IT Process FM Specialist"/>
    <s v="IT Process FM Specialist"/>
    <s v="--- CONFERMATO AS IS ---"/>
  </r>
  <r>
    <s v="Procedure Operative SIT"/>
    <s v="APIS"/>
    <s v="LUCIANA"/>
    <s v="U086147"/>
    <s v="luciana.apis@intesasanpaolo.com"/>
    <s v="BISCEGLIE (MI)"/>
    <s v="VIA BISCEGLIE, 120 - 20152 MILANO (MI)"/>
    <s v="IT Process FM Specialist"/>
    <s v="IT Process FM Specialist"/>
    <s v="--- CONFERMATO AS IS ---"/>
  </r>
  <r>
    <s v="Change Mgmt e Orchestrazione Servizi"/>
    <s v="AVANZINI"/>
    <s v="LUCA"/>
    <s v="  "/>
    <s v="luca.avanzini@intesasanpaolo.com"/>
    <s v="PARMA"/>
    <s v="VIA LANGHIRANO, 1 - PAL. C - 43100 PARMA (PR)"/>
    <s v="System Administrator"/>
    <e v="#N/A"/>
    <s v="--- CONFERMATO AS IS ---"/>
  </r>
  <r>
    <s v="Tuning e Performance"/>
    <s v="BAGNO"/>
    <s v="LUIGI"/>
    <s v="U074484"/>
    <s v="luigi.bagno@intesasanpaolo.com"/>
    <s v="NAPOLI"/>
    <s v="VIA G. MARCONI, 15 - 80125 NAPOLI (NA)"/>
    <s v="Capacity &amp; Availability Specialist"/>
    <s v="Data Base Administrator"/>
    <s v="--- CONFERMATO AS IS ---"/>
  </r>
  <r>
    <s v="Pianificazione e Ottimizzazione Risorse"/>
    <s v="BOARETTO"/>
    <s v="SIMONE"/>
    <s v="  "/>
    <s v="simone.boaretto@intesasanpaolo.com"/>
    <s v="MONCALIERI (TO)"/>
    <s v="CORSO SAVONA, 58 - 10024 MONCALIERI (TO)"/>
    <s v="Capacity &amp; Availability Specialist"/>
    <e v="#N/A"/>
    <m/>
  </r>
  <r>
    <s v="Procedure Operative SIT"/>
    <s v="BONI"/>
    <s v="DARIO"/>
    <s v="U086307"/>
    <s v="dario.boni@intesasanpaolo.com"/>
    <s v="PARMA"/>
    <s v="VIA LANGHIRANO, 1 - PAL. C - 43100 PARMA (PR)"/>
    <s v="IT Financial Specialist"/>
    <s v="System Administrator"/>
    <s v="Infastructure Finance Expert"/>
  </r>
  <r>
    <s v="Tuning e Performance"/>
    <s v="CAMPANELLA"/>
    <s v="MICHELE"/>
    <s v="U077567"/>
    <s v="michele.campanella@intesasanpaolo.com"/>
    <s v="NAPOLI"/>
    <s v="VIA G. MARCONI, 15 - 80125 NAPOLI (NA)"/>
    <s v="Capacity &amp; Availability Specialist"/>
    <s v="Data Base Administrator"/>
    <s v="--- CONFERMATO AS IS ---"/>
  </r>
  <r>
    <s v="Procedure Operative SIT"/>
    <s v="CANGEMI"/>
    <s v="SERGIO"/>
    <s v="U077984"/>
    <s v="sergio.cangemi@intesasanpaolo.com"/>
    <s v="NAPOLI"/>
    <s v="VIA G. MARCONI, 15 - 80125 NAPOLI (NA)"/>
    <s v="IT Process FM Specialist"/>
    <s v="IT Process FM Specialist"/>
    <s v="--- CONFERMATO AS IS ---"/>
  </r>
  <r>
    <s v="Change Mgmt e Orchestrazione Servizi"/>
    <s v="CANTARELLI"/>
    <s v="GIAN LUCA"/>
    <s v="U086311"/>
    <s v="gianluca.cantarelli@intesasanpaolo.com"/>
    <s v="PARMA"/>
    <s v="VIA LANGHIRANO, 1 - PAL. C - 43100 PARMA (PR)"/>
    <s v="System Administrator"/>
    <s v="System Administrator"/>
    <s v="--- CONFERMATO AS IS ---"/>
  </r>
  <r>
    <s v="Change Mgmt e Orchestrazione Servizi"/>
    <s v="CANTONI"/>
    <s v="PAOLO"/>
    <s v="U086312"/>
    <s v="paolo.cantoni@intesasanpaolo.com"/>
    <s v="PARMA"/>
    <s v="VIA LANGHIRANO, 1 - PAL. C - 43100 PARMA (PR)"/>
    <s v="Automation Specialist"/>
    <s v="System Administrator"/>
    <s v="--- CONFERMATO AS IS ---"/>
  </r>
  <r>
    <s v="Change Mgmt e Orchestrazione Servizi"/>
    <s v="CAUTIERO"/>
    <s v="CONCETTA"/>
    <s v="U086173"/>
    <s v="concetta.cautiero@intesasanpaolo.com"/>
    <s v="PARMA"/>
    <s v="VIA LANGHIRANO, 1 - PAL. C - 43100 PARMA (PR)"/>
    <s v="System Administrator"/>
    <s v="System Administrator"/>
    <s v="--- CONFERMATO AS IS ---"/>
  </r>
  <r>
    <s v="Change Mgmt e Orchestrazione Servizi"/>
    <s v="CECI"/>
    <s v="FRANCESCO"/>
    <s v="U086327"/>
    <s v="francesco.ceci@intesasanpaolo.com"/>
    <s v="PARMA"/>
    <s v="VIA LANGHIRANO, 1 - PAL. C - 43100 PARMA (PR)"/>
    <s v="System Administrator"/>
    <s v="System Administrator"/>
    <s v="DevOps Specialist"/>
  </r>
  <r>
    <s v="Procedure Operative SIT"/>
    <s v="CERETTA"/>
    <s v="DANIELA MARIA"/>
    <s v="U086145"/>
    <s v="daniela.ceretta@intesasanpaolo.com"/>
    <s v="PARMA"/>
    <s v="VIA LANGHIRANO, 1 - PAL. C - 43100 PARMA (PR)"/>
    <s v="IT Financial Specialist"/>
    <s v="IT Financial Specialist"/>
    <s v="Infastructure Finance Expert"/>
  </r>
  <r>
    <s v="Tuning e Performance"/>
    <s v="CICCOLELLA"/>
    <s v="IGNAZIO"/>
    <s v="U076142"/>
    <s v="ignazio.ciccolella@intesasanpaolo.com"/>
    <s v="NAPOLI"/>
    <s v="VIA G. MARCONI, 15 - 80125 NAPOLI (NA)"/>
    <s v="Capacity &amp; Availability Specialist"/>
    <s v="Data Base Administrator"/>
    <s v="--- CONFERMATO AS IS ---"/>
  </r>
  <r>
    <s v="Tuning e Performance"/>
    <s v="CORTI"/>
    <s v="MARCO"/>
    <s v="U033469"/>
    <s v="marco.corti@intesasanpaolo.com"/>
    <s v="COMO"/>
    <s v="VIA GARIBALDI, 133/135 - 22073 FINO MORNASCO (CO)"/>
    <s v="Capacity &amp; Availability Specialist"/>
    <s v="Data Base Administrator"/>
    <m/>
  </r>
  <r>
    <s v="Change Mgmt e Orchestrazione Servizi"/>
    <s v="D'ANGELO"/>
    <s v="VALERIO"/>
    <s v="  "/>
    <s v="valerio.dangelo@intesasanpaolo.com"/>
    <s v="PARMA"/>
    <s v="VIA LANGHIRANO, 1 - PAL. C - 43100 PARMA (PR)"/>
    <s v="DevOps Specialist"/>
    <e v="#N/A"/>
    <s v="--- CONFERMATO AS IS ---"/>
  </r>
  <r>
    <s v="Procedure Operative SIT"/>
    <s v="DAVITE"/>
    <s v="VALERIA"/>
    <s v="U010897"/>
    <s v="valeria.davite@intesasanpaolo.com"/>
    <s v="MONCALIERI (TO)"/>
    <s v="CORSO SAVONA, 58 - 10024 MONCALIERI (TO)"/>
    <s v="IT Process FM Specialist"/>
    <s v="IT Process FM Specialist"/>
    <s v="--- CONFERMATO AS IS ---"/>
  </r>
  <r>
    <s v="Tuning e Performance"/>
    <s v="DE BARI"/>
    <s v="ANTONIO"/>
    <s v="  "/>
    <s v="antonio.debari@intesasanpaolo.com"/>
    <s v="MONCALIERI (TO)"/>
    <s v="CORSO SAVONA, 58 - 10024 MONCALIERI (TO)"/>
    <s v="System Administrator"/>
    <e v="#N/A"/>
    <s v="--- CONFERMATO AS IS ---"/>
  </r>
  <r>
    <s v="Procedure Operative SIT"/>
    <s v="DE CESARE"/>
    <s v="FRANCO"/>
    <s v="U018215"/>
    <s v="franco.decesare@intesasanpaolo.com"/>
    <s v="MONCALIERI (TO)"/>
    <s v="CORSO SAVONA, 58 - 10024 MONCALIERI (TO)"/>
    <s v="IT Process FM Specialist"/>
    <s v="IT Process FM Specialist"/>
    <s v="IT Process FM Specialist"/>
  </r>
  <r>
    <s v="Procedure Operative SIT"/>
    <s v="DE LISIO"/>
    <s v="ANTONIO"/>
    <s v="  "/>
    <s v="antonio.delisio@intesasanpaolo.com"/>
    <s v="MONCALIERI (TO)"/>
    <s v="CORSO SAVONA, 58 - 10024 MONCALIERI (TO)"/>
    <s v="IT Process FM Specialist"/>
    <e v="#N/A"/>
    <s v="Infastructure Finance Expert"/>
  </r>
  <r>
    <s v="Tuning e Performance"/>
    <s v="DE ROSA"/>
    <s v="MASSIMO"/>
    <s v="U021150"/>
    <s v="massimo.derosa@intesasanpaolo.com"/>
    <s v="MONCALIERI (TO)"/>
    <s v="CORSO SAVONA, 58 - 10024 MONCALIERI (TO)"/>
    <s v="test automation specialist"/>
    <s v="System Administrator"/>
    <s v="--- CONFERMATO AS IS ---"/>
  </r>
  <r>
    <s v="Change Mgmt e Orchestrazione Servizi"/>
    <s v="DE SIENA"/>
    <s v="ROCHY"/>
    <s v="U086344"/>
    <s v="rochy.desiena@intesasanpaolo.com"/>
    <s v="PARMA"/>
    <s v="VIA LANGHIRANO, 1 - PAL. C - 43100 PARMA (PR)"/>
    <s v="System Administrator"/>
    <s v="System Administrator"/>
    <s v="DevOps Specialist"/>
  </r>
  <r>
    <s v="Change Mgmt e Orchestrazione Servizi"/>
    <s v="D'ERASMO"/>
    <s v="DARIO"/>
    <s v="  "/>
    <s v="dario.derasmo@intesasanpaolo.com"/>
    <s v="PARMA"/>
    <s v="VIA LANGHIRANO, 1 - PAL. C - 43100 PARMA (PR)"/>
    <s v="Automation Specialist"/>
    <e v="#N/A"/>
    <m/>
  </r>
  <r>
    <s v="Change Mgmt e Orchestrazione Servizi"/>
    <s v="DUCA"/>
    <s v="LORENZO"/>
    <s v="U083742"/>
    <s v="lorenzo.duca@intesasanpaolo.com"/>
    <s v="PARMA"/>
    <s v="VIA LANGHIRANO, 1 - PAL. C - 43100 PARMA (PR)"/>
    <s v="Integration Platform Specialist"/>
    <s v="System Administrator"/>
    <m/>
  </r>
  <r>
    <s v="Tuning e Performance"/>
    <s v="ESPOSITO"/>
    <s v="ALFREDO"/>
    <s v="U077986"/>
    <s v="alfredo.esposito@intesasanpaolo.com"/>
    <s v="NAPOLI"/>
    <s v="VIA G. MARCONI, 15 - 80125 NAPOLI (NA)"/>
    <s v="Capacity &amp; Availability Specialist"/>
    <s v="Data Base Administrator"/>
    <m/>
  </r>
  <r>
    <s v="Tuning e Performance"/>
    <s v="FANTINI"/>
    <s v="FEDERICA"/>
    <s v="  "/>
    <s v="federica.fantini@intesasanpaolo.com"/>
    <s v="MONCALIERI (TO)"/>
    <s v="CORSO SAVONA, 58 - 10024 MONCALIERI (TO)"/>
    <s v="test automation specialist"/>
    <e v="#N/A"/>
    <s v="--- CONFERMATO AS IS ---"/>
  </r>
  <r>
    <s v="Change Mgmt e Orchestrazione Servizi"/>
    <s v="FERRARI"/>
    <s v="FRANCESCO"/>
    <s v="U086300"/>
    <s v="francesco.ferrari3@intesasanpaolo.com"/>
    <s v="PARMA"/>
    <s v="VIA LANGHIRANO, 1 - PAL. C - 43100 PARMA (PR)"/>
    <s v="Integration Platform Specialist"/>
    <s v="Project Manager"/>
    <s v="DevOps Specialist"/>
  </r>
  <r>
    <s v="Change Mgmt e Orchestrazione Servizi"/>
    <s v="FORTINI"/>
    <s v="FEDERICO"/>
    <s v="  "/>
    <s v="federico.fortini@intesasanpaolo.com"/>
    <s v="PARMA"/>
    <s v="VIA LANGHIRANO, 1 - PAL. C - 43100 PARMA (PR)"/>
    <s v="Automation Specialist"/>
    <e v="#N/A"/>
    <s v="DevOps Specialist"/>
  </r>
  <r>
    <s v="Procedure Operative SIT"/>
    <s v="FUCCI"/>
    <s v="ENZO"/>
    <s v="U024472"/>
    <s v="enzo.fucci@intesasanpaolo.com"/>
    <s v="MONCALIERI (TO)"/>
    <s v="CORSO SAVONA, 58 - 10024 MONCALIERI (TO)"/>
    <s v="IT Process FM Specialist"/>
    <s v="System Administrator"/>
    <s v="--- CONFERMATO AS IS ---"/>
  </r>
  <r>
    <s v="Change Mgmt e Orchestrazione Servizi"/>
    <s v="GANAZZOLI"/>
    <s v="ILARIA"/>
    <s v="U086383"/>
    <s v="ilaria.ganazzoli@intesasanpaolo.com"/>
    <s v="PARMA"/>
    <s v="VIA LANGHIRANO, 1 - PAL. C - 43100 PARMA (PR)"/>
    <s v="System Administrator"/>
    <s v="System Administrator"/>
    <m/>
  </r>
  <r>
    <s v="Procedure Operative SIT"/>
    <s v="GARABELLO"/>
    <s v="MONICA"/>
    <s v="U017122"/>
    <s v="monica.garabello@intesasanpaolo.com"/>
    <s v="MONCALIERI (TO)"/>
    <s v="CORSO SAVONA, 58 - 10024 MONCALIERI (TO)"/>
    <s v="Project Manager "/>
    <s v="IT Process FM Specialist"/>
    <s v="Program Manager"/>
  </r>
  <r>
    <s v="Procedure Operative SIT"/>
    <s v="GIACALONE"/>
    <s v="GIAMPIERO"/>
    <s v="  "/>
    <s v="giampiero.giacalone@intesasanpaolo.com"/>
    <s v="MONCALIERI (TO)"/>
    <s v="CORSO SAVONA, 58 - 10024 MONCALIERI (TO)"/>
    <s v="IT Process FM Specialist"/>
    <e v="#N/A"/>
    <s v="Software Defined Network  Specialist"/>
  </r>
  <r>
    <s v="Tuning e Performance"/>
    <s v="GIORDAN"/>
    <s v="MASSIMO"/>
    <s v="U020479"/>
    <s v="massimo.giordan@intesasanpaolo.com"/>
    <s v="MONCALIERI (TO)"/>
    <s v="CORSO SAVONA, 58 - 10024 MONCALIERI (TO)"/>
    <s v="System Administrator"/>
    <s v="System Administrator"/>
    <m/>
  </r>
  <r>
    <s v="Change Mgmt e Orchestrazione Servizi"/>
    <s v="GIOVANNINI"/>
    <s v="LUCIANO"/>
    <s v="U086283"/>
    <s v="luciano.giovannini@intesasanpaolo.com"/>
    <s v="PARMA"/>
    <s v="VIA LANGHIRANO, 1 - PAL. C - 43100 PARMA (PR)"/>
    <s v="System Administrator"/>
    <s v="System Administrator"/>
    <m/>
  </r>
  <r>
    <s v="Change Mgmt e Orchestrazione Servizi"/>
    <s v="LANARO"/>
    <s v="ANDREA"/>
    <s v="U086345"/>
    <s v="andrea.lanaro@intesasanpaolo.com"/>
    <s v="PARMA"/>
    <s v="VIA LANGHIRANO, 1 - PAL. C - 43100 PARMA (PR)"/>
    <s v="System Administrator"/>
    <s v="System Administrator"/>
    <m/>
  </r>
  <r>
    <s v="Procedure Operative SIT"/>
    <s v="LIETZ"/>
    <s v="GIUSEPPE"/>
    <s v="U074758"/>
    <s v="giuseppe.lietz@intesasanpaolo.com"/>
    <s v="NAPOLI"/>
    <s v="VIA G. MARCONI, 15 - 80125 NAPOLI (NA)"/>
    <s v="IT Process FM Specialist"/>
    <s v="IT Process FM Specialist"/>
    <s v="--- CONFERMATO AS IS ---"/>
  </r>
  <r>
    <s v="Procedure Operative SIT"/>
    <s v="MAERO"/>
    <s v="TIZIANA"/>
    <s v="U022899"/>
    <s v="tiziana.maero@intesasanpaolo.com"/>
    <s v="MONCALIERI (TO)"/>
    <s v="CORSO SAVONA, 58 - 10024 MONCALIERI (TO)"/>
    <s v="Project Manager "/>
    <s v="Operator"/>
    <s v="Project Manager "/>
  </r>
  <r>
    <s v="Pianificazione e Ottimizzazione Risorse"/>
    <s v="MASERA"/>
    <s v="FRANCO"/>
    <s v="U012140"/>
    <s v="franco.masera@intesasanpaolo.com"/>
    <s v="MONCALIERI (TO)"/>
    <s v="CORSO SAVONA, 58 - 10024 MONCALIERI (TO)"/>
    <s v="Capacity &amp; Availability Specialist"/>
    <s v="System Administrator"/>
    <s v="Capacity &amp; Availability Specialist"/>
  </r>
  <r>
    <s v="Pianificazione e Ottimizzazione Risorse"/>
    <s v="MASSERONI"/>
    <s v="GABRIELE"/>
    <s v="  "/>
    <s v="gabriele.masseroni@intesasanpaolo.com"/>
    <s v="MONCALIERI (TO)"/>
    <s v="CORSO SAVONA, 58 - 10024 MONCALIERI (TO)"/>
    <s v="Capacity &amp; Availability Specialist"/>
    <e v="#N/A"/>
    <m/>
  </r>
  <r>
    <s v="Change Mgmt e Orchestrazione Servizi"/>
    <s v="MAZZIERI"/>
    <s v="SERENA"/>
    <s v="U086288"/>
    <s v="serena.mazzieri@intesasanpaolo.com"/>
    <s v="PARMA"/>
    <s v="VIA LANGHIRANO, 1 - PAL. C - 43100 PARMA (PR)"/>
    <s v="System Administrator"/>
    <s v="System Administrator"/>
    <m/>
  </r>
  <r>
    <s v="Tuning e Performance"/>
    <s v="MICCOLI"/>
    <s v="ALESSIO"/>
    <s v="U017351"/>
    <s v="alessio.miccoli@intesasanpaolo.com"/>
    <s v="MONCALIERI (TO)"/>
    <s v="CORSO SAVONA, 58 - 10024 MONCALIERI (TO)"/>
    <s v="System Administrator"/>
    <s v="System Administrator"/>
    <m/>
  </r>
  <r>
    <s v="Tuning e Performance"/>
    <s v="MONFROGLIO"/>
    <s v="ELENA"/>
    <s v="  "/>
    <s v="elena.monfroglio@intesasanpaolo.com"/>
    <s v="MONCALIERI (TO)"/>
    <s v="CORSO SAVONA, 58 - 10024 MONCALIERI (TO)"/>
    <s v="System Administrator"/>
    <e v="#N/A"/>
    <m/>
  </r>
  <r>
    <s v="Pianificazione e Ottimizzazione Risorse"/>
    <s v="MONTI"/>
    <s v="FRANCO"/>
    <s v="U011431"/>
    <s v="franco.monti@intesasanpaolo.com"/>
    <s v="MONCALIERI (TO)"/>
    <s v="CORSO SAVONA, 58 - 10024 MONCALIERI (TO)"/>
    <s v="IT Process FM Specialist"/>
    <s v="IT Process FM Specialist"/>
    <s v="Capacity &amp; Availability Specialist"/>
  </r>
  <r>
    <s v="Change Mgmt e Orchestrazione Servizi"/>
    <s v="MOSSINI"/>
    <s v="MAURIZIO"/>
    <s v="U086363"/>
    <s v="maurizio.mossini@intesasanpaolo.com"/>
    <s v="PARMA"/>
    <s v="VIA LANGHIRANO, 1 - PAL. C - 43100 PARMA (PR)"/>
    <s v="Automation Specialist"/>
    <s v="System Administrator"/>
    <m/>
  </r>
  <r>
    <s v="Change Mgmt e Orchestrazione Servizi"/>
    <s v="PADOVANI"/>
    <s v="SIMONE"/>
    <s v="U086357"/>
    <s v="simone.padovani@intesasanpaolo.com"/>
    <s v="PARMA"/>
    <s v="VIA LANGHIRANO, 1 - PAL. C - 43100 PARMA (PR)"/>
    <s v="Automation Specialist"/>
    <s v="System Administrator"/>
    <s v="DevOps Specialist"/>
  </r>
  <r>
    <s v="Pianificazione e Ottimizzazione Risorse"/>
    <s v="PAPARO"/>
    <s v="FABIO"/>
    <s v="U046196"/>
    <s v="fabio.paparo@intesasanpaolo.com"/>
    <s v="MONCALIERI (TO)"/>
    <s v="CORSO SAVONA, 58 - 10024 MONCALIERI (TO)"/>
    <s v="System Administrator"/>
    <s v="System Administrator"/>
    <s v="Capacity &amp; Availability Specialist"/>
  </r>
  <r>
    <s v="Procedure Operative SIT"/>
    <s v="PAVAN"/>
    <s v="ROBERTO"/>
    <s v="U018943"/>
    <s v="roberto.pavan@intesasanpaolo.com"/>
    <s v="MONCALIERI (TO)"/>
    <s v="CORSO SAVONA, 58 - 10024 MONCALIERI (TO)"/>
    <s v="IT Financial Specialist"/>
    <s v="IT Financial Specialist"/>
    <s v="Infastructure Finance Expert"/>
  </r>
  <r>
    <s v="Change Mgmt e Orchestrazione Servizi"/>
    <s v="PERACCHI"/>
    <s v="ALBERTO"/>
    <s v="U086413"/>
    <s v="alberto.peracchi@intesasanpaolo.com"/>
    <s v="PARMA"/>
    <s v="VIA LANGHIRANO, 1 - PAL. C - 43100 PARMA (PR)"/>
    <s v="System Administrator"/>
    <s v="System Administrator"/>
    <m/>
  </r>
  <r>
    <s v="Procedure Operative SIT"/>
    <s v="PERACCHI"/>
    <s v="NADIA"/>
    <s v="U086297"/>
    <s v="nadia.peracchi@intesasanpaolo.com"/>
    <s v="PARMA"/>
    <s v="VIA LANGHIRANO, 1 - PAL. C - 43100 PARMA (PR)"/>
    <s v="IT Process FM Specialist"/>
    <s v="Project Manager"/>
    <s v="--- CONFERMATO AS IS ---"/>
  </r>
  <r>
    <s v="Procedure Operative SIT"/>
    <s v="POLLARA"/>
    <s v="NICOLO' MATTIA"/>
    <s v="  "/>
    <s v="nicolo.pollara@intesasanpaolo.com"/>
    <s v="MONCALIERI (TO)"/>
    <s v="CORSO SAVONA, 58 - 10024 MONCALIERI (TO)"/>
    <s v="IT Process FM Specialist"/>
    <e v="#N/A"/>
    <s v="DevOps Specialist"/>
  </r>
  <r>
    <s v="Change Mgmt e Orchestrazione Servizi"/>
    <s v="ROMANINI"/>
    <s v="BARBARA"/>
    <s v="U086348"/>
    <s v="barbara.romanini@intesasanpaolo.com"/>
    <s v="PARMA"/>
    <s v="VIA LANGHIRANO, 1 - PAL. C - 43100 PARMA (PR)"/>
    <s v="System Administrator"/>
    <s v="System Administrator"/>
    <m/>
  </r>
  <r>
    <s v="Change Mgmt e Orchestrazione Servizi"/>
    <s v="SALVIATI"/>
    <s v="ANTONIO"/>
    <s v="U086305"/>
    <s v="antonio.salviati@intesasanpaolo.com"/>
    <s v="PARMA"/>
    <s v="VIA LANGHIRANO, 1 - PAL. C - 43100 PARMA (PR)"/>
    <s v="System Administrator"/>
    <s v="System Administrator"/>
    <m/>
  </r>
  <r>
    <s v="Procedure Operative SIT"/>
    <s v="SANTAGATA"/>
    <s v="DONATELLA"/>
    <s v="  "/>
    <s v="donatella.santagata@intesasanpaolo.com"/>
    <s v="MONCALIERI (TO)"/>
    <s v="CORSO SAVONA, 58 - 10024 MONCALIERI (TO)"/>
    <s v="IT Process FM Specialist"/>
    <e v="#N/A"/>
    <s v="Infrastructure Data Scientist "/>
  </r>
  <r>
    <s v="Change Mgmt e Orchestrazione Servizi"/>
    <s v="SARTORI"/>
    <s v="ALESSANDRO"/>
    <s v="U086336"/>
    <s v="alessandro.sartori@intesasanpaolo.com"/>
    <s v="PARMA"/>
    <s v="VIA LANGHIRANO, 1 - PAL. C - 43100 PARMA (PR)"/>
    <s v="DevOps Specialist"/>
    <s v="System Administrator"/>
    <s v="it coordinator"/>
  </r>
  <r>
    <s v="Pianificazione e Ottimizzazione Risorse"/>
    <s v="SPINA"/>
    <s v="SERGIO"/>
    <s v="U011441"/>
    <s v="sergio.spina@intesasanpaolo.com"/>
    <s v="MONCALIERI (TO)"/>
    <s v="CORSO SAVONA, 58 - 10024 MONCALIERI (TO)"/>
    <s v="System Administrator"/>
    <s v="System Administrator"/>
    <s v="Capacity &amp; Availability Specialist"/>
  </r>
  <r>
    <s v="Change Mgmt e Orchestrazione Servizi"/>
    <s v="STECCONI"/>
    <s v="GIORGIO"/>
    <s v="U085921"/>
    <s v="giorgio.stecconi@intesasanpaolo.com"/>
    <s v="PARMA"/>
    <s v="VIA LANGHIRANO, 1 - PAL. C - 43100 PARMA (PR)"/>
    <s v="System Administrator"/>
    <s v="System Administrator"/>
    <m/>
  </r>
  <r>
    <s v="Procedure Operative SIT"/>
    <s v="TALLUTO"/>
    <s v="SALVATORE"/>
    <s v="U013562"/>
    <s v="salvatore.talluto@intesasanpaolo.com"/>
    <s v="MONCALIERI (TO)"/>
    <s v="CORSO SAVONA, 58 - 10024 MONCALIERI (TO)"/>
    <s v="IT Process FM Specialist"/>
    <s v="IT Process FM Specialist"/>
    <s v="--- CONFERMATO AS IS ---"/>
  </r>
  <r>
    <s v="Tuning e Performance"/>
    <s v="TERZULLI"/>
    <s v="PIERANGELO"/>
    <s v="  "/>
    <s v="pierangelo.terzulli@intesasanpaolo.com"/>
    <s v="MONCALIERI (TO)"/>
    <s v="CORSO SAVONA, 58 - 10024 MONCALIERI (TO)"/>
    <s v="System Administrator"/>
    <e v="#N/A"/>
    <m/>
  </r>
  <r>
    <s v="Tuning e Performance"/>
    <s v="TESTA"/>
    <s v="DANILO LUIGI"/>
    <s v="U016911"/>
    <s v="danilo.testa1@intesasanpaolo.com"/>
    <s v="MONCALIERI (TO)"/>
    <s v="CORSO SAVONA, 58 - 10024 MONCALIERI (TO)"/>
    <s v="test automation specialist"/>
    <s v="System Administrator"/>
    <s v="--- CONFERMATO AS IS ---"/>
  </r>
  <r>
    <s v="Change Mgmt e Orchestrazione Servizi"/>
    <s v="TIGNONSINI"/>
    <s v="MICHELE"/>
    <s v="  "/>
    <s v="michele.tignonsini@intesasanpaolo.com"/>
    <s v="PARMA"/>
    <s v="VIA LANGHIRANO, 1 - PAL. C - 43100 PARMA (PR)"/>
    <s v="Integration Platform Specialist"/>
    <e v="#N/A"/>
    <m/>
  </r>
  <r>
    <s v="Change Mgmt e Orchestrazione Servizi"/>
    <s v="TREVISAN"/>
    <s v="DANIELA"/>
    <s v="U086339"/>
    <s v="daniela.trevisan@intesasanpaolo.com"/>
    <s v="PARMA"/>
    <s v="VIA LANGHIRANO, 1 - PAL. C - 43100 PARMA (PR)"/>
    <s v="IT Process FM Specialist"/>
    <s v="System Administrator"/>
    <m/>
  </r>
  <r>
    <s v="Change Mgmt e Orchestrazione Servizi"/>
    <s v="VILLA"/>
    <s v="SERGIO"/>
    <s v="U086333"/>
    <s v="sergio.villa@intesasanpaolo.com"/>
    <s v="PARMA"/>
    <s v="VIA LANGHIRANO, 1 - PAL. C - 43100 PARMA (PR)"/>
    <s v="System Administrator"/>
    <s v="System Administrator"/>
    <m/>
  </r>
  <r>
    <m/>
    <s v="BATTILANI"/>
    <s v="ALESSANDRO"/>
    <s v="  "/>
    <s v="alessandro.battilani@intesasanpaolo.com"/>
    <s v="PARMA"/>
    <s v="VIA LANGHIRANO, 1 - PAL. C - 43100 PARMA (PR)"/>
    <s v="  "/>
    <e v="#N/A"/>
    <m/>
  </r>
  <r>
    <s v="Gestione Operativa PR"/>
    <s v="BOTTIONI"/>
    <s v="NICOLA"/>
    <s v="U086165"/>
    <s v="nicola.bottioni@intesasanpaolo.com"/>
    <s v="PARMA"/>
    <s v="VIA LANGHIRANO, 1 - PAL. B - 43100 PARMA (PR)"/>
    <s v="IT Coordinator"/>
    <s v="IT Coordinator"/>
    <m/>
  </r>
  <r>
    <s v="Schedulazioni"/>
    <s v="FRANCESCHINIS"/>
    <s v="MARCO"/>
    <s v="U017352"/>
    <s v="marco.franceschinis@intesasanpaolo.com"/>
    <s v="MONCALIERI (TO)"/>
    <s v="CORSO SAVONA, 58 - 10024 MONCALIERI (TO)"/>
    <s v="IT Coordinator"/>
    <s v="IT Process FM Specialist"/>
    <s v="--- CONFERMATO AS IS ---"/>
  </r>
  <r>
    <s v="Gestione Ambienti di Test"/>
    <s v="GARBELLINI"/>
    <s v="MASSIMO"/>
    <s v="U035423"/>
    <s v="massimo.garbellini@intesasanpaolo.com"/>
    <s v="SARMEOLA (PD)"/>
    <s v="VIA ADIGE, 6 - SARMEOLA - 35030 RUBANO (PD)"/>
    <s v="IT Coordinator"/>
    <s v="IT Coordinator"/>
    <m/>
  </r>
  <r>
    <s v="Gestione Operativa TO"/>
    <s v="MORINO"/>
    <s v="MARIO"/>
    <s v="U009171"/>
    <s v="mario.morino@intesasanpaolo.com"/>
    <s v="MONCALIERI (TO)"/>
    <s v="CORSO SAVONA, 58 - 10024 MONCALIERI (TO)"/>
    <s v="IT Coordinator"/>
    <s v="IT Coordinator"/>
    <m/>
  </r>
  <r>
    <s v="Monitoraggio Tec e Controllo Servizi"/>
    <s v="TINAGLIA"/>
    <s v="CLAUDIO"/>
    <s v="U086407"/>
    <s v="claudio.tinaglia@intesasanpaolo.com"/>
    <s v="PARMA"/>
    <s v="VIA LANGHIRANO, 1 - PAL. B - 43100 PARMA (PR)"/>
    <s v="IT Coordinator"/>
    <s v="System Administrator"/>
    <m/>
  </r>
  <r>
    <s v="Metodi e processi operativi di schedulazione"/>
    <s v="ZILLI"/>
    <s v="MICHELE"/>
    <s v="U083741"/>
    <s v="michele.zilli@intesasanpaolo.com"/>
    <s v="PARMA"/>
    <s v="VIA LANGHIRANO, 1 - PAL. B - 43100 PARMA (PR)"/>
    <s v="IT Coordinator"/>
    <s v="IT Coordinator"/>
    <s v="it coordinator"/>
  </r>
  <r>
    <s v="Gestione Operativa TO"/>
    <s v="ALLINORO"/>
    <s v="NICOLA"/>
    <s v="U017378"/>
    <s v="nicola.allinoro@intesasanpaolo.com"/>
    <s v="MONCALIERI (TO)"/>
    <s v="CORSO SAVONA, 58 - 10024 MONCALIERI (TO)"/>
    <s v="System Administrator"/>
    <s v="System Administrator"/>
    <m/>
  </r>
  <r>
    <s v="Monitoraggio Tec e Controllo Servizi"/>
    <s v="ANDRIOLI"/>
    <s v="STEFANO"/>
    <s v="U028457"/>
    <s v="stefano.andrioli@intesasanpaolo.com"/>
    <s v="MONCALIERI (TO)"/>
    <s v="CORSO SAVONA, 58 - 10024 MONCALIERI (TO)"/>
    <s v="Monitoring Infrastructure engineer"/>
    <s v="System Administrator"/>
    <m/>
  </r>
  <r>
    <s v="Schedulazioni"/>
    <s v="AXINTE"/>
    <s v="SERGIU ANDREI"/>
    <s v="  "/>
    <s v="sergiu.axinte@intesasanpaolo.com"/>
    <s v="MONCALIERI (TO)"/>
    <s v="CORSO SAVONA, 58 - 10024 MONCALIERI (TO)"/>
    <s v="  "/>
    <e v="#N/A"/>
    <m/>
  </r>
  <r>
    <s v="Gestione Operativa PR"/>
    <s v="AZZALI"/>
    <s v="MASSIMO"/>
    <s v="U086201"/>
    <s v="massimo.azzali@intesasanpaolo.com"/>
    <s v="PARMA"/>
    <s v="VIA LANGHIRANO, 1 - PAL. B - 43100 PARMA (PR)"/>
    <s v="System Administrator"/>
    <s v="System Administrator"/>
    <m/>
  </r>
  <r>
    <s v="Gestione Operativa PR"/>
    <s v="BALZANO"/>
    <s v="FABIO"/>
    <s v="  "/>
    <s v="fabio.balzano@intesasanpaolo.com"/>
    <s v="PARMA"/>
    <s v="VIA LANGHIRANO, 1 - PAL. B - 43100 PARMA (PR)"/>
    <s v="IT Operator"/>
    <e v="#N/A"/>
    <m/>
  </r>
  <r>
    <s v="Gestione Operativa TO"/>
    <s v="BARDELLA"/>
    <s v="GIOVANNI"/>
    <s v="U019703"/>
    <s v="giovanni.bardella@intesasanpaolo.com"/>
    <s v="MONCALIERI (TO)"/>
    <s v="CORSO SAVONA, 58 - 10024 MONCALIERI (TO)"/>
    <s v="IT Operator"/>
    <s v="Operator"/>
    <m/>
  </r>
  <r>
    <s v="Schedulazioni"/>
    <s v="BARTOLI"/>
    <s v="FRANCESCO"/>
    <s v="U301161"/>
    <s v="francesco.bartoli@intesasanpaolo.com"/>
    <s v="ROMA"/>
    <s v="VIA VINCENZO LAMARO, 25 - 00173 ROMA (RM)"/>
    <s v="Scheduling Specialist"/>
    <s v="System Administrator"/>
    <m/>
  </r>
  <r>
    <s v="Gestione Ambienti di Test"/>
    <s v="BASSO"/>
    <s v="ENRICO MARIA"/>
    <s v="  "/>
    <s v="enrico.basso@intesasanpaolo.com"/>
    <s v="SARMEOLA (PD)"/>
    <s v="VIA ADIGE, 6 - SARMEOLA - 35030 RUBANO (PD)"/>
    <s v="System Administrator"/>
    <e v="#N/A"/>
    <m/>
  </r>
  <r>
    <s v="Gestione Operativa PR"/>
    <s v="BATTILOCCHI"/>
    <s v="TIZIANO"/>
    <s v="U086194"/>
    <s v="tiziano.battilocchi@intesasanpaolo.com"/>
    <s v="PARMA"/>
    <s v="VIA LANGHIRANO, 1 - PAL. B - 43100 PARMA (PR)"/>
    <s v="IT Operator"/>
    <s v="Operator"/>
    <m/>
  </r>
  <r>
    <s v="Schedulazioni"/>
    <s v="BAUDUCCO"/>
    <s v="MICHELA"/>
    <s v="U028056"/>
    <s v="michela.bauducco@intesasanpaolo.com"/>
    <s v="MONCALIERI (TO)"/>
    <s v="CORSO SAVONA, 58 - 10024 MONCALIERI (TO)"/>
    <s v="Scheduling Specialist"/>
    <s v="System Administrator"/>
    <m/>
  </r>
  <r>
    <s v="Gestione Ambienti di Test"/>
    <s v="BELLE"/>
    <s v="LORENZO"/>
    <s v="U035495"/>
    <s v="lorenzo.belle@intesasanpaolo.com"/>
    <s v="SARMEOLA (PD)"/>
    <s v="VIA ADIGE, 6 - SARMEOLA - 35030 RUBANO (PD)"/>
    <s v="System Administrator"/>
    <s v="System Administrator"/>
    <m/>
  </r>
  <r>
    <s v="Gestione Operativa TO"/>
    <s v="BERNARDELLI"/>
    <s v="CLAUDIO"/>
    <s v="U017349"/>
    <s v="claudio.bernardelli@intesasanpaolo.com"/>
    <s v="MONCALIERI (TO)"/>
    <s v="CORSO SAVONA, 58 - 10024 MONCALIERI (TO)"/>
    <s v="System Administrator"/>
    <s v="System Administrator"/>
    <m/>
  </r>
  <r>
    <s v="Monitoraggio Tec e Controllo Servizi"/>
    <s v="BERTI"/>
    <s v="BRUNO"/>
    <s v="U035876"/>
    <s v="bruno.berti@intesasanpaolo.com"/>
    <s v="SARMEOLA (PD)"/>
    <s v="VIA ADIGE, 6 - SARMEOLA - 35030 RUBANO (PD)"/>
    <s v="Monitoring Infrastructure engineer"/>
    <s v="System Administrator"/>
    <m/>
  </r>
  <r>
    <s v="Gestione Ambienti di Test"/>
    <s v="BETTIN"/>
    <s v="ANDREA"/>
    <s v="U035878"/>
    <s v="andrea.bettin@intesasanpaolo.com"/>
    <s v="SARMEOLA (PD)"/>
    <s v="VIA ADIGE, 6 - SARMEOLA - 35030 RUBANO (PD)"/>
    <s v="System Administrator"/>
    <s v="System Administrator"/>
    <m/>
  </r>
  <r>
    <s v="Gestione Operativa TO"/>
    <s v="BISCUOLA"/>
    <s v="DIEGO"/>
    <s v="U030107"/>
    <s v="diego.biscuola@intesasanpaolo.com"/>
    <s v="MONCALIERI (TO)"/>
    <s v="CORSO SAVONA, 58 - 10024 MONCALIERI (TO)"/>
    <s v="IT Operator"/>
    <s v="Operator"/>
    <m/>
  </r>
  <r>
    <s v="Gestione Operativa TO"/>
    <s v="BOCCHIO"/>
    <s v="PAOLO"/>
    <s v="U016443"/>
    <s v="paolo.bocchio@intesasanpaolo.com"/>
    <s v="MONCALIERI (TO)"/>
    <s v="CORSO SAVONA, 58 - 10024 MONCALIERI (TO)"/>
    <s v="System Administrator"/>
    <s v="System Administrator"/>
    <m/>
  </r>
  <r>
    <s v="Metodi e processi operativi di schedulazione"/>
    <s v="BORRINI"/>
    <s v="MASSIMO"/>
    <s v="U086163"/>
    <s v="massimo.borrini@intesasanpaolo.com"/>
    <s v="PARMA"/>
    <s v="VIA LANGHIRANO, 1 - PAL. B - 43100 PARMA (PR)"/>
    <s v="System Administrator"/>
    <s v="System Administrator"/>
    <m/>
  </r>
  <r>
    <s v="Gestione Operativa PR"/>
    <s v="BRUSEGHINI"/>
    <s v="LUCA"/>
    <s v="  "/>
    <s v="luca.bruseghini@intesasanpaolo.com"/>
    <s v="PARMA"/>
    <s v="VIA LANGHIRANO, 1 - PAL. B - 43100 PARMA (PR)"/>
    <s v="IT Operator"/>
    <e v="#N/A"/>
    <m/>
  </r>
  <r>
    <s v="Metodi e processi operativi di schedulazione"/>
    <s v="CALABRESE"/>
    <s v="BRUNO"/>
    <s v="U073515"/>
    <s v="bruno.calabrese@intesasanpaolo.com"/>
    <s v="NAPOLI"/>
    <s v="VIA G. MARCONI, 15 - 80125 NAPOLI (NA)"/>
    <s v="System Administrator"/>
    <s v="System Administrator"/>
    <m/>
  </r>
  <r>
    <s v="Gestione Operativa PR"/>
    <s v="CAPUANO"/>
    <s v="CRESCENZO"/>
    <s v="  "/>
    <s v="crescenzo.capuano@intesasanpaolo.com"/>
    <s v="PARMA"/>
    <s v="VIA LANGHIRANO, 1 - PAL. B - 43100 PARMA (PR)"/>
    <s v="IT Operator"/>
    <e v="#N/A"/>
    <m/>
  </r>
  <r>
    <s v="Metodi e processi operativi di schedulazione"/>
    <s v="CATALLO"/>
    <s v="GIOVANNI"/>
    <s v="  "/>
    <s v="giovanni.catallo@intesasanpaolo.com"/>
    <s v="FIRENZE"/>
    <s v="VIA CARLO MAGNO, 7 - 50127 FIRENZE (FI)"/>
    <s v="IT Operator"/>
    <e v="#N/A"/>
    <m/>
  </r>
  <r>
    <s v="Gestione Operativa PR"/>
    <s v="CAVALCA"/>
    <s v="DAVIDE"/>
    <s v="U086174"/>
    <s v="davide.cavalca@intesasanpaolo.com"/>
    <s v="PARMA"/>
    <s v="VIA LANGHIRANO, 1 - PAL. B - 43100 PARMA (PR)"/>
    <s v="IT Operator"/>
    <s v="Operator"/>
    <m/>
  </r>
  <r>
    <s v="Metodi e processi operativi di schedulazione"/>
    <s v="CAVALLI"/>
    <s v="LUCIANO"/>
    <s v="U086176"/>
    <s v="luciano.cavalli@intesasanpaolo.com"/>
    <s v="PARMA"/>
    <s v="VIA LANGHIRANO, 1 - PAL. B - 43100 PARMA (PR)"/>
    <s v="IT Operator"/>
    <s v="Operator"/>
    <m/>
  </r>
  <r>
    <s v="Gestione Ambienti di Test"/>
    <s v="CENTENARO"/>
    <s v="PIERGIORGIO"/>
    <s v="U035902"/>
    <s v="piergiorgio.centenaro@intesasanpaolo.com"/>
    <s v="SARMEOLA (PD)"/>
    <s v="VIA ADIGE, 6 - SARMEOLA - 35030 RUBANO (PD)"/>
    <s v="System Administrator"/>
    <s v="System Administrator"/>
    <m/>
  </r>
  <r>
    <s v="Schedulazioni"/>
    <s v="CHIARELLA"/>
    <s v="LUCA"/>
    <s v="  "/>
    <s v="luca.chiarella@intesasanpaolo.com"/>
    <s v="MONCALIERI (TO)"/>
    <s v="CORSO SAVONA, 58 - 10024 MONCALIERI (TO)"/>
    <s v="IT Operator"/>
    <e v="#N/A"/>
    <m/>
  </r>
  <r>
    <s v="Gestione Ambienti di Test"/>
    <s v="CIRIELLO"/>
    <s v="STEFANO"/>
    <s v="U035910"/>
    <s v="stefano.ciriello@intesasanpaolo.com"/>
    <s v="SARMEOLA (PD)"/>
    <s v="VIA ADIGE, 6 - SARMEOLA - 35030 RUBANO (PD)"/>
    <s v="System Administrator"/>
    <s v="System Administrator"/>
    <m/>
  </r>
  <r>
    <s v="Gestione Operativa PR"/>
    <s v="COMELLI"/>
    <s v="ANDREA"/>
    <s v="U086278"/>
    <s v="andrea.comelli@intesasanpaolo.com"/>
    <s v="PARMA"/>
    <s v="VIA LANGHIRANO, 1 - PAL. B - 43100 PARMA (PR)"/>
    <s v="System Administrator"/>
    <s v="System Administrator"/>
    <m/>
  </r>
  <r>
    <s v="Gestione Operativa TO"/>
    <s v="DE MARTINO"/>
    <s v="EMILIO"/>
    <s v="  "/>
    <s v="emilio.demartino@intesasanpaolo.com"/>
    <s v="MONCALIERI (TO)"/>
    <s v="CORSO SAVONA, 58 - 10024 MONCALIERI (TO)"/>
    <s v="IT Operator"/>
    <e v="#N/A"/>
    <m/>
  </r>
  <r>
    <s v="Schedulazioni"/>
    <s v="DE MARTINO"/>
    <s v="FRANCESCO"/>
    <s v="  "/>
    <s v="francesco.demartino1@intesasanpaolo.com"/>
    <s v="MONCALIERI (TO)"/>
    <s v="CORSO SAVONA, 58 - 10024 MONCALIERI (TO)"/>
    <s v="Scheduling Specialist"/>
    <e v="#N/A"/>
    <m/>
  </r>
  <r>
    <s v="Metodi e processi operativi di schedulazione"/>
    <s v="DELFINI"/>
    <s v="DANIELE"/>
    <s v="U086371"/>
    <s v="daniele.delfini@intesasanpaolo.com"/>
    <s v="PARMA"/>
    <s v="VIA LANGHIRANO, 1 - PAL. B - 43100 PARMA (PR)"/>
    <s v="Automation Specialist"/>
    <s v="Project Manager"/>
    <m/>
  </r>
  <r>
    <s v="Gestione Ambienti di Test"/>
    <s v="DELLA BELLA"/>
    <s v="ARMANDO"/>
    <s v="U086374"/>
    <s v="armando.dellabella@intesasanpaolo.com"/>
    <s v="SARMEOLA (PD)"/>
    <s v="VIA ADIGE, 6 - SARMEOLA - 35030 RUBANO (PD)"/>
    <s v="no def"/>
    <s v="no def"/>
    <m/>
  </r>
  <r>
    <s v="Schedulazioni"/>
    <s v="DI GIROLAMO"/>
    <s v="LUIGI"/>
    <s v="U301196"/>
    <s v="luigi.digirolamo@intesasanpaolo.com"/>
    <s v="ROMA"/>
    <s v="VIA VINCENZO LAMARO, 25 - 00173 ROMA (RM)"/>
    <s v="Scheduling Specialist"/>
    <s v="Operator"/>
    <m/>
  </r>
  <r>
    <s v="Metodi e processi operativi di schedulazione"/>
    <s v="DI MAIO"/>
    <s v="ROBERTO"/>
    <s v="U075440"/>
    <s v="roberto.dimaio@intesasanpaolo.com"/>
    <s v="NAPOLI"/>
    <s v="VIA G. MARCONI, 15 - 80125 NAPOLI (NA)"/>
    <s v="Project Manager "/>
    <s v="System Administrator"/>
    <m/>
  </r>
  <r>
    <s v="Gestione Ambienti di Test"/>
    <s v="DI MEO"/>
    <s v="STEFANO"/>
    <s v="U035922"/>
    <s v="stefano.dimeo@intesasanpaolo.com"/>
    <s v="SARMEOLA (PD)"/>
    <s v="VIA ADIGE, 6 - SARMEOLA - 35030 RUBANO (PD)"/>
    <s v="System Administrator"/>
    <s v="System Administrator"/>
    <m/>
  </r>
  <r>
    <s v="Gestione Operativa TO"/>
    <s v="DIMONTE"/>
    <s v="ALESSANDRO"/>
    <s v="U024529"/>
    <s v="alessandro.dimonte@intesasanpaolo.com"/>
    <s v="MONCALIERI (TO)"/>
    <s v="CORSO SAVONA, 58 - 10024 MONCALIERI (TO)"/>
    <s v="IT Operator"/>
    <s v="Operator"/>
    <m/>
  </r>
  <r>
    <s v="Schedulazioni"/>
    <s v="DRAGOS"/>
    <s v="GEORGE ANDREAS"/>
    <s v="  "/>
    <s v="george.dragos@intesasanpaolo.com"/>
    <s v="MONCALIERI (TO)"/>
    <s v="CORSO SAVONA, 58 - 10024 MONCALIERI (TO)"/>
    <s v="IT Operator"/>
    <e v="#N/A"/>
    <m/>
  </r>
  <r>
    <s v="Monitoraggio Tec e Controllo Servizi"/>
    <s v="ESTIENNE"/>
    <s v="LORENZO"/>
    <s v="  "/>
    <s v="lorenzo.estienne@intesasanpaolo.com"/>
    <s v="MONCALIERI (TO)"/>
    <s v="CORSO SAVONA, 58 - 10024 MONCALIERI (TO)"/>
    <s v="Monitoring Infrastructure engineer"/>
    <e v="#N/A"/>
    <m/>
  </r>
  <r>
    <s v="Gestione Operativa TO"/>
    <s v="FALBO"/>
    <s v="FRANCESCO"/>
    <s v="U029425"/>
    <s v="francesco.falbo@intesasanpaolo.com"/>
    <s v="MONCALIERI (TO)"/>
    <s v="CORSO SAVONA, 58 - 10024 MONCALIERI (TO)"/>
    <s v="System Administrator"/>
    <s v="System Administrator"/>
    <m/>
  </r>
  <r>
    <s v="Gestione Ambienti di Test"/>
    <s v="FORNER"/>
    <s v="DANIELE"/>
    <s v="U035935"/>
    <s v="daniele.forner@intesasanpaolo.com"/>
    <s v="SARMEOLA (PD)"/>
    <s v="VIA ADIGE, 6 - SARMEOLA - 35030 RUBANO (PD)"/>
    <s v="Data Base Administrator"/>
    <s v="Data Base Administrator"/>
    <m/>
  </r>
  <r>
    <s v="Schedulazioni"/>
    <s v="FULLI"/>
    <s v="WALTER"/>
    <s v="U301211"/>
    <s v="walter.fulli@intesasanpaolo.com"/>
    <s v="ROMA"/>
    <s v="VIA VINCENZO LAMARO, 25 - 00173 ROMA (RM)"/>
    <s v="Scheduling Specialist"/>
    <s v="Operator"/>
    <m/>
  </r>
  <r>
    <s v="Gestione Operativa PR"/>
    <s v="GALEOTTI"/>
    <s v="SIMONE"/>
    <s v="  "/>
    <s v="simone.galeotti@intesasanpaolo.com"/>
    <s v="PARMA"/>
    <s v="VIA LANGHIRANO, 1 - PAL. B - 43100 PARMA (PR)"/>
    <s v="IT Operator"/>
    <e v="#N/A"/>
    <m/>
  </r>
  <r>
    <s v="Gestione Operativa PR"/>
    <s v="GAVARINI"/>
    <s v="PIERGIORGIO"/>
    <s v="U086386"/>
    <s v="piergiorgio.gavarini@intesasanpaolo.com"/>
    <s v="PARMA"/>
    <s v="VIA LANGHIRANO, 1 - PAL. B - 43100 PARMA (PR)"/>
    <s v="IT Operator"/>
    <s v="Operator"/>
    <m/>
  </r>
  <r>
    <s v="Gestione Operativa PR"/>
    <s v="GHINELLI"/>
    <s v="GIORGIO"/>
    <s v="U086380"/>
    <s v="giorgio.ghinelli@intesasanpaolo.com"/>
    <s v="PARMA"/>
    <s v="VIA LANGHIRANO, 1 - PAL. B - 43100 PARMA (PR)"/>
    <s v="System Administrator"/>
    <s v="System Administrator"/>
    <m/>
  </r>
  <r>
    <s v="Gestione Operativa TO"/>
    <s v="GIAIMO"/>
    <s v="DANIELE"/>
    <s v="  "/>
    <s v="daniele.giaimo@intesasanpaolo.com"/>
    <s v="MONCALIERI (TO)"/>
    <s v="CORSO SAVONA, 58 - 10024 MONCALIERI (TO)"/>
    <s v="IT Operator"/>
    <e v="#N/A"/>
    <m/>
  </r>
  <r>
    <s v="Schedulazioni"/>
    <s v="GIARDINI"/>
    <s v="LUCIANO"/>
    <s v="U301215"/>
    <s v="luciano.giardini@intesasanpaolo.com"/>
    <s v="ROMA"/>
    <s v="VIA VINCENZO LAMARO, 25 - 00173 ROMA (RM)"/>
    <s v="IT Operator"/>
    <s v="System Administrator"/>
    <m/>
  </r>
  <r>
    <s v="Gestione Ambienti di Test"/>
    <s v="GIARETTA"/>
    <s v="MARIO"/>
    <s v="  "/>
    <s v="mario.giaretta@intesasanpaolo.com"/>
    <s v="SARMEOLA (PD)"/>
    <s v="VIA ADIGE, 6 - SARMEOLA - 35030 RUBANO (PD)"/>
    <s v="System Administrator"/>
    <e v="#N/A"/>
    <m/>
  </r>
  <r>
    <s v="Schedulazioni"/>
    <s v="GIBILISCO"/>
    <s v="SEBASTIANO"/>
    <s v="  "/>
    <s v="sebastiano.gibilisco@intesasanpaolo.com"/>
    <s v="MONCALIERI (TO)"/>
    <s v="CORSO SAVONA, 58 - 10024 MONCALIERI (TO)"/>
    <s v="IT Operator"/>
    <e v="#N/A"/>
    <m/>
  </r>
  <r>
    <s v="Schedulazioni"/>
    <s v="GORI"/>
    <s v="MARCO"/>
    <s v="U301217"/>
    <s v="marco.gori@intesasanpaolo.com"/>
    <s v="ROMA"/>
    <s v="VIA VINCENZO LAMARO, 25 - 00173 ROMA (RM)"/>
    <s v="Scheduling Specialist"/>
    <s v="Operator"/>
    <m/>
  </r>
  <r>
    <s v="Gestione Operativa PR"/>
    <s v="GORLA"/>
    <s v="DARIO"/>
    <s v="U086402"/>
    <s v="dario.gorla@intesasanpaolo.com"/>
    <s v="PARMA"/>
    <s v="VIA LANGHIRANO, 1 - PAL. B - 43100 PARMA (PR)"/>
    <s v="IT Operator"/>
    <s v="Operator"/>
    <m/>
  </r>
  <r>
    <s v="Metodi e processi operativi di schedulazione"/>
    <s v="GRASSI"/>
    <s v="GIULIANO"/>
    <s v="U076716"/>
    <s v="giuliano.grassi@intesasanpaolo.com"/>
    <s v="NAPOLI"/>
    <s v="VIA G. MARCONI, 15 - 80125 NAPOLI (NA)"/>
    <s v="IT Operator"/>
    <s v="Operator"/>
    <m/>
  </r>
  <r>
    <s v="Gestione Ambienti di Test"/>
    <s v="GUGLIELMI"/>
    <s v="LINTER"/>
    <s v="U035516"/>
    <s v="linter.guglielmi@intesasanpaolo.com"/>
    <s v="SARMEOLA (PD)"/>
    <s v="VIA ADIGE, 6 - SARMEOLA - 35030 RUBANO (PD)"/>
    <s v="System Administrator"/>
    <s v="System Administrator"/>
    <m/>
  </r>
  <r>
    <s v="Metodi e processi operativi di schedulazione"/>
    <s v="GUIDA"/>
    <s v="ANDREA VINCENZO"/>
    <s v="  "/>
    <s v="andrea.guida@intesasanpaolo.com"/>
    <s v="PARMA"/>
    <s v="VIA LANGHIRANO, 1 - PAL. B - 43100 PARMA (PR)"/>
    <s v="System Administrator"/>
    <e v="#N/A"/>
    <s v="Automation Specialist"/>
  </r>
  <r>
    <s v="Gestione Operativa PR"/>
    <s v="IACONO"/>
    <s v="ROBERTO"/>
    <s v="  "/>
    <s v="roberto.iacono@intesasanpaolo.com"/>
    <s v="PARMA"/>
    <s v="VIA LANGHIRANO, 1 - PAL. B - 43100 PARMA (PR)"/>
    <s v="IT Operator"/>
    <e v="#N/A"/>
    <m/>
  </r>
  <r>
    <s v="Gestione Operativa PR"/>
    <s v="IANNUZZI"/>
    <s v="TOMMASO"/>
    <s v="  "/>
    <s v="tommaso.iannuzzi@intesasanpaolo.com"/>
    <s v="PARMA"/>
    <s v="VIA LANGHIRANO, 1 - PAL. B - 43100 PARMA (PR)"/>
    <s v="IT Operator"/>
    <e v="#N/A"/>
    <m/>
  </r>
  <r>
    <s v="Monitoraggio Tec e Controllo Servizi"/>
    <s v="KUNTSYAK"/>
    <s v="YURIY"/>
    <s v="  "/>
    <s v="yuriy.kuntsyak@intesasanpaolo.com"/>
    <s v="PARMA"/>
    <s v="VIA LANGHIRANO, 1 - PAL. B - 43100 PARMA (PR)"/>
    <s v="Monitoring Infrastructure engineer"/>
    <e v="#N/A"/>
    <m/>
  </r>
  <r>
    <s v="Gestione Operativa PR"/>
    <s v="LOI"/>
    <s v="RUGGERO"/>
    <s v="U086403"/>
    <s v="ruggero.loi@intesasanpaolo.com"/>
    <s v="PARMA"/>
    <s v="VIA LANGHIRANO, 1 - PAL. B - 43100 PARMA (PR)"/>
    <s v="IT Operator"/>
    <s v="Operator"/>
    <m/>
  </r>
  <r>
    <s v="Gestione Ambienti di Test"/>
    <s v="LOREGGIAN"/>
    <s v="ANTONIO"/>
    <s v="U035492"/>
    <s v="antonio.loreggian@intesasanpaolo.com"/>
    <s v="SARMEOLA (PD)"/>
    <s v="VIA ADIGE, 6 - SARMEOLA - 35030 RUBANO (PD)"/>
    <s v="System Administrator"/>
    <s v="System Administrator"/>
    <m/>
  </r>
  <r>
    <s v="Gestione Operativa TO"/>
    <s v="LUCCO NAVEI"/>
    <s v="DONATO"/>
    <s v="U014154"/>
    <s v="donato.lucconavei@intesasanpaolo.com"/>
    <s v="MONCALIERI (TO)"/>
    <s v="CORSO SAVONA, 58 - 10024 MONCALIERI (TO)"/>
    <s v="IT Operator"/>
    <s v="Operator"/>
    <m/>
  </r>
  <r>
    <s v="Gestione Operativa PR"/>
    <s v="LUPI"/>
    <s v="GIACOMO"/>
    <s v="  "/>
    <s v="giacomo.lupi@intesasanpaolo.com"/>
    <s v="PARMA"/>
    <s v="VIA LANGHIRANO, 1 - PAL. B - 43100 PARMA (PR)"/>
    <s v="IT Operator"/>
    <e v="#N/A"/>
    <m/>
  </r>
  <r>
    <s v="Schedulazioni"/>
    <s v="MAIA"/>
    <s v="ALESSANDRO"/>
    <s v="U019266"/>
    <s v="alessandro.maia@intesasanpaolo.com"/>
    <s v="MONCALIERI (TO)"/>
    <s v="CORSO SAVONA, 58 - 10024 MONCALIERI (TO)"/>
    <s v="Scheduling Specialist"/>
    <s v="Operator"/>
    <m/>
  </r>
  <r>
    <s v="Gestione Operativa PR"/>
    <s v="MAINI"/>
    <s v="ALESSANDRO"/>
    <s v="  "/>
    <s v="alessandro.maini@intesasanpaolo.com"/>
    <s v="PARMA"/>
    <s v="VIA LANGHIRANO, 1 - PAL. B - 43100 PARMA (PR)"/>
    <s v="IT Operator"/>
    <e v="#N/A"/>
    <m/>
  </r>
  <r>
    <s v="Gestione Operativa PR"/>
    <s v="MARANZONI"/>
    <s v="PAOLO"/>
    <s v="U086356"/>
    <s v="paolo.maranzoni@intesasanpaolo.com"/>
    <s v="PARMA"/>
    <s v="VIA LANGHIRANO, 1 - PAL. B - 43100 PARMA (PR)"/>
    <s v="System Administrator"/>
    <s v="System Administrator"/>
    <m/>
  </r>
  <r>
    <s v="Gestione Operativa TO"/>
    <s v="MARI"/>
    <s v="VALTER"/>
    <s v="U013614"/>
    <s v="valter.mari@intesasanpaolo.com"/>
    <s v="MONCALIERI (TO)"/>
    <s v="CORSO SAVONA, 58 - 10024 MONCALIERI (TO)"/>
    <s v="System Administrator"/>
    <s v="System Administrator"/>
    <m/>
  </r>
  <r>
    <s v="Gestione Ambienti di Test"/>
    <s v="MARIN"/>
    <s v="MARCO"/>
    <s v="U035504"/>
    <s v="marco.marin@intesasanpaolo.com"/>
    <s v="SARMEOLA (PD)"/>
    <s v="VIA ADIGE, 6 - SARMEOLA - 35030 RUBANO (PD)"/>
    <s v="System Administrator"/>
    <s v="System Administrator"/>
    <m/>
  </r>
  <r>
    <s v="Schedulazioni"/>
    <s v="MARTINA"/>
    <s v="FABIO"/>
    <s v="  "/>
    <s v="fabio.martina@intesasanpaolo.com"/>
    <s v="MONCALIERI (TO)"/>
    <s v="CORSO SAVONA, 58 - 10024 MONCALIERI (TO)"/>
    <s v="IT Operator"/>
    <e v="#N/A"/>
    <m/>
  </r>
  <r>
    <s v="Gestione Operativa PR"/>
    <s v="MILARDI"/>
    <s v="ANGELO"/>
    <s v="  "/>
    <s v="angelo.milardi@intesasanpaolo.com"/>
    <s v="PARMA"/>
    <s v="VIA LANGHIRANO, 1 - PAL. B - 43100 PARMA (PR)"/>
    <s v="IT Operator"/>
    <e v="#N/A"/>
    <m/>
  </r>
  <r>
    <s v="Schedulazioni"/>
    <s v="MITTICA"/>
    <s v="GIUSEPPE"/>
    <s v="U015440"/>
    <s v="giuseppe.mittica@intesasanpaolo.com"/>
    <s v="MONCALIERI (TO)"/>
    <s v="CORSO SAVONA, 58 - 10024 MONCALIERI (TO)"/>
    <s v="Scheduling Specialist"/>
    <s v="Operator"/>
    <m/>
  </r>
  <r>
    <s v="Schedulazioni"/>
    <s v="MORANDO"/>
    <s v="ROBERTO"/>
    <s v="U013003"/>
    <s v="roberto.morando@intesasanpaolo.com"/>
    <s v="MONCALIERI (TO)"/>
    <s v="CORSO SAVONA, 58 - 10024 MONCALIERI (TO)"/>
    <s v="Scheduling Specialist"/>
    <s v="Operator"/>
    <m/>
  </r>
  <r>
    <s v="Gestione Operativa PR"/>
    <s v="MURGIA"/>
    <s v="FABIO"/>
    <s v="  "/>
    <s v="fabio.murgia@intesasanpaolo.com"/>
    <s v="PARMA"/>
    <s v="VIA LANGHIRANO, 1 - PAL. B - 43100 PARMA (PR)"/>
    <s v="IT Operator"/>
    <e v="#N/A"/>
    <m/>
  </r>
  <r>
    <s v="Gestione Operativa TO"/>
    <s v="MUSELLA"/>
    <s v="LIVIO"/>
    <s v="U015936"/>
    <s v="livio.musella@intesasanpaolo.com"/>
    <s v="MONCALIERI (TO)"/>
    <s v="CORSO SAVONA, 58 - 10024 MONCALIERI (TO)"/>
    <s v="IT Operator"/>
    <s v="Operator"/>
    <m/>
  </r>
  <r>
    <s v="Metodi e processi operativi di schedulazione"/>
    <s v="NARDUCCI"/>
    <s v="MAURO"/>
    <s v="U078582"/>
    <s v="mauro.narducci@intesasanpaolo.com"/>
    <s v="NAPOLI"/>
    <s v="VIA G. MARCONI, 15 - 80125 NAPOLI (NA)"/>
    <s v="IT Operator"/>
    <s v="Operator"/>
    <m/>
  </r>
  <r>
    <s v="Monitoraggio Tec e Controllo Servizi"/>
    <s v="PAGAN"/>
    <s v="RICCARDO"/>
    <s v="U036001"/>
    <s v="riccardo.pagan@intesasanpaolo.com"/>
    <s v="SARMEOLA (PD)"/>
    <s v="VIA ADIGE, 6 - SARMEOLA - 35030 RUBANO (PD)"/>
    <s v="Monitoring Infrastructure engineer"/>
    <s v="System Administrator"/>
    <m/>
  </r>
  <r>
    <s v="Gestione Operativa PR"/>
    <s v="PARODI"/>
    <s v="MASSIMO TOMASO"/>
    <s v="U086390"/>
    <s v="massimo.parodi@intesasanpaolo.com"/>
    <s v="PARMA"/>
    <s v="VIA LANGHIRANO, 1 - PAL. B - 43100 PARMA (PR)"/>
    <s v="IT Operator"/>
    <s v="Operator"/>
    <m/>
  </r>
  <r>
    <s v="Gestione Operativa PR"/>
    <s v="PELLERZI"/>
    <s v="MATTEO"/>
    <s v="U086412"/>
    <s v="matteo.pellerzi@intesasanpaolo.com"/>
    <s v="PARMA"/>
    <s v="VIA LANGHIRANO, 1 - PAL. B - 43100 PARMA (PR)"/>
    <s v="IT Operator"/>
    <s v="Operator"/>
    <m/>
  </r>
  <r>
    <s v="Monitoraggio Tec e Controllo Servizi"/>
    <s v="PIANTONI"/>
    <s v="LUCIANO"/>
    <s v="U017373"/>
    <s v="luciano.piantoni@intesasanpaolo.com"/>
    <s v="MONCALIERI (TO)"/>
    <s v="CORSO SAVONA, 58 - 10024 MONCALIERI (TO)"/>
    <s v="N/A"/>
    <s v="Operator"/>
    <m/>
  </r>
  <r>
    <s v="Gestione Operativa TO"/>
    <s v="PIAZZA"/>
    <s v="ALDO"/>
    <s v="U017376"/>
    <s v="aldo.piazza@intesasanpaolo.com"/>
    <s v="MONCALIERI (TO)"/>
    <s v="CORSO SAVONA, 58 - 10024 MONCALIERI (TO)"/>
    <s v="System Administrator"/>
    <s v="System Administrator"/>
    <m/>
  </r>
  <r>
    <s v="Monitoraggio Tec e Controllo Servizi"/>
    <s v="PIAZZA"/>
    <s v="MIRKO"/>
    <s v="  "/>
    <s v="mirko.piazza@intesasanpaolo.com"/>
    <s v="PARMA"/>
    <s v="VIA LANGHIRANO, 1 - PAL. B - 43100 PARMA (PR)"/>
    <s v="Monitoring Infrastructure engineer"/>
    <e v="#N/A"/>
    <m/>
  </r>
  <r>
    <s v="Schedulazioni"/>
    <s v="PIZZIGATI"/>
    <s v="MARCO"/>
    <s v="U020437"/>
    <s v="marco.pizzigati@intesasanpaolo.com"/>
    <s v="MONCALIERI (TO)"/>
    <s v="CORSO SAVONA, 58 - 10024 MONCALIERI (TO)"/>
    <s v="Scheduling Specialist"/>
    <s v="System Administrator"/>
    <m/>
  </r>
  <r>
    <s v="Schedulazioni"/>
    <s v="POMPONI"/>
    <s v="MARCO"/>
    <s v="U301253"/>
    <s v="marco.pomponi@intesasanpaolo.com"/>
    <s v="ROMA"/>
    <s v="VIA VINCENZO LAMARO, 25 - 00173 ROMA (RM)"/>
    <s v="Scheduling Specialist"/>
    <s v="System Administrator"/>
    <m/>
  </r>
  <r>
    <s v="Gestione Operativa PR"/>
    <s v="PONZI"/>
    <s v="FABIO"/>
    <s v="U093155"/>
    <s v="fabio.ponzi@intesasanpaolo.com"/>
    <s v="PARMA"/>
    <s v="VIA LANGHIRANO, 1 - PAL. B - 43100 PARMA (PR)"/>
    <s v="System Administrator"/>
    <s v="System Administrator"/>
    <m/>
  </r>
  <r>
    <s v="Gestione Operativa TO"/>
    <s v="QUATTROCOLO"/>
    <s v="CARLO"/>
    <s v="  "/>
    <s v="carlo.quattrocolo@intesasanpaolo.com"/>
    <s v="MONCALIERI (TO)"/>
    <s v="CORSO SAVONA, 58 - 10024 MONCALIERI (TO)"/>
    <s v="IT Operator"/>
    <e v="#N/A"/>
    <m/>
  </r>
  <r>
    <s v="Gestione Operativa TO"/>
    <s v="RACITI"/>
    <s v="ORAZIO"/>
    <s v="U028466"/>
    <s v="orazio.raciti@intesasanpaolo.com"/>
    <s v="MONCALIERI (TO)"/>
    <s v="CORSO SAVONA, 58 - 10024 MONCALIERI (TO)"/>
    <s v="IT Operator"/>
    <s v="Operator"/>
    <m/>
  </r>
  <r>
    <s v="Gestione Operativa PR"/>
    <s v="RAITERI"/>
    <s v="DANIELE"/>
    <s v="U086401"/>
    <s v="daniele.raiteri@intesasanpaolo.com"/>
    <s v="PARMA"/>
    <s v="VIA LANGHIRANO, 1 - PAL. B - 43100 PARMA (PR)"/>
    <s v="System Administrator"/>
    <s v="System Administrator"/>
    <m/>
  </r>
  <r>
    <s v="Monitoraggio Tec e Controllo Servizi"/>
    <s v="RAPITI"/>
    <s v="DENIS CHRISTIAN"/>
    <s v="  "/>
    <s v="denis.rapiti@intesasanpaolo.com"/>
    <s v="PARMA"/>
    <s v="VIA LANGHIRANO, 1 - PAL. B - 43100 PARMA (PR)"/>
    <s v="Monitoring Infrastructure engineer"/>
    <e v="#N/A"/>
    <m/>
  </r>
  <r>
    <s v="Gestione Operativa TO"/>
    <s v="RAVASIO"/>
    <s v="FABRIZIO"/>
    <s v="U023764"/>
    <s v="fabrizio.ravasio@intesasanpaolo.com"/>
    <s v="MONCALIERI (TO)"/>
    <s v="CORSO SAVONA, 58 - 10024 MONCALIERI (TO)"/>
    <s v="IT Operator"/>
    <s v="Operator"/>
    <m/>
  </r>
  <r>
    <s v="Gestione Operativa PR"/>
    <s v="ROBUSCHI"/>
    <s v="MARCO"/>
    <s v="U086422"/>
    <s v="marco.robuschi@intesasanpaolo.com"/>
    <s v="PARMA"/>
    <s v="VIA LANGHIRANO, 1 - PAL. B - 43100 PARMA (PR)"/>
    <s v="System Administrator"/>
    <s v="System Administrator"/>
    <m/>
  </r>
  <r>
    <s v="Metodi e processi operativi di schedulazione"/>
    <s v="ROCCA"/>
    <s v="PAOLO"/>
    <s v="U086294"/>
    <s v="paolo.rocca1@intesasanpaolo.com"/>
    <s v="PARMA"/>
    <s v="VIA LANGHIRANO, 1 - PAL. B - 43100 PARMA (PR)"/>
    <s v="System Administrator"/>
    <s v="System Administrator"/>
    <m/>
  </r>
  <r>
    <s v="Gestione Operativa TO"/>
    <s v="ROMEO"/>
    <s v="GABRIELE"/>
    <s v="U025470"/>
    <s v="gabriele.romeo@intesasanpaolo.com"/>
    <s v="MONCALIERI (TO)"/>
    <s v="CORSO SAVONA, 58 - 10024 MONCALIERI (TO)"/>
    <s v="System Administrator"/>
    <s v="System Administrator"/>
    <m/>
  </r>
  <r>
    <s v="Gestione Operativa PR"/>
    <s v="ROSSETTI"/>
    <s v="MARCO"/>
    <s v="U086424"/>
    <s v="marco.rossetti@intesasanpaolo.com"/>
    <s v="PARMA"/>
    <s v="VIA LANGHIRANO, 1 - PAL. B - 43100 PARMA (PR)"/>
    <s v="System Administrator"/>
    <s v="System Administrator"/>
    <m/>
  </r>
  <r>
    <s v="Gestione Operativa PR"/>
    <s v="ROTELLI"/>
    <s v="MARCELLO"/>
    <s v="U086425"/>
    <s v="marcello.rotelli@intesasanpaolo.com"/>
    <s v="PARMA"/>
    <s v="VIA LANGHIRANO, 1 - PAL. B - 43100 PARMA (PR)"/>
    <s v="System Administrator"/>
    <s v="System Administrator"/>
    <m/>
  </r>
  <r>
    <s v="Gestione Operativa TO"/>
    <s v="RUSSO"/>
    <s v="MAURO"/>
    <s v="U017350"/>
    <s v="mauro.russo@intesasanpaolo.com"/>
    <s v="MONCALIERI (TO)"/>
    <s v="CORSO SAVONA, 58 - 10024 MONCALIERI (TO)"/>
    <s v="System Administrator"/>
    <s v="System Administrator"/>
    <m/>
  </r>
  <r>
    <s v="Gestione Operativa TO"/>
    <s v="SALVINI"/>
    <s v="LUCA"/>
    <s v="U028001"/>
    <s v="luca.salvini@intesasanpaolo.com"/>
    <s v="MONCALIERI (TO)"/>
    <s v="CORSO SAVONA, 58 - 10024 MONCALIERI (TO)"/>
    <s v="IT Operator"/>
    <s v="Operator"/>
    <m/>
  </r>
  <r>
    <s v="Gestione Operativa TO"/>
    <s v="SAMPIETRO"/>
    <s v="LEONARDO"/>
    <s v="U010815"/>
    <s v="leonardo.sampietro@intesasanpaolo.com"/>
    <s v="MONCALIERI (TO)"/>
    <s v="CORSO SAVONA, 58 - 10024 MONCALIERI (TO)"/>
    <s v="IT Operator"/>
    <s v="Operator"/>
    <m/>
  </r>
  <r>
    <s v="Schedulazioni"/>
    <s v="SARDO"/>
    <s v="ANDREA"/>
    <s v="U301271"/>
    <s v="andrea.sardo@intesasanpaolo.com"/>
    <s v="ROMA"/>
    <s v="VIA VINCENZO LAMARO, 25 - 00173 ROMA (RM)"/>
    <s v="IT Operator"/>
    <s v="System Administrator"/>
    <m/>
  </r>
  <r>
    <s v="Metodi e processi operativi di schedulazione"/>
    <s v="SAVANI"/>
    <s v="PIERLUIGI"/>
    <s v="U083740"/>
    <s v="pierluigi.savani@intesasanpaolo.com"/>
    <s v="PARMA"/>
    <s v="VIA LANGHIRANO, 1 - PAL. B - 43100 PARMA (PR)"/>
    <s v="Automation Specialist"/>
    <s v="System Administrator"/>
    <m/>
  </r>
  <r>
    <s v="Gestione Operativa PR"/>
    <s v="SCACCAGLIA"/>
    <s v="LUCA"/>
    <s v="U086428"/>
    <s v="luca.scaccaglia@intesasanpaolo.com"/>
    <s v="PARMA"/>
    <s v="VIA LANGHIRANO, 1 - PAL. B - 43100 PARMA (PR)"/>
    <s v="IT Operator"/>
    <s v="Operator"/>
    <m/>
  </r>
  <r>
    <s v="Monitoraggio Tec e Controllo Servizi"/>
    <s v="SCARICA"/>
    <s v="EUGENIO"/>
    <s v="  "/>
    <s v="eugenio.scarica@intesasanpaolo.com"/>
    <s v="PARMA"/>
    <s v="VIA LANGHIRANO, 1 - PAL. B - 43100 PARMA (PR)"/>
    <s v="Monitoring Infrastructure engineer"/>
    <e v="#N/A"/>
    <m/>
  </r>
  <r>
    <s v="Schedulazioni"/>
    <s v="SCHEMBRI"/>
    <s v="ANGELO"/>
    <s v="U301273"/>
    <s v="angelo.schembri@intesasanpaolo.com"/>
    <s v="ROMA"/>
    <s v="VIA VINCENZO LAMARO, 25 - 00173 ROMA (RM)"/>
    <s v="Scheduling Specialist"/>
    <s v="Operator"/>
    <m/>
  </r>
  <r>
    <s v="Gestione Ambienti di Test"/>
    <s v="SCIACOVELLI"/>
    <s v="MICHELE"/>
    <s v="U035629"/>
    <s v="michele.sciacovelli@intesasanpaolo.com"/>
    <s v="SARMEOLA (PD)"/>
    <s v="VIA ADIGE, 6 - SARMEOLA - 35030 RUBANO (PD)"/>
    <s v="System Administrator"/>
    <s v="System Administrator"/>
    <m/>
  </r>
  <r>
    <s v="Gestione Ambienti di Test"/>
    <s v="SECCHIERO"/>
    <s v="DAMIANO"/>
    <s v="U035493"/>
    <s v="damiano.secchiero@intesasanpaolo.com"/>
    <s v="SARMEOLA (PD)"/>
    <s v="VIA ADIGE, 6 - SARMEOLA - 35030 RUBANO (PD)"/>
    <s v="System Administrator"/>
    <s v="System Administrator"/>
    <m/>
  </r>
  <r>
    <s v="Monitoraggio Tec e Controllo Servizi"/>
    <s v="SIMIONATO"/>
    <s v="ALESSANDRO"/>
    <s v="  "/>
    <s v="alessandro.simionato@intesasanpaolo.com"/>
    <s v="SARMEOLA (PD)"/>
    <s v="VIA ADIGE, 6 - SARMEOLA - 35030 RUBANO (PD)"/>
    <s v="Project Manager "/>
    <e v="#N/A"/>
    <m/>
  </r>
  <r>
    <s v="Gestione Operativa TO"/>
    <s v="SOCCI"/>
    <s v="ALBERTO"/>
    <s v="U013066"/>
    <s v="alberto.socci@intesasanpaolo.com"/>
    <s v="MONCALIERI (TO)"/>
    <s v="CORSO SAVONA, 58 - 10024 MONCALIERI (TO)"/>
    <s v="IT Operator"/>
    <s v="Operator"/>
    <m/>
  </r>
  <r>
    <s v="Metodi e processi operativi di schedulazione"/>
    <s v="SOMMA"/>
    <s v="ALFREDO"/>
    <s v="U073732"/>
    <s v="alfredo.somma@intesasanpaolo.com"/>
    <s v="NAPOLI"/>
    <s v="VIA G. MARCONI, 15 - 80125 NAPOLI (NA)"/>
    <s v="IT Operator"/>
    <s v="Operator"/>
    <m/>
  </r>
  <r>
    <s v="Schedulazioni"/>
    <s v="TEMPO"/>
    <s v="DANIELE"/>
    <s v="  "/>
    <s v="daniele.tempo@intesasanpaolo.com"/>
    <s v="MONCALIERI (TO)"/>
    <s v="CORSO SAVONA, 58 - 10024 MONCALIERI (TO)"/>
    <s v="IT Operator"/>
    <e v="#N/A"/>
    <m/>
  </r>
  <r>
    <s v="Gestione Operativa TO"/>
    <s v="TOLVE"/>
    <s v="OTTAVIO"/>
    <s v="U015149"/>
    <s v="ottavio.tolve@intesasanpaolo.com"/>
    <s v="MONCALIERI (TO)"/>
    <s v="CORSO SAVONA, 58 - 10024 MONCALIERI (TO)"/>
    <s v="IT Operator"/>
    <s v="Operator"/>
    <m/>
  </r>
  <r>
    <s v="Gestione Operativa TO"/>
    <s v="TONELLO"/>
    <s v="ALESSIO"/>
    <s v="  "/>
    <s v="alessio.tonello@intesasanpaolo.com"/>
    <s v="MONCALIERI (TO)"/>
    <s v="CORSO SAVONA, 58 - 10024 MONCALIERI (TO)"/>
    <s v="IT Operator"/>
    <e v="#N/A"/>
    <m/>
  </r>
  <r>
    <s v="Gestione Operativa TO"/>
    <s v="TRAFICANTE"/>
    <s v="MICHELE"/>
    <s v="U025659"/>
    <s v="michele.traficante@intesasanpaolo.com"/>
    <s v="MONCALIERI (TO)"/>
    <s v="CORSO SAVONA, 58 - 10024 MONCALIERI (TO)"/>
    <s v="IT Operator"/>
    <s v="Operator"/>
    <m/>
  </r>
  <r>
    <s v="Gestione Operativa PR"/>
    <s v="UBALDI"/>
    <s v="LEONARDO"/>
    <s v="U086391"/>
    <s v="leonardo.ubaldi@intesasanpaolo.com"/>
    <s v="PARMA"/>
    <s v="VIA LANGHIRANO, 1 - PAL. B - 43100 PARMA (PR)"/>
    <s v="N/A"/>
    <s v="Operator"/>
    <m/>
  </r>
  <r>
    <s v="Metodi e processi operativi di schedulazione"/>
    <s v="UBALDINI"/>
    <s v="LUIGI"/>
    <s v="U077880"/>
    <s v="luigi.ubaldini@intesasanpaolo.com"/>
    <s v="NAPOLI"/>
    <s v="VIA G. MARCONI, 15 - 80125 NAPOLI (NA)"/>
    <s v="System Administrator"/>
    <s v="Operator"/>
    <m/>
  </r>
  <r>
    <s v="Gestione Operativa TO"/>
    <s v="VALPREDA"/>
    <s v="PAOLO"/>
    <s v="  "/>
    <s v="paolo.valpreda@intesasanpaolo.com"/>
    <s v="MONCALIERI (TO)"/>
    <s v="CORSO SAVONA, 58 - 10024 MONCALIERI (TO)"/>
    <s v="IT Operator"/>
    <e v="#N/A"/>
    <m/>
  </r>
  <r>
    <s v="Gestione Operativa TO"/>
    <s v="VERNERO"/>
    <s v="BRUNO"/>
    <s v="U019481"/>
    <s v="bruno.vernero@intesasanpaolo.com"/>
    <s v="MONCALIERI (TO)"/>
    <s v="CORSO SAVONA, 58 - 10024 MONCALIERI (TO)"/>
    <s v="IT Operator"/>
    <s v="Operator"/>
    <m/>
  </r>
  <r>
    <s v="Gestione Operativa PR"/>
    <s v="VERONA"/>
    <s v="ANDREA"/>
    <s v="  "/>
    <s v="andrea.verona@intesasanpaolo.com"/>
    <s v="PARMA"/>
    <s v="VIA LANGHIRANO, 1 - PAL. B - 43100 PARMA (PR)"/>
    <s v="IT Operator"/>
    <e v="#N/A"/>
    <m/>
  </r>
  <r>
    <s v="Gestione Ambienti di Test"/>
    <s v="VILLA"/>
    <s v="DANIELE"/>
    <s v="U035457"/>
    <s v="daniele.villa@intesasanpaolo.com"/>
    <s v="SARMEOLA (PD)"/>
    <s v="VIA ADIGE, 6 - SARMEOLA - 35030 RUBANO (PD)"/>
    <s v="System Administrator"/>
    <s v="System Administrator"/>
    <m/>
  </r>
  <r>
    <s v="Schedulazioni"/>
    <s v="VINTUR"/>
    <s v="ABEL"/>
    <s v="  "/>
    <s v="abel.vintur@intesasanpaolo.com"/>
    <s v="MONCALIERI (TO)"/>
    <s v="CORSO SAVONA, 58 - 10024 MONCALIERI (TO)"/>
    <s v="IT Operator"/>
    <e v="#N/A"/>
    <m/>
  </r>
  <r>
    <s v="Schedulazioni"/>
    <s v="VISCUSO"/>
    <s v="ROBERTO"/>
    <s v="U301294"/>
    <s v="roberto.viscuso@intesasanpaolo.com"/>
    <s v="ROMA"/>
    <s v="VIA VINCENZO LAMARO, 25 - 00173 ROMA (RM)"/>
    <s v="Scheduling Specialist"/>
    <s v="Operator"/>
    <m/>
  </r>
  <r>
    <s v="Gestione Ambienti di Test"/>
    <s v="ZAMPIERI"/>
    <s v="MARIA GABRIELLA"/>
    <s v="U035353"/>
    <s v="maria.zampieri@intesasanpaolo.com"/>
    <s v="SARMEOLA (PD)"/>
    <s v="VIA ADIGE, 6 - SARMEOLA - 35030 RUBANO (PD)"/>
    <s v="System Administrator"/>
    <s v="System Administrator"/>
    <m/>
  </r>
  <r>
    <s v="Gestione Ambienti di Test"/>
    <s v="ZEN"/>
    <s v="ANTONIO"/>
    <s v="U035403"/>
    <s v="antonio.zen@intesasanpaolo.com"/>
    <s v="SARMEOLA (PD)"/>
    <s v="VIA ADIGE, 6 - SARMEOLA - 35030 RUBANO (PD)"/>
    <s v="System Administrator"/>
    <s v="System Administrator"/>
    <m/>
  </r>
  <r>
    <s v="Schedulazioni"/>
    <s v="ZOVKO"/>
    <s v="JURE"/>
    <s v="  "/>
    <s v="jure.zovko@intesasanpaolo.com"/>
    <s v="MONCALIERI (TO)"/>
    <s v="CORSO SAVONA, 58 - 10024 MONCALIERI (TO)"/>
    <s v="IT Operator"/>
    <e v="#N/A"/>
    <m/>
  </r>
  <r>
    <m/>
    <s v="CAROTTI"/>
    <s v="NICOLA"/>
    <s v="U023866"/>
    <s v="nicola.carotti@intesasanpaolo.com"/>
    <s v="MONCALIERI (TO)"/>
    <s v="CORSO SAVONA, 58 - 10024 MONCALIERI (TO)"/>
    <s v="IT Coordinator"/>
    <s v="IT Coordinator"/>
    <m/>
  </r>
  <r>
    <s v="Servizi Cloud"/>
    <s v="BRUNO"/>
    <s v="ALESSANDRO"/>
    <s v="U363857"/>
    <s v="alessandro.bruno2@intesasanpaolo.com"/>
    <s v="MONCALIERI (TO)"/>
    <s v="CORSO SAVONA, 58 - 10024 MONCALIERI (TO)"/>
    <s v="Project Manager "/>
    <s v="Project Manager"/>
    <m/>
  </r>
  <r>
    <s v="Collaboration"/>
    <s v="CREA"/>
    <s v="ANDREA"/>
    <s v="U018270"/>
    <s v="andrea.crea@intesasanpaolo.com"/>
    <s v="MONCALIERI (TO)"/>
    <s v="CORSO SAVONA, 58 - 10024 MONCALIERI (TO)"/>
    <s v="IT Coordinator"/>
    <s v="IT Coordinator"/>
    <m/>
  </r>
  <r>
    <s v="Strumenti Gestionali SIT"/>
    <s v="PAQUOLA"/>
    <s v="GABRIELE"/>
    <s v="U018942"/>
    <s v="gabriele.paquola@intesasanpaolo.com"/>
    <s v="MONCALIERI (TO)"/>
    <s v="CORSO SAVONA, 58 - 10024 MONCALIERI (TO)"/>
    <s v="IT Coordinator"/>
    <s v="IT Coordinator"/>
    <m/>
  </r>
  <r>
    <s v="Collaboration"/>
    <s v="ANDREANI"/>
    <s v="RINO"/>
    <s v="U052308"/>
    <s v="rino.andreani@intesasanpaolo.com"/>
    <s v="MONCALIERI (TO)"/>
    <s v="CORSO SAVONA, 58 - 10024 MONCALIERI (TO)"/>
    <s v="Collaboration Specialist"/>
    <s v="System Administrator"/>
    <m/>
  </r>
  <r>
    <s v="Collaboration"/>
    <s v="BONTEMPO"/>
    <s v="ROBERTO"/>
    <s v="  "/>
    <s v="roberto.bontempo@intesasanpaolo.com"/>
    <s v="MONTEBELLUNA (TV)"/>
    <s v="VIA FELTRINA SUD, 250 - 31044 MONTEBELLUNA (TV)"/>
    <s v="IT Coordinator"/>
    <e v="#N/A"/>
    <m/>
  </r>
  <r>
    <s v="Collaboration"/>
    <s v="CALTAGIRONE"/>
    <s v="MARCO"/>
    <s v="  "/>
    <s v="marco.caltagirone@intesasanpaolo.com"/>
    <s v="MONCALIERI (TO)"/>
    <s v="CORSO SAVONA, 58 - 10024 MONCALIERI (TO)"/>
    <s v="Collaboration Specialist"/>
    <e v="#N/A"/>
    <m/>
  </r>
  <r>
    <s v="Strumenti Gestionali SIT"/>
    <s v="CATALANOTTO"/>
    <s v="SALVATORE"/>
    <s v="U015891"/>
    <s v="salvatore.catalanotto@intesasanpaolo.com"/>
    <s v="MONCALIERI (TO)"/>
    <s v="CORSO SAVONA, 58 - 10024 MONCALIERI (TO)"/>
    <s v="Infrastructure Data Scientist "/>
    <s v="System Administrator"/>
    <m/>
  </r>
  <r>
    <s v="Collaboration"/>
    <s v="CULCASI"/>
    <s v="ANTONIO"/>
    <s v="  "/>
    <s v="antonio.culcasi@intesasanpaolo.com"/>
    <s v="MONCALIERI (TO)"/>
    <s v="CORSO SAVONA, 58 - 10024 MONCALIERI (TO)"/>
    <s v="Collaboration Specialist"/>
    <e v="#N/A"/>
    <m/>
  </r>
  <r>
    <s v="Strumenti Gestionali SIT"/>
    <s v="D'ABROSCA"/>
    <s v="ANGELO"/>
    <s v="U028060"/>
    <s v="angelo.dabrosca@intesasanpaolo.com"/>
    <s v="MONCALIERI (TO)"/>
    <s v="CORSO SAVONA, 58 - 10024 MONCALIERI (TO)"/>
    <s v="System Administrator"/>
    <s v="System Administrator"/>
    <m/>
  </r>
  <r>
    <s v="Servizi Cloud"/>
    <s v="DE DOMENICO"/>
    <s v="SAMUELE"/>
    <s v="  "/>
    <s v="samuele.dedomenico@intesasanpaolo.com"/>
    <s v="MONCALIERI (TO)"/>
    <s v="CORSO SAVONA, 58 - 10024 MONCALIERI (TO)"/>
    <s v="Cloud Service Broker specialist"/>
    <e v="#N/A"/>
    <m/>
  </r>
  <r>
    <s v="Strumenti Gestionali SIT"/>
    <s v="FIORAVAZZI"/>
    <s v="MARTA"/>
    <s v="  "/>
    <s v="marta.fioravazzi@intesasanpaolo.com"/>
    <s v="MONCALIERI (TO)"/>
    <s v="CORSO SAVONA, 58 - 10024 MONCALIERI (TO)"/>
    <s v="DevOps Specialist"/>
    <e v="#N/A"/>
    <m/>
  </r>
  <r>
    <s v="Collaboration"/>
    <s v="FORNASIER"/>
    <s v="SANDRO"/>
    <s v="  "/>
    <s v="sandro.fornasier@intesasanpaolo.com"/>
    <s v="MONTEBELLUNA (TV)"/>
    <s v="VIA FELTRINA SUD, 250 - 31044 MONTEBELLUNA (TV)"/>
    <s v="Collaboration Specialist"/>
    <e v="#N/A"/>
    <m/>
  </r>
  <r>
    <s v="Collaboration"/>
    <s v="FRATELLO"/>
    <s v="YOSHIKA SERENA"/>
    <s v="  "/>
    <s v="yoshika.fratello@intesasanpaolo.com"/>
    <s v="MONCALIERI (TO)"/>
    <s v="CORSO SAVONA, 58 - 10024 MONCALIERI (TO)"/>
    <s v="Collaboration Specialist"/>
    <e v="#N/A"/>
    <m/>
  </r>
  <r>
    <s v="Collaboration"/>
    <s v="FUSARO"/>
    <s v="DAVIDE"/>
    <s v="  "/>
    <s v="davide.fusaro@intesasanpaolo.com"/>
    <s v="MONCALIERI (TO)"/>
    <s v="CORSO SAVONA, 58 - 10024 MONCALIERI (TO)"/>
    <s v="N/A"/>
    <e v="#N/A"/>
    <m/>
  </r>
  <r>
    <s v="Strumenti Gestionali SIT"/>
    <s v="GIACONE GRIVA"/>
    <s v="LUCIANO"/>
    <s v="U020735"/>
    <s v="luciano.giaconegriva@intesasanpaolo.com"/>
    <s v="MONCALIERI (TO)"/>
    <s v="CORSO SAVONA, 58 - 10024 MONCALIERI (TO)"/>
    <s v="System Administrator"/>
    <s v="System Administrator"/>
    <m/>
  </r>
  <r>
    <s v="Servizi Cloud"/>
    <s v="GIOMMONI"/>
    <s v="LUCA"/>
    <s v="  "/>
    <s v="luca.giommoni@intesasanpaolo.com"/>
    <s v="MONCALIERI (TO)"/>
    <s v="CORSO SAVONA, 58 - 10024 MONCALIERI (TO)"/>
    <s v="Cloud Service Broker specialist"/>
    <e v="#N/A"/>
    <m/>
  </r>
  <r>
    <s v="Collaboration"/>
    <s v="GIRARDI"/>
    <s v="NICOLA"/>
    <s v="  "/>
    <s v="nicola.girardi@intesasanpaolo.com"/>
    <s v="MONTEBELLUNA (TV)"/>
    <s v="VIA FELTRINA SUD, 250 - 31044 MONTEBELLUNA (TV)"/>
    <s v="Collaboration Specialist"/>
    <e v="#N/A"/>
    <m/>
  </r>
  <r>
    <s v="Collaboration"/>
    <s v="GRASSO"/>
    <s v="ENRICO GIUSEPPE"/>
    <s v="  "/>
    <s v="enrico.grasso@intesasanpaolo.com"/>
    <s v="MONCALIERI (TO)"/>
    <s v="CORSO SAVONA, 58 - 10024 MONCALIERI (TO)"/>
    <s v="Service Owner"/>
    <e v="#N/A"/>
    <m/>
  </r>
  <r>
    <s v="Strumenti Gestionali SIT"/>
    <s v="KHAN"/>
    <s v="SHARJEEL HAYAT"/>
    <s v="  "/>
    <s v="sharjeel.khan@intesasanpaolo.com"/>
    <s v="MONCALIERI (TO)"/>
    <s v="CORSO SAVONA, 58 - 10024 MONCALIERI (TO)"/>
    <s v="System Administrator"/>
    <e v="#N/A"/>
    <m/>
  </r>
  <r>
    <s v="Collaboration"/>
    <s v="LUISE"/>
    <s v="MARCO"/>
    <s v="  "/>
    <s v="marco.luise@intesasanpaolo.com"/>
    <s v="MONTEBELLUNA (TV)"/>
    <s v="VIA FELTRINA SUD, 250 - 31044 MONTEBELLUNA (TV)"/>
    <s v="Collaboration Specialist"/>
    <e v="#N/A"/>
    <m/>
  </r>
  <r>
    <s v="Strumenti Gestionali SIT"/>
    <s v="MAROCCO"/>
    <s v="SILVIA"/>
    <s v="  "/>
    <s v="silvia.marocco@intesasanpaolo.com"/>
    <s v="MONCALIERI (TO)"/>
    <s v="CORSO SAVONA, 58 - 10024 MONCALIERI (TO)"/>
    <s v="PaaS &amp; Container Specialist"/>
    <e v="#N/A"/>
    <m/>
  </r>
  <r>
    <s v="Strumenti Gestionali SIT"/>
    <s v="MARRA"/>
    <s v="FEDERICA"/>
    <s v="  "/>
    <s v="federica.marra@intesasanpaolo.com"/>
    <s v="MONCALIERI (TO)"/>
    <s v="CORSO SAVONA, 58 - 10024 MONCALIERI (TO)"/>
    <s v="PaaS &amp; Container Specialist"/>
    <e v="#N/A"/>
    <m/>
  </r>
  <r>
    <s v="Collaboration"/>
    <s v="MARSIGLIA"/>
    <s v="FULVIO"/>
    <s v="  "/>
    <s v="fulvio.marsiglia@intesasanpaolo.com"/>
    <s v="MONCALIERI (TO)"/>
    <s v="CORSO SAVONA, 58 - 10024 MONCALIERI (TO)"/>
    <s v="Collaboration Specialist"/>
    <e v="#N/A"/>
    <m/>
  </r>
  <r>
    <s v="Strumenti Gestionali SIT"/>
    <s v="MARTINETTO"/>
    <s v="ROBERTO"/>
    <s v="U015820"/>
    <s v="roberto.martinetto@intesasanpaolo.com"/>
    <s v="MONCALIERI (TO)"/>
    <s v="CORSO SAVONA, 58 - 10024 MONCALIERI (TO)"/>
    <s v="Infrastructure Architect"/>
    <s v="System Administrator"/>
    <m/>
  </r>
  <r>
    <s v="Collaboration"/>
    <s v="MASULLO"/>
    <s v="MARIANO"/>
    <s v="  "/>
    <s v="mariano.masullo@intesasanpaolo.com"/>
    <s v="MONTEBELLUNA (TV)"/>
    <s v="VIA FELTRINA SUD, 250 - 31044 MONTEBELLUNA (TV)"/>
    <s v="Service Owner"/>
    <e v="#N/A"/>
    <m/>
  </r>
  <r>
    <s v="Strumenti Gestionali SIT"/>
    <s v="MENCHETTI"/>
    <s v="FRANCESCO"/>
    <s v="  "/>
    <s v="francesco.menchetti@intesasanpaolo.com"/>
    <s v="MONCALIERI (TO)"/>
    <s v="CORSO SAVONA, 58 - 10024 MONCALIERI (TO)"/>
    <s v="DevOps Specialist"/>
    <e v="#N/A"/>
    <m/>
  </r>
  <r>
    <s v="Collaboration"/>
    <s v="MILANESIO"/>
    <s v="ENZO"/>
    <s v="  "/>
    <s v="enzo.milanesio@intesasanpaolo.com"/>
    <s v="MONCALIERI (TO)"/>
    <s v="CORSO SAVONA, 58 - 10024 MONCALIERI (TO)"/>
    <s v="N/A"/>
    <e v="#N/A"/>
    <m/>
  </r>
  <r>
    <s v="Collaboration"/>
    <s v="NICOLATI"/>
    <s v="ALESSANDRO"/>
    <s v="  "/>
    <s v="alessandro.nicolati@intesasanpaolo.com"/>
    <s v="MONTEBELLUNA (TV)"/>
    <s v="VIA FELTRINA SUD, 250 - 31044 MONTEBELLUNA (TV)"/>
    <s v="Collaboration Specialist"/>
    <e v="#N/A"/>
    <m/>
  </r>
  <r>
    <s v="Collaboration"/>
    <s v="OLIVIERO"/>
    <s v="ANDREA"/>
    <s v="U015889"/>
    <s v="andrea.oliviero@intesasanpaolo.com"/>
    <s v="MONCALIERI (TO)"/>
    <s v="CORSO SAVONA, 58 - 10024 MONCALIERI (TO)"/>
    <s v="Collaboration Specialist"/>
    <s v="System Administrator"/>
    <m/>
  </r>
  <r>
    <s v="Collaboration"/>
    <s v="PAVAN"/>
    <s v="FRANCESCO"/>
    <s v="  "/>
    <s v="francesco.pavan@intesasanpaolo.com"/>
    <s v="MONTEBELLUNA (TV)"/>
    <s v="VIA FELTRINA SUD, 250 - 31044 MONTEBELLUNA (TV)"/>
    <s v="Collaboration Specialist"/>
    <e v="#N/A"/>
    <m/>
  </r>
  <r>
    <s v="Strumenti Gestionali SIT"/>
    <s v="PECA"/>
    <s v="MARCO"/>
    <s v="U023960"/>
    <s v="marco.peca@intesasanpaolo.com"/>
    <s v="MONCALIERI (TO)"/>
    <s v="CORSO SAVONA, 58 - 10024 MONCALIERI (TO)"/>
    <s v="Service Owner"/>
    <s v="System Administrator"/>
    <m/>
  </r>
  <r>
    <s v="Strumenti Gestionali SIT"/>
    <s v="PUCCIO"/>
    <s v="LEANDRO"/>
    <s v="U026403"/>
    <s v="leandro.puccio@intesasanpaolo.com"/>
    <s v="MONCALIERI (TO)"/>
    <s v="CORSO SAVONA, 58 - 10024 MONCALIERI (TO)"/>
    <s v="Project Manager "/>
    <s v="System Administrator"/>
    <m/>
  </r>
  <r>
    <s v="Strumenti Gestionali SIT"/>
    <s v="RICHIARDI"/>
    <s v="ANDREA"/>
    <s v="  "/>
    <s v="andrea.richiardi@intesasanpaolo.com"/>
    <s v="MONCALIERI (TO)"/>
    <s v="CORSO SAVONA, 58 - 10024 MONCALIERI (TO)"/>
    <s v="Collaboration Specialist"/>
    <e v="#N/A"/>
    <m/>
  </r>
  <r>
    <s v="Collaboration"/>
    <s v="RUBINI"/>
    <s v="ALESSIO"/>
    <s v="  "/>
    <s v="alessio.rubini@intesasanpaolo.com"/>
    <s v="MONCALIERI (TO)"/>
    <s v="CORSO SAVONA, 58 - 10024 MONCALIERI (TO)"/>
    <s v="Collaboration Specialist"/>
    <e v="#N/A"/>
    <m/>
  </r>
  <r>
    <s v="Collaboration"/>
    <s v="SCIALPI"/>
    <s v="GREGORIO"/>
    <s v="U024477"/>
    <s v="gregorio.scialpi@intesasanpaolo.com"/>
    <s v="MONCALIERI (TO)"/>
    <s v="CORSO SAVONA, 58 - 10024 MONCALIERI (TO)"/>
    <s v="Infrastructure Architect"/>
    <s v="System Administrator"/>
    <m/>
  </r>
  <r>
    <s v="Collaboration"/>
    <s v="SUMA"/>
    <s v="ALESSIA"/>
    <s v="  "/>
    <s v="alessia.suma@intesasanpaolo.com"/>
    <s v="MONCALIERI (TO)"/>
    <s v="CORSO SAVONA, 58 - 10024 MONCALIERI (TO)"/>
    <s v="Service Owner"/>
    <e v="#N/A"/>
    <m/>
  </r>
  <r>
    <s v="Strumenti Gestionali SIT"/>
    <s v="VARVELLI"/>
    <s v="LORENZO"/>
    <s v="  "/>
    <s v="lorenzo.varvelli@intesasanpaolo.com"/>
    <s v="MONCALIERI (TO)"/>
    <s v="CORSO SAVONA, 58 - 10024 MONCALIERI (TO)"/>
    <s v="Infrastructure Data Scientist "/>
    <e v="#N/A"/>
    <m/>
  </r>
  <r>
    <s v="Servizi Cloud"/>
    <s v="VIBRATI"/>
    <s v="FEDERICO"/>
    <s v="  "/>
    <s v="federico.vibrati@intesasanpaolo.com"/>
    <s v="MONCALIERI (TO)"/>
    <s v="CORSO SAVONA, 58 - 10024 MONCALIERI (TO)"/>
    <s v="Cloud Service Broker specialist"/>
    <e v="#N/A"/>
    <m/>
  </r>
  <r>
    <s v="Servizi Cloud"/>
    <s v="VILLARI"/>
    <s v="GIUSEPPE"/>
    <s v="  "/>
    <s v="giuseppe.villari@intesasanpaolo.com"/>
    <s v="MONCALIERI (TO)"/>
    <s v="CORSO SAVONA, 58 - 10024 MONCALIERI (TO)"/>
    <s v="Cloud Service Broker specialist"/>
    <e v="#N/A"/>
    <m/>
  </r>
  <r>
    <s v="Collaboration"/>
    <s v="VINCELLI"/>
    <s v="LUCA"/>
    <s v="  "/>
    <s v="luca.vincelli@intesasanpaolo.com"/>
    <s v="MONCALIERI (TO)"/>
    <s v="CORSO SAVONA, 58 - 10024 MONCALIERI (TO)"/>
    <s v="Collaboration Specialist"/>
    <e v="#N/A"/>
    <m/>
  </r>
  <r>
    <s v="Strumenti Gestionali SIT"/>
    <s v="VITTONE"/>
    <s v="DAMIANO"/>
    <s v="  "/>
    <s v="damiano.vittone@intesasanpaolo.com"/>
    <s v="MONCALIERI (TO)"/>
    <s v="CORSO SAVONA, 58 - 10024 MONCALIERI (TO)"/>
    <s v="DevOps Specialist"/>
    <e v="#N/A"/>
    <m/>
  </r>
  <r>
    <s v="Collaboration"/>
    <s v="ZAMPINO"/>
    <s v="GIUSEPPE"/>
    <s v="  "/>
    <s v="giuseppe.zampino@intesasanpaolo.com"/>
    <s v="MONTEBELLUNA (TV)"/>
    <s v="VIA FELTRINA SUD, 250 - 31044 MONTEBELLUNA (TV)"/>
    <s v="Collaboration Specialist"/>
    <e v="#N/A"/>
    <m/>
  </r>
</pivotCacheRecords>
</file>

<file path=xl/pivotCache/pivotCacheRecords2.xml><?xml version="1.0" encoding="utf-8"?>
<pivotCacheRecords xmlns="http://schemas.openxmlformats.org/spreadsheetml/2006/main" xmlns:r="http://schemas.openxmlformats.org/officeDocument/2006/relationships" count="829">
  <r>
    <s v="CAPO UFFICIO"/>
    <x v="0"/>
    <m/>
    <s v="FILIPPI"/>
    <s v="DANILO"/>
    <s v="U023790"/>
    <s v="danilo.filippi@intesasanpaolo.com"/>
    <s v="MONCALIERI (TO)"/>
    <s v="CORSO SAVONA, 58 - 10024 MONCALIERI (TO)"/>
    <m/>
    <s v="IT Coordinator"/>
    <m/>
    <x v="0"/>
  </r>
  <r>
    <m/>
    <x v="0"/>
    <s v="Transition e Innovation"/>
    <s v="FERRARI"/>
    <s v="MASSIMO AGOSTINO"/>
    <s v="U085934"/>
    <s v="massimo.ferrari2@intesasanpaolo.com"/>
    <s v="BISCEGLIE (MI)"/>
    <s v="VIA BISCEGLIE, 120 - 20152 MILANO (MI)"/>
    <s v="Transition Specialist"/>
    <s v="Project Manager"/>
    <s v="Program Manager"/>
    <x v="1"/>
  </r>
  <r>
    <m/>
    <x v="0"/>
    <s v="Transition e Innovation"/>
    <s v="GIULIANO"/>
    <s v="MARGHERITA"/>
    <s v="U018941"/>
    <s v="margherita.giuliano@intesasanpaolo.com"/>
    <s v="MONCALIERI (TO)"/>
    <s v="CORSO SAVONA, 58 - 10024 MONCALIERI (TO)"/>
    <s v="IT Process FM Specialist"/>
    <s v="IT Process FM Specialist"/>
    <s v="--- CONFERMATO AS IS ---"/>
    <x v="2"/>
  </r>
  <r>
    <m/>
    <x v="0"/>
    <s v="Transition e Innovation"/>
    <s v="LAROCCA"/>
    <s v="PIER VITTORIO"/>
    <s v="  "/>
    <s v="piervittorio.larocca@intesasanpaolo.com"/>
    <s v="MONCALIERI (TO)"/>
    <s v="CORSO SAVONA, 58 - 10024 MONCALIERI (TO)"/>
    <s v="N/A"/>
    <e v="#N/A"/>
    <s v="N/A"/>
    <x v="0"/>
  </r>
  <r>
    <m/>
    <x v="0"/>
    <s v="Transition e Innovation"/>
    <s v="MANGIARUGA"/>
    <s v="CHRISTOPHER"/>
    <s v="  "/>
    <s v="christopher.mangiaruga@intesasanpaolo.com"/>
    <s v="MONCALIERI (TO)"/>
    <s v="CORSO SAVONA, 58 - 10024 MONCALIERI (TO)"/>
    <s v="IT Process FM Specialist"/>
    <e v="#N/A"/>
    <s v="N/A"/>
    <x v="0"/>
  </r>
  <r>
    <m/>
    <x v="0"/>
    <s v="Transition e Innovation"/>
    <s v="PRIOR"/>
    <s v="ALBERTO"/>
    <s v="  "/>
    <s v="alberto.prior@intesasanpaolo.com"/>
    <s v="MONTEBELLUNA (TV)"/>
    <s v="VIA FELTRINA SUD, 250 - 31044 MONTEBELLUNA (TV)"/>
    <s v="N/A"/>
    <e v="#N/A"/>
    <s v="N/A"/>
    <x v="0"/>
  </r>
  <r>
    <m/>
    <x v="0"/>
    <s v="Transition e Innovation"/>
    <s v="SCHILLACI"/>
    <s v="ANDREA"/>
    <s v="  "/>
    <s v="andrea.schillaci@intesasanpaolo.com"/>
    <s v="BISCEGLIE (MI)"/>
    <s v="VIA BISCEGLIE, 120 - 20152 MILANO (MI)"/>
    <s v="Transition Specialist"/>
    <e v="#N/A"/>
    <s v="Project Manager "/>
    <x v="1"/>
  </r>
  <r>
    <m/>
    <x v="0"/>
    <s v="Transition e Innovation"/>
    <s v="VAROTTO"/>
    <s v="ROBERTO"/>
    <s v="U085922"/>
    <s v="roberto.varotto@intesasanpaolo.com"/>
    <s v="BISCEGLIE (MI)"/>
    <s v="VIA BISCEGLIE, 120 - 20152 MILANO (MI)"/>
    <s v="Project Manager "/>
    <s v="Project Manager"/>
    <s v="--- CONFERMATO AS IS ---"/>
    <x v="2"/>
  </r>
  <r>
    <s v="CAPO UFFICIO"/>
    <x v="1"/>
    <m/>
    <s v="PECCHIA"/>
    <s v="MAURIZIO"/>
    <s v="  "/>
    <s v="maurizio.pecchia@intesasanpaolo.com"/>
    <s v="BISCEGLIE (MI)"/>
    <s v="VIA BISCEGLIE, 120 - 20152 MILANO (MI)"/>
    <s v="  "/>
    <e v="#N/A"/>
    <m/>
    <x v="0"/>
  </r>
  <r>
    <s v="COORDINATORE COA"/>
    <x v="1"/>
    <s v="Gest. Arch. Banca IMI, Risk, Tesoreria"/>
    <s v="ALBERTINI"/>
    <s v="PAOLO"/>
    <s v="U086187"/>
    <s v="paolo.albertini1@intesasanpaolo.com"/>
    <s v="BISCEGLIE (MI)"/>
    <s v="VIA BISCEGLIE, 120 - 20152 MILANO (MI)"/>
    <s v="IT Coordinator"/>
    <s v="IT Coordinator"/>
    <m/>
    <x v="0"/>
  </r>
  <r>
    <s v="COORDINATORE COA"/>
    <x v="1"/>
    <s v="Supporto Open Servizi Specialistici"/>
    <s v="BARBIERO"/>
    <s v="LUCA"/>
    <s v="U086181"/>
    <s v="luca.barbiero@intesasanpaolo.com"/>
    <s v="PARMA"/>
    <s v="VIA LANGHIRANO, 1 - PAL. C - 43100 PARMA (PR)"/>
    <s v="IT Coordinator"/>
    <s v="IT Coordinator"/>
    <m/>
    <x v="0"/>
  </r>
  <r>
    <s v="COORDINATORE COA"/>
    <x v="1"/>
    <s v="Arch. Dist Polo Assicurativo"/>
    <s v="CONTARDI"/>
    <s v="ANDREA"/>
    <s v="  "/>
    <s v="andrea.contardi@intesasanpaolo.com"/>
    <s v="ROMA"/>
    <s v="VIA VINCENZO LAMARO, 25 - 00173 ROMA (RM)"/>
    <s v="IT Coordinator"/>
    <e v="#N/A"/>
    <m/>
    <x v="0"/>
  </r>
  <r>
    <s v="COORDINATORE COA"/>
    <x v="1"/>
    <s v="Arch. Dist. Banca IMI, Risk, Tesoreria"/>
    <s v="DALLERA"/>
    <s v="GIUSEPPE"/>
    <s v="U014033"/>
    <s v="giuseppe.dallera@intesasanpaolo.com"/>
    <s v="BISCEGLIE (MI)"/>
    <s v="VIA BISCEGLIE, 120 - 20152 MILANO (MI)"/>
    <s v="IT Coordinator"/>
    <s v="IT Coordinator"/>
    <m/>
    <x v="0"/>
  </r>
  <r>
    <s v="COORDINATORE COA"/>
    <x v="1"/>
    <s v="Arch. Dist Eurizon Capital"/>
    <s v="LANCIA"/>
    <s v="SERGIO"/>
    <s v="U301222"/>
    <s v="sergio.lancia@intesasanpaolo.com"/>
    <s v="BISCEGLIE (MI)"/>
    <s v="VIA BISCEGLIE, 120 - 20152 MILANO (MI)"/>
    <s v="IT Coordinator"/>
    <s v="IT Coordinator"/>
    <m/>
    <x v="0"/>
  </r>
  <r>
    <s v="COORDINATORE COA"/>
    <x v="1"/>
    <s v="Arch. Dist. Fideuram"/>
    <s v="RUBERTI"/>
    <s v="ROMANO MARIA"/>
    <s v="U301265"/>
    <s v="romano.ruberti@intesasanpaolo.com"/>
    <s v="ROMA"/>
    <s v="VIA VINCENZO LAMARO, 25 - 00173 ROMA (RM)"/>
    <s v="IT Coordinator"/>
    <s v="System Administrator"/>
    <m/>
    <x v="0"/>
  </r>
  <r>
    <s v="COORDINATORE COA"/>
    <x v="1"/>
    <s v="Estero e Sistemi Specialistici"/>
    <s v="VIGNALI"/>
    <s v="MICHELE"/>
    <s v="U086394"/>
    <s v="michele.vignali@intesasanpaolo.com"/>
    <s v="PARMA"/>
    <s v="VIA LANGHIRANO, 1 - PAL. C - 43100 PARMA (PR)"/>
    <s v="IT Coordinator"/>
    <s v="IT Coordinator"/>
    <m/>
    <x v="0"/>
  </r>
  <r>
    <m/>
    <x v="1"/>
    <s v="Arch. Dist Polo Assicurativo"/>
    <s v="ACQUA"/>
    <s v="TIZIANO"/>
    <s v="U301150"/>
    <s v="tiziano.acqua@intesasanpaolo.com"/>
    <s v="ROMA"/>
    <s v="VIA VINCENZO LAMARO, 25 - 00173 ROMA (RM)"/>
    <s v="System Administrator"/>
    <s v="System Administrator"/>
    <m/>
    <x v="0"/>
  </r>
  <r>
    <m/>
    <x v="1"/>
    <s v="Arch. Dist Polo Assicurativo"/>
    <s v="ADRIANI"/>
    <s v="JOSEMANUEL"/>
    <s v="U301151"/>
    <s v="josemanuel.adriani@intesasanpaolo.com"/>
    <s v="ROMA"/>
    <s v="VIA VINCENZO LAMARO, 25 - 00173 ROMA (RM)"/>
    <s v="System Administrator"/>
    <s v="System Administrator"/>
    <m/>
    <x v="0"/>
  </r>
  <r>
    <m/>
    <x v="1"/>
    <s v="Estero e Sistemi Specialistici"/>
    <s v="ALLEGRETTI"/>
    <s v="GABRIELE"/>
    <s v="  "/>
    <s v="gabriele.allegretti@intesasanpaolo.com"/>
    <s v="BISCEGLIE (MI)"/>
    <s v="VIA BISCEGLIE, 120 - 20152 MILANO (MI)"/>
    <s v="System Administrator"/>
    <e v="#N/A"/>
    <m/>
    <x v="0"/>
  </r>
  <r>
    <m/>
    <x v="1"/>
    <s v="Arch. Dist. Banca IMI, Risk, Tesoreria"/>
    <s v="BARRECA"/>
    <s v="DANIELE AUGUSTO"/>
    <s v="  "/>
    <s v="daniele.barreca@intesasanpaolo.com"/>
    <s v="BISCEGLIE (MI)"/>
    <s v="VIA BISCEGLIE, 120 - 20152 MILANO (MI)"/>
    <s v="Infrastructure Architect"/>
    <e v="#N/A"/>
    <m/>
    <x v="0"/>
  </r>
  <r>
    <m/>
    <x v="1"/>
    <s v="Arch. Dist. Banca IMI, Risk, Tesoreria"/>
    <s v="BELLATORRE"/>
    <s v="SILVANO"/>
    <s v="U093191"/>
    <s v="silvano.bellatorre@intesasanpaolo.com"/>
    <s v="BISCEGLIE (MI)"/>
    <s v="VIA BISCEGLIE, 120 - 20152 MILANO (MI)"/>
    <s v="Project Manager "/>
    <s v="Project Manager"/>
    <m/>
    <x v="0"/>
  </r>
  <r>
    <m/>
    <x v="1"/>
    <s v="Estero e Sistemi Specialistici"/>
    <s v="BERTI"/>
    <s v="FABIO"/>
    <s v="U019700"/>
    <s v="fabio.berti@intesasanpaolo.com"/>
    <s v="MONCALIERI (TO)"/>
    <s v="CORSO SAVONA, 58 - 10024 MONCALIERI (TO)"/>
    <s v="Project Manager "/>
    <s v="Project Manager"/>
    <m/>
    <x v="0"/>
  </r>
  <r>
    <m/>
    <x v="1"/>
    <s v="Gest. Arch. Banca IMI, Risk, Tesoreria"/>
    <s v="BIANCARDI"/>
    <s v="FLAVIO"/>
    <s v="U093207"/>
    <s v="flavio.biancardi@intesasanpaolo.com"/>
    <s v="MATTIOLI (MI)"/>
    <s v="LARGO MATTIOLI, 3 - 20121 MILANO (MI)"/>
    <s v="System Administrator"/>
    <s v="Operator"/>
    <m/>
    <x v="0"/>
  </r>
  <r>
    <m/>
    <x v="1"/>
    <s v="Supporto Open Servizi Specialistici"/>
    <s v="BIANCHI"/>
    <s v="UMBERTO"/>
    <s v="U086192"/>
    <s v="umberto.bianchi@intesasanpaolo.com"/>
    <s v="BISCEGLIE (MI)"/>
    <s v="VIA BISCEGLIE, 120 - 20152 MILANO (MI)"/>
    <s v="System Administrator"/>
    <s v="Operator"/>
    <m/>
    <x v="0"/>
  </r>
  <r>
    <m/>
    <x v="1"/>
    <s v="Arch. Dist. Fideuram"/>
    <s v="BIANCHINI"/>
    <s v="FULVIO"/>
    <s v="U301163"/>
    <s v="fulvio.bianchini@intesasanpaolo.com"/>
    <s v="ROMA"/>
    <s v="VIA VINCENZO LAMARO, 25 - 00173 ROMA (RM)"/>
    <s v="System Administrator"/>
    <s v="System Administrator"/>
    <m/>
    <x v="0"/>
  </r>
  <r>
    <m/>
    <x v="1"/>
    <s v="Supporto Open Servizi Specialistici"/>
    <s v="BIFFI"/>
    <s v="ENRICO"/>
    <s v="U086306"/>
    <s v="enrico.biffi@intesasanpaolo.com"/>
    <s v="BISCEGLIE (MI)"/>
    <s v="VIA BISCEGLIE, 120 - 20152 MILANO (MI)"/>
    <s v="System Administrator"/>
    <s v="Operator"/>
    <m/>
    <x v="0"/>
  </r>
  <r>
    <m/>
    <x v="1"/>
    <s v="Estero e Sistemi Specialistici"/>
    <s v="BIGGI"/>
    <s v="MATTIA"/>
    <s v="  "/>
    <s v="mattia.biggi@intesasanpaolo.com"/>
    <s v="PARMA"/>
    <s v="VIA LANGHIRANO, 1 - PAL. C - 43100 PARMA (PR)"/>
    <s v="System Administrator"/>
    <e v="#N/A"/>
    <m/>
    <x v="0"/>
  </r>
  <r>
    <m/>
    <x v="1"/>
    <s v="Gest. Arch. Banca IMI, Risk, Tesoreria"/>
    <s v="BIONDO"/>
    <s v="ALESSANDRO"/>
    <s v="  "/>
    <s v="alessandro.biondo@intesasanpaolo.com"/>
    <s v="BISCEGLIE (MI)"/>
    <s v="VIA BISCEGLIE, 120 - 20152 MILANO (MI)"/>
    <s v="System Administrator"/>
    <e v="#N/A"/>
    <m/>
    <x v="0"/>
  </r>
  <r>
    <m/>
    <x v="1"/>
    <s v="Supporto Open Servizi Specialistici"/>
    <s v="BOCCHI"/>
    <s v="MATTIA"/>
    <s v="U086190"/>
    <s v="mattia.bocchi@intesasanpaolo.com"/>
    <s v="PARMA"/>
    <s v="VIA LANGHIRANO, 1 - PAL. C - 43100 PARMA (PR)"/>
    <s v="Data Base Administrator"/>
    <s v="System Administrator"/>
    <m/>
    <x v="0"/>
  </r>
  <r>
    <m/>
    <x v="1"/>
    <s v="Supporto Open Servizi Specialistici"/>
    <s v="BONATI"/>
    <s v="ILARIA"/>
    <s v="U086162"/>
    <s v="ilaria.bonati@intesasanpaolo.com"/>
    <s v="PARMA"/>
    <s v="VIA LANGHIRANO, 1 - PAL. C - 43100 PARMA (PR)"/>
    <s v="Data Base Administrator"/>
    <s v="Data Base Administrator"/>
    <m/>
    <x v="0"/>
  </r>
  <r>
    <m/>
    <x v="1"/>
    <s v="Gest. Arch. Banca IMI, Risk, Tesoreria"/>
    <s v="BREGA"/>
    <s v="PAOLO LUIGI"/>
    <s v="  "/>
    <s v="paolo.brega@intesasanpaolo.com"/>
    <s v="BISCEGLIE (MI)"/>
    <s v="VIA BISCEGLIE, 120 - 20152 MILANO (MI)"/>
    <s v="Data Base Administrator"/>
    <e v="#N/A"/>
    <m/>
    <x v="0"/>
  </r>
  <r>
    <m/>
    <x v="1"/>
    <s v="Estero e Sistemi Specialistici"/>
    <s v="CAMOSSO"/>
    <s v="ENRICO"/>
    <s v="U018732"/>
    <s v="enrico.camosso@intesasanpaolo.com"/>
    <s v="MONCALIERI (TO)"/>
    <s v="CORSO SAVONA, 58 - 10024 MONCALIERI (TO)"/>
    <s v="Program Manager"/>
    <s v="Project Manager"/>
    <m/>
    <x v="0"/>
  </r>
  <r>
    <m/>
    <x v="1"/>
    <s v="Gest. Arch. Banca IMI, Risk, Tesoreria"/>
    <s v="CAMPECE"/>
    <s v="ARMANDO"/>
    <s v="U093203"/>
    <s v="armando.campece@intesasanpaolo.com"/>
    <s v="BISCEGLIE (MI)"/>
    <s v="VIA BISCEGLIE, 120 - 20152 MILANO (MI)"/>
    <s v="System Administrator"/>
    <s v="System Administrator"/>
    <m/>
    <x v="0"/>
  </r>
  <r>
    <m/>
    <x v="1"/>
    <s v="Arch. Dist Polo Assicurativo"/>
    <s v="CAMPOLI"/>
    <s v="MARCO"/>
    <s v="U301168"/>
    <s v="marco.campoli@intesasanpaolo.com"/>
    <s v="ROMA"/>
    <s v="VIA VINCENZO LAMARO, 25 - 00173 ROMA (RM)"/>
    <s v="System Administrator"/>
    <s v="System Administrator"/>
    <m/>
    <x v="0"/>
  </r>
  <r>
    <m/>
    <x v="1"/>
    <s v="Arch. Dist. Fideuram"/>
    <s v="CANALI DE ROSSI"/>
    <s v="GIOVANNI"/>
    <s v="U301169"/>
    <s v="giovanni.canaliderossi@intesasanpaolo.com"/>
    <s v="ROMA"/>
    <s v="VIA VINCENZO LAMARO, 25 - 00173 ROMA (RM)"/>
    <s v="System Administrator"/>
    <s v="System Administrator"/>
    <m/>
    <x v="0"/>
  </r>
  <r>
    <m/>
    <x v="1"/>
    <s v="Arch. Dist Polo Assicurativo"/>
    <s v="CANCELLARIO"/>
    <s v="ALESSANDRO"/>
    <s v="U301170"/>
    <s v="alessandro.cancellario@intesasanpaolo.com"/>
    <s v="ROMA"/>
    <s v="VIA VINCENZO LAMARO, 25 - 00173 ROMA (RM)"/>
    <s v="System Administrator"/>
    <s v="System Administrator"/>
    <m/>
    <x v="0"/>
  </r>
  <r>
    <m/>
    <x v="1"/>
    <s v="Arch. Dist Eurizon Capital"/>
    <s v="CANNATA GALANTE"/>
    <s v="CARMELA"/>
    <s v="  "/>
    <s v="carmela.cannatagalante@intesasanpaolo.com"/>
    <s v="BISCEGLIE (MI)"/>
    <s v="VIA BISCEGLIE, 120 - 20152 MILANO (MI)"/>
    <s v="Project Manager "/>
    <e v="#N/A"/>
    <m/>
    <x v="0"/>
  </r>
  <r>
    <m/>
    <x v="1"/>
    <s v="Arch. Dist. Banca IMI, Risk, Tesoreria"/>
    <s v="CARDILLO"/>
    <s v="GIULIA"/>
    <s v="  "/>
    <s v="giulia.cardillo@intesasanpaolo.com"/>
    <s v="BISCEGLIE (MI)"/>
    <s v="VIA BISCEGLIE, 120 - 20152 MILANO (MI)"/>
    <s v="Project Manager "/>
    <e v="#N/A"/>
    <m/>
    <x v="0"/>
  </r>
  <r>
    <m/>
    <x v="1"/>
    <s v="Arch. Dist. Banca IMI, Risk, Tesoreria"/>
    <s v="CARDINALE"/>
    <s v="SIMONE"/>
    <s v="  "/>
    <s v="simone.cardinale@intesasanpaolo.com"/>
    <s v="BISCEGLIE (MI)"/>
    <s v="VIA BISCEGLIE, 120 - 20152 MILANO (MI)"/>
    <s v="Project Manager "/>
    <e v="#N/A"/>
    <m/>
    <x v="0"/>
  </r>
  <r>
    <m/>
    <x v="1"/>
    <s v="Gest. Arch. Banca IMI, Risk, Tesoreria"/>
    <s v="CEGLIA"/>
    <s v="STEFANO"/>
    <s v="U363906"/>
    <s v="stefano.ceglia@intesasanpaolo.com"/>
    <s v="BISCEGLIE (MI)"/>
    <s v="VIA BISCEGLIE, 120 - 20152 MILANO (MI)"/>
    <s v="System Administrator"/>
    <s v="System Administrator"/>
    <m/>
    <x v="0"/>
  </r>
  <r>
    <m/>
    <x v="1"/>
    <s v="Estero e Sistemi Specialistici"/>
    <s v="CHIANCA"/>
    <s v="CRISTINA"/>
    <s v="U086178"/>
    <s v="cristina.chianca@intesasanpaolo.com"/>
    <s v="PARMA"/>
    <s v="VIA LANGHIRANO, 1 - PAL. C - 43100 PARMA (PR)"/>
    <s v="Data Base Administrator"/>
    <s v="Data Base Administrator"/>
    <m/>
    <x v="0"/>
  </r>
  <r>
    <m/>
    <x v="1"/>
    <s v="Arch. Dist. Fideuram"/>
    <s v="CHIOFALO"/>
    <s v="ALESSANDRO"/>
    <s v="  "/>
    <s v="alessandro.chiofalo@intesasanpaolo.com"/>
    <s v="ROMA"/>
    <s v="VIA VINCENZO LAMARO, 25 - 00173 ROMA (RM)"/>
    <s v="System Administrator"/>
    <e v="#N/A"/>
    <m/>
    <x v="0"/>
  </r>
  <r>
    <m/>
    <x v="1"/>
    <s v="Arch. Dist Polo Assicurativo"/>
    <s v="CHIOVINI"/>
    <s v="FEDERICO"/>
    <s v="U301180"/>
    <s v="federico.chiovini@intesasanpaolo.com"/>
    <s v="ROMA"/>
    <s v="VIA VINCENZO LAMARO, 25 - 00173 ROMA (RM)"/>
    <s v="System Administrator"/>
    <s v="System Administrator"/>
    <m/>
    <x v="0"/>
  </r>
  <r>
    <m/>
    <x v="1"/>
    <s v="Estero e Sistemi Specialistici"/>
    <s v="CIRILLO"/>
    <s v="GIUSEPPE GERMANO"/>
    <s v="U085971"/>
    <s v="giuseppe.cirillo@intesasanpaolo.com"/>
    <s v="BISCEGLIE (MI)"/>
    <s v="VIA BISCEGLIE, 120 - 20152 MILANO (MI)"/>
    <s v="Project Manager "/>
    <s v="Project Manager"/>
    <m/>
    <x v="0"/>
  </r>
  <r>
    <m/>
    <x v="1"/>
    <s v="Gest. Arch. Banca IMI, Risk, Tesoreria"/>
    <s v="COLELLA"/>
    <s v="VITO"/>
    <s v="  "/>
    <s v="vito.colella@intesasanpaolo.com"/>
    <s v="BISCEGLIE (MI)"/>
    <s v="VIA BISCEGLIE, 120 - 20152 MILANO (MI)"/>
    <s v="Data Base Administrator"/>
    <e v="#N/A"/>
    <m/>
    <x v="0"/>
  </r>
  <r>
    <m/>
    <x v="1"/>
    <s v="Gest. Arch. Banca IMI, Risk, Tesoreria"/>
    <s v="COMINETTI"/>
    <s v="OSCAR GIOVANNI"/>
    <s v="U096759"/>
    <s v="oscar.cominetti@intesasanpaolo.com"/>
    <s v="GIORDANO (MI)"/>
    <s v="P.TTA GIORDANO DELL'AMORE, 3 - 20121 MILANO (MI)"/>
    <s v="System Administrator"/>
    <s v="Operator"/>
    <m/>
    <x v="0"/>
  </r>
  <r>
    <m/>
    <x v="1"/>
    <s v="Arch. Dist. Fideuram"/>
    <s v="CONSALVI"/>
    <s v="DOMENICO"/>
    <s v="U301184"/>
    <s v="domenico.consalvi@intesasanpaolo.com"/>
    <s v="ROMA"/>
    <s v="VIA VINCENZO LAMARO, 25 - 00173 ROMA (RM)"/>
    <s v="Data Base Administrator"/>
    <s v="Data Base Administrator"/>
    <m/>
    <x v="0"/>
  </r>
  <r>
    <m/>
    <x v="1"/>
    <s v="Estero e Sistemi Specialistici"/>
    <s v="CORBANI"/>
    <s v="LUCA"/>
    <s v="U086255"/>
    <s v="luca.corbani@intesasanpaolo.com"/>
    <s v="PARMA"/>
    <s v="VIA LANGHIRANO, 1 - PAL. C - 43100 PARMA (PR)"/>
    <s v="Project Manager "/>
    <s v="Project Manager"/>
    <m/>
    <x v="0"/>
  </r>
  <r>
    <m/>
    <x v="1"/>
    <s v="Arch. Dist Eurizon Capital"/>
    <s v="COSTANTINO"/>
    <s v="GIANLUCA MARIA"/>
    <s v="U304268"/>
    <s v="gianluca.costantino@intesasanpaolo.com"/>
    <s v="BISCEGLIE (MI)"/>
    <s v="VIA BISCEGLIE, 120 - 20152 MILANO (MI)"/>
    <s v="Project Manager "/>
    <s v="System Administrator"/>
    <m/>
    <x v="0"/>
  </r>
  <r>
    <m/>
    <x v="1"/>
    <s v="Arch. Dist Polo Assicurativo"/>
    <s v="CUOMO"/>
    <s v="TOMMASO"/>
    <s v="U028753"/>
    <s v="tommaso.cuomo@intesasanpaolo.com"/>
    <s v="ROMA"/>
    <s v="VIA VINCENZO LAMARO, 25 - 00173 ROMA (RM)"/>
    <s v="Project Manager "/>
    <s v="IT Coordinator"/>
    <m/>
    <x v="0"/>
  </r>
  <r>
    <m/>
    <x v="1"/>
    <s v="Arch. Dist Polo Assicurativo"/>
    <s v="DAL BON"/>
    <s v="PAOLA"/>
    <s v="U086179"/>
    <s v="paola.dalbon@intesasanpaolo.com"/>
    <s v="ROMA"/>
    <s v="VIA VINCENZO LAMARO, 25 - 00173 ROMA (RM)"/>
    <s v="Data Base Administrator"/>
    <s v="Data Base Administrator"/>
    <m/>
    <x v="0"/>
  </r>
  <r>
    <m/>
    <x v="1"/>
    <s v="Gest. Arch. Banca IMI, Risk, Tesoreria"/>
    <s v="D'ALESSIO"/>
    <s v="STEFANO"/>
    <s v="  "/>
    <s v="stefano.dalessio@intesasanpaolo.com"/>
    <s v="BISCEGLIE (MI)"/>
    <s v="VIA BISCEGLIE, 120 - 20152 MILANO (MI)"/>
    <s v="Data Base Administrator"/>
    <e v="#N/A"/>
    <m/>
    <x v="0"/>
  </r>
  <r>
    <m/>
    <x v="1"/>
    <s v="Gest. Arch. Banca IMI, Risk, Tesoreria"/>
    <s v="D'ANGELO"/>
    <s v="ALBERTO"/>
    <s v="  "/>
    <s v="alberto.dangelo@intesasanpaolo.com"/>
    <s v="BISCEGLIE (MI)"/>
    <s v="VIA BISCEGLIE, 120 - 20152 MILANO (MI)"/>
    <s v="Data Base Administrator"/>
    <e v="#N/A"/>
    <m/>
    <x v="0"/>
  </r>
  <r>
    <m/>
    <x v="1"/>
    <s v="Estero e Sistemi Specialistici"/>
    <s v="DE FRANCESCO"/>
    <s v="CLAUDIO"/>
    <s v="U023765"/>
    <s v="claudio.defrancesco@intesasanpaolo.com"/>
    <s v="MONCALIERI (TO)"/>
    <s v="CORSO SAVONA, 58 - 10024 MONCALIERI (TO)"/>
    <s v="System Administrator"/>
    <s v="System Administrator"/>
    <m/>
    <x v="0"/>
  </r>
  <r>
    <m/>
    <x v="1"/>
    <s v="Supporto Open Servizi Specialistici"/>
    <s v="DEL VECCHIO"/>
    <s v="ANNA MARIA"/>
    <s v="U085891"/>
    <s v="anna.delvecchio@intesasanpaolo.com"/>
    <s v="PARMA"/>
    <s v="VIA LANGHIRANO, 1 - PAL. C - 43100 PARMA (PR)"/>
    <s v="Data Base Administrator"/>
    <s v="Operator"/>
    <m/>
    <x v="0"/>
  </r>
  <r>
    <m/>
    <x v="1"/>
    <s v="Supporto Open Servizi Specialistici"/>
    <s v="DELLA RAGIONE"/>
    <s v="FAUSTO"/>
    <s v="U086372"/>
    <s v="fausto.dellaragione@intesasanpaolo.com"/>
    <s v="BISCEGLIE (MI)"/>
    <s v="VIA BISCEGLIE, 120 - 20152 MILANO (MI)"/>
    <s v="System Administrator"/>
    <s v="Operator"/>
    <m/>
    <x v="0"/>
  </r>
  <r>
    <m/>
    <x v="1"/>
    <s v="Arch. Dist Polo Assicurativo"/>
    <s v="DI STEFANO"/>
    <s v="ELEONORA"/>
    <s v="  "/>
    <s v="eleonora.distefano@intesasanpaolo.com"/>
    <s v="ROMA"/>
    <s v="VIA VINCENZO LAMARO, 25 - 00173 ROMA (RM)"/>
    <s v="Data Base Administrator"/>
    <e v="#N/A"/>
    <m/>
    <x v="0"/>
  </r>
  <r>
    <m/>
    <x v="1"/>
    <s v="Arch. Dist Eurizon Capital"/>
    <s v="DONSI"/>
    <s v="FABIO"/>
    <s v="U025189"/>
    <s v="fabio.donsi@intesasanpaolo.com"/>
    <s v="BISCEGLIE (MI)"/>
    <s v="VIA BISCEGLIE, 120 - 20152 MILANO (MI)"/>
    <s v="System Administrator"/>
    <s v="Operator"/>
    <m/>
    <x v="0"/>
  </r>
  <r>
    <m/>
    <x v="1"/>
    <s v="Arch. Dist. Fideuram"/>
    <s v="D'ORTONA"/>
    <s v="UMBERTO"/>
    <s v="  "/>
    <s v="umberto.dortona@intesasanpaolo.com"/>
    <s v="ROMA"/>
    <s v="VIA VINCENZO LAMARO, 25 - 00173 ROMA (RM)"/>
    <s v="Data Base Administrator"/>
    <e v="#N/A"/>
    <m/>
    <x v="0"/>
  </r>
  <r>
    <m/>
    <x v="1"/>
    <s v="Arch. Dist. Fideuram"/>
    <s v="ESPOSITO"/>
    <s v="FRANCO"/>
    <s v="U301203"/>
    <s v="franco.esposito@intesasanpaolo.com"/>
    <s v="ROMA"/>
    <s v="VIA VINCENZO LAMARO, 25 - 00173 ROMA (RM)"/>
    <s v="System Administrator"/>
    <s v="System Administrator"/>
    <m/>
    <x v="0"/>
  </r>
  <r>
    <s v="COORDINATORE COA"/>
    <x v="0"/>
    <s v="Transition e Innovation"/>
    <s v="FEDERICI"/>
    <s v="ENEA ENZO"/>
    <s v="U086154"/>
    <s v="enea.federici@intesasanpaolo.com"/>
    <s v="PARMA"/>
    <s v="VIA LANGHIRANO, 1 - PAL. C - 43100 PARMA (PR)"/>
    <s v="IT Coordinator"/>
    <s v="Project Manager"/>
    <s v="--- CONFERMATO AS IS ---"/>
    <x v="2"/>
  </r>
  <r>
    <m/>
    <x v="1"/>
    <s v="Supporto Open Servizi Specialistici"/>
    <s v="FERRADINI"/>
    <s v="ANDREA GUZMAN"/>
    <s v="U086184"/>
    <s v="andrea.ferradini@intesasanpaolo.com"/>
    <s v="BISCEGLIE (MI)"/>
    <s v="VIA BISCEGLIE, 120 - 20152 MILANO (MI)"/>
    <s v="System Administrator"/>
    <s v="Operator"/>
    <m/>
    <x v="0"/>
  </r>
  <r>
    <m/>
    <x v="1"/>
    <s v="Estero e Sistemi Specialistici"/>
    <s v="FODDAI"/>
    <s v="VALERIA"/>
    <s v="U086379"/>
    <s v="valeria.foddai@intesasanpaolo.com"/>
    <s v="PARMA"/>
    <s v="VIA LANGHIRANO, 1 - PAL. C - 43100 PARMA (PR)"/>
    <s v="Project Manager "/>
    <s v="Project Manager"/>
    <m/>
    <x v="0"/>
  </r>
  <r>
    <m/>
    <x v="1"/>
    <s v="Arch. Dist Polo Assicurativo"/>
    <s v="FRAIOLI"/>
    <s v="ANTONIO"/>
    <s v="U301208"/>
    <s v="antonio.fraioli@intesasanpaolo.com"/>
    <s v="ROMA"/>
    <s v="VIA VINCENZO LAMARO, 25 - 00173 ROMA (RM)"/>
    <s v="Data Base Administrator"/>
    <s v="Data Base Administrator"/>
    <m/>
    <x v="0"/>
  </r>
  <r>
    <m/>
    <x v="1"/>
    <s v="Arch. Dist. Fideuram"/>
    <s v="FRANCO"/>
    <s v="CRISTIANA"/>
    <s v="U301209"/>
    <s v="cristiana.franco@intesasanpaolo.com"/>
    <s v="ROMA"/>
    <s v="VIA VINCENZO LAMARO, 25 - 00173 ROMA (RM)"/>
    <s v="System Administrator"/>
    <s v="System Administrator"/>
    <m/>
    <x v="0"/>
  </r>
  <r>
    <m/>
    <x v="1"/>
    <s v="Supporto Open Servizi Specialistici"/>
    <s v="GALASSI"/>
    <s v="ALESSANDRO"/>
    <s v="U086405"/>
    <s v="alessandro.galassi@intesasanpaolo.com"/>
    <s v="PARMA"/>
    <s v="VIA LANGHIRANO, 1 - PAL. C - 43100 PARMA (PR)"/>
    <s v="System Administrator"/>
    <s v="System Administrator"/>
    <m/>
    <x v="0"/>
  </r>
  <r>
    <m/>
    <x v="1"/>
    <s v="Estero e Sistemi Specialistici"/>
    <s v="GALASSI"/>
    <s v="NADIA"/>
    <s v="U028729"/>
    <s v="nadia.galassi@intesasanpaolo.com"/>
    <s v="BOLOGNA"/>
    <s v="PIAZZA SAN DOMENICO - 40124 BOLOGNA (BO)"/>
    <s v="Project Manager "/>
    <s v="Operator"/>
    <m/>
    <x v="0"/>
  </r>
  <r>
    <m/>
    <x v="1"/>
    <s v="Arch. Dist Polo Assicurativo"/>
    <s v="GARCIA"/>
    <s v="ANDREA"/>
    <s v="U301212"/>
    <s v="andrea.garcia@intesasanpaolo.com"/>
    <s v="ROMA"/>
    <s v="VIA VINCENZO LAMARO, 25 - 00173 ROMA (RM)"/>
    <s v="System Administrator"/>
    <s v="System Administrator"/>
    <m/>
    <x v="0"/>
  </r>
  <r>
    <m/>
    <x v="1"/>
    <s v="Supporto Open Servizi Specialistici"/>
    <s v="GERVASONI"/>
    <s v="MICHELE"/>
    <s v="U086387"/>
    <s v="michele.gervasoni@intesasanpaolo.com"/>
    <s v="PARMA"/>
    <s v="VIA LANGHIRANO, 1 - PAL. C - 43100 PARMA (PR)"/>
    <s v="System Administrator"/>
    <s v="System Administrator"/>
    <m/>
    <x v="0"/>
  </r>
  <r>
    <m/>
    <x v="1"/>
    <s v="Estero e Sistemi Specialistici"/>
    <s v="GHISINI"/>
    <s v="LODOVICO"/>
    <s v="U086378"/>
    <s v="lodovico.ghisini@intesasanpaolo.com"/>
    <s v="PARMA"/>
    <s v="VIA LANGHIRANO, 1 - PAL. C - 43100 PARMA (PR)"/>
    <s v="Infrastructure Architect"/>
    <s v="Project Manager"/>
    <m/>
    <x v="0"/>
  </r>
  <r>
    <m/>
    <x v="1"/>
    <s v="Gest. Arch. Banca IMI, Risk, Tesoreria"/>
    <s v="GIORDANI"/>
    <s v="LUCA"/>
    <s v="  "/>
    <s v="luca.giordani@intesasanpaolo.com"/>
    <s v="BISCEGLIE (MI)"/>
    <s v="VIA BISCEGLIE, 120 - 20152 MILANO (MI)"/>
    <s v="System Administrator"/>
    <e v="#N/A"/>
    <m/>
    <x v="0"/>
  </r>
  <r>
    <m/>
    <x v="1"/>
    <s v="Arch. Dist Eurizon Capital"/>
    <s v="GORLA"/>
    <s v="ROBERTO"/>
    <s v="U301218"/>
    <s v="roberto.gorla1@intesasanpaolo.com"/>
    <s v="BISCEGLIE (MI)"/>
    <s v="VIA BISCEGLIE, 120 - 20152 MILANO (MI)"/>
    <s v="Operator"/>
    <s v="Operator"/>
    <m/>
    <x v="0"/>
  </r>
  <r>
    <m/>
    <x v="1"/>
    <s v="Arch. Dist. Banca IMI, Risk, Tesoreria"/>
    <s v="GOZZI"/>
    <s v="GIANMARCO"/>
    <s v="U363972"/>
    <s v="gianmarco.gozzi@intesasanpaolo.com"/>
    <s v="BISCEGLIE (MI)"/>
    <s v="VIA BISCEGLIE, 120 - 20152 MILANO (MI)"/>
    <s v="Project Manager "/>
    <s v="Project Manager"/>
    <m/>
    <x v="0"/>
  </r>
  <r>
    <m/>
    <x v="1"/>
    <s v="Estero e Sistemi Specialistici"/>
    <s v="GRAMMATICO"/>
    <s v="FRANCESCO"/>
    <s v="  "/>
    <s v="francesco.grammatico@intesasanpaolo.com"/>
    <s v="BISCEGLIE (MI)"/>
    <s v="VIA BISCEGLIE, 120 - 20152 MILANO (MI)"/>
    <s v="System Administrator"/>
    <e v="#N/A"/>
    <m/>
    <x v="0"/>
  </r>
  <r>
    <m/>
    <x v="1"/>
    <s v="Supporto Open Servizi Specialistici"/>
    <s v="GRAZIOLI"/>
    <s v="CARLO"/>
    <s v="U086353"/>
    <s v="carlo.grazioli@intesasanpaolo.com"/>
    <s v="PARMA"/>
    <s v="VIA LANGHIRANO, 1 - PAL. C - 43100 PARMA (PR)"/>
    <s v="System Administrator"/>
    <s v="System Administrator"/>
    <m/>
    <x v="0"/>
  </r>
  <r>
    <m/>
    <x v="1"/>
    <s v="Gest. Arch. Banca IMI, Risk, Tesoreria"/>
    <s v="INGEGNERI"/>
    <s v="MATTEO"/>
    <s v="  "/>
    <s v="matteo.ingegneri@intesasanpaolo.com"/>
    <s v="GIORDANO (MI)"/>
    <s v="P.TTA GIORDANO DELL'AMORE, 3 - 20121 MILANO (MI)"/>
    <s v="System Administrator"/>
    <e v="#N/A"/>
    <m/>
    <x v="0"/>
  </r>
  <r>
    <m/>
    <x v="1"/>
    <s v="Estero e Sistemi Specialistici"/>
    <s v="LUSARDI"/>
    <s v="FABRIZIO"/>
    <s v="U086406"/>
    <s v="fabrizio.lusardi@intesasanpaolo.com"/>
    <s v="PARMA"/>
    <s v="VIA LANGHIRANO, 1 - PAL. C - 43100 PARMA (PR)"/>
    <s v="Infrastructure Architect"/>
    <s v="System Administrator"/>
    <m/>
    <x v="0"/>
  </r>
  <r>
    <m/>
    <x v="1"/>
    <s v="Arch. Dist Eurizon Capital"/>
    <s v="MADDIONA"/>
    <s v="GIUSEPPE"/>
    <s v="  "/>
    <s v="giuseppe.maddiona@intesasanpaolo.com"/>
    <s v="BISCEGLIE (MI)"/>
    <s v="VIA BISCEGLIE, 120 - 20152 MILANO (MI)"/>
    <s v="Project Manager "/>
    <e v="#N/A"/>
    <m/>
    <x v="0"/>
  </r>
  <r>
    <m/>
    <x v="1"/>
    <s v="Arch. Dist Eurizon Capital"/>
    <s v="MANCLOSSI"/>
    <s v="ANDREA"/>
    <s v="U301227"/>
    <s v="andrea.manclossi@intesasanpaolo.com"/>
    <s v="BISCEGLIE (MI)"/>
    <s v="VIA BISCEGLIE, 120 - 20152 MILANO (MI)"/>
    <s v="Project Manager "/>
    <s v="System Administrator"/>
    <m/>
    <x v="0"/>
  </r>
  <r>
    <m/>
    <x v="1"/>
    <s v="Arch. Dist. Fideuram"/>
    <s v="MANGANIELLO"/>
    <s v="MAURIZIO"/>
    <s v="U301228"/>
    <s v="maurizio.manganiello@intesasanpaolo.com"/>
    <s v="ROMA"/>
    <s v="VIA VINCENZO LAMARO, 25 - 00173 ROMA (RM)"/>
    <s v="System Administrator"/>
    <s v="System Administrator"/>
    <m/>
    <x v="0"/>
  </r>
  <r>
    <m/>
    <x v="1"/>
    <s v="Arch. Dist. Banca IMI, Risk, Tesoreria"/>
    <s v="MANGANO"/>
    <s v="MANFREDI"/>
    <s v="  "/>
    <s v="manfredi.mangano@intesasanpaolo.com"/>
    <s v="BISCEGLIE (MI)"/>
    <s v="VIA BISCEGLIE, 120 - 20152 MILANO (MI)"/>
    <s v="Project Manager "/>
    <e v="#N/A"/>
    <m/>
    <x v="0"/>
  </r>
  <r>
    <m/>
    <x v="1"/>
    <s v="Arch. Dist. Banca IMI, Risk, Tesoreria"/>
    <s v="MARCHESI"/>
    <s v="LUCA"/>
    <s v="U093199"/>
    <s v="luca.marchesi@intesasanpaolo.com"/>
    <s v="BISCEGLIE (MI)"/>
    <s v="VIA BISCEGLIE, 120 - 20152 MILANO (MI)"/>
    <s v="Project Manager "/>
    <s v="Project Manager"/>
    <m/>
    <x v="0"/>
  </r>
  <r>
    <m/>
    <x v="1"/>
    <s v="Supporto Open Servizi Specialistici"/>
    <s v="MARVENTANO"/>
    <s v="FABIO"/>
    <s v="U086368"/>
    <s v="fabio.marventano@intesasanpaolo.com"/>
    <s v="BISCEGLIE (MI)"/>
    <s v="VIA BISCEGLIE, 120 - 20152 MILANO (MI)"/>
    <s v="System Administrator"/>
    <s v="Operator"/>
    <m/>
    <x v="0"/>
  </r>
  <r>
    <m/>
    <x v="1"/>
    <s v="Supporto Open Servizi Specialistici"/>
    <s v="MARVENTANO"/>
    <s v="WALTER"/>
    <s v="U086358"/>
    <s v="walter.marventano@intesasanpaolo.com"/>
    <s v="BISCEGLIE (MI)"/>
    <s v="VIA BISCEGLIE, 120 - 20152 MILANO (MI)"/>
    <s v="System Administrator"/>
    <s v="Operator"/>
    <m/>
    <x v="0"/>
  </r>
  <r>
    <m/>
    <x v="1"/>
    <s v="Arch. Dist. Fideuram"/>
    <s v="MATTEI"/>
    <s v="VITTORIO MASSIMO"/>
    <s v="U301232"/>
    <s v="vittorio.mattei@intesasanpaolo.com"/>
    <s v="ROMA"/>
    <s v="VIA VINCENZO LAMARO, 25 - 00173 ROMA (RM)"/>
    <s v="Operator"/>
    <s v="Operator"/>
    <m/>
    <x v="0"/>
  </r>
  <r>
    <m/>
    <x v="1"/>
    <s v="Arch. Dist Polo Assicurativo"/>
    <s v="MAZZOTTA"/>
    <s v="SIMONE"/>
    <s v="U301233"/>
    <s v="simone.mazzotta@intesasanpaolo.com"/>
    <s v="ROMA"/>
    <s v="VIA VINCENZO LAMARO, 25 - 00173 ROMA (RM)"/>
    <s v="System Administrator"/>
    <s v="System Administrator"/>
    <m/>
    <x v="0"/>
  </r>
  <r>
    <m/>
    <x v="1"/>
    <s v="Arch. Dist Eurizon Capital"/>
    <s v="MERLINI"/>
    <s v="MARCO"/>
    <s v="  "/>
    <s v="marco.merlini@intesasanpaolo.com"/>
    <s v="BISCEGLIE (MI)"/>
    <s v="VIA BISCEGLIE, 120 - 20152 MILANO (MI)"/>
    <s v="Project Manager "/>
    <e v="#N/A"/>
    <m/>
    <x v="0"/>
  </r>
  <r>
    <m/>
    <x v="1"/>
    <s v="Gest. Arch. Banca IMI, Risk, Tesoreria"/>
    <s v="MORATO"/>
    <s v="STEFANO"/>
    <s v="U025221"/>
    <s v="stefano.morato@intesasanpaolo.com"/>
    <s v="MATTIOLI (MI)"/>
    <s v="LARGO MATTIOLI, 3 - 20121 MILANO (MI)"/>
    <s v="System Administrator"/>
    <s v="System Administrator"/>
    <m/>
    <x v="0"/>
  </r>
  <r>
    <m/>
    <x v="1"/>
    <s v="Gest. Arch. Banca IMI, Risk, Tesoreria"/>
    <s v="MUNEGATO"/>
    <s v="DAVIDE"/>
    <s v="U086364"/>
    <s v="davide.munegato@intesasanpaolo.com"/>
    <s v="BISCEGLIE (MI)"/>
    <s v="VIA BISCEGLIE, 120 - 20152 MILANO (MI)"/>
    <s v="System Administrator"/>
    <s v="System Administrator"/>
    <m/>
    <x v="0"/>
  </r>
  <r>
    <m/>
    <x v="1"/>
    <s v="Arch. Dist Polo Assicurativo"/>
    <s v="MUSSINI"/>
    <s v="MAURO"/>
    <s v="U301240"/>
    <s v="mauro.mussini@intesasanpaolo.com"/>
    <s v="ROMA"/>
    <s v="VIA VINCENZO LAMARO, 25 - 00173 ROMA (RM)"/>
    <s v="Project Manager "/>
    <s v="System Administrator"/>
    <m/>
    <x v="0"/>
  </r>
  <r>
    <m/>
    <x v="1"/>
    <s v="Arch. Dist Eurizon Capital"/>
    <s v="NARDIN"/>
    <s v="DANIEL"/>
    <s v="U304273"/>
    <s v="daniel.nardin@intesasanpaolo.com"/>
    <s v="BISCEGLIE (MI)"/>
    <s v="VIA BISCEGLIE, 120 - 20152 MILANO (MI)"/>
    <s v="Infrastructure Architect"/>
    <s v="System Administrator"/>
    <m/>
    <x v="0"/>
  </r>
  <r>
    <m/>
    <x v="1"/>
    <s v="Gest. Arch. Banca IMI, Risk, Tesoreria"/>
    <s v="NOBILE"/>
    <s v="VALENTINO"/>
    <s v="U093186"/>
    <s v="valentino.nobile@intesasanpaolo.com"/>
    <s v="BISCEGLIE (MI)"/>
    <s v="VIA BISCEGLIE, 120 - 20152 MILANO (MI)"/>
    <s v="System Administrator"/>
    <s v="System Administrator"/>
    <m/>
    <x v="0"/>
  </r>
  <r>
    <m/>
    <x v="1"/>
    <s v="Arch. Dist. Banca IMI, Risk, Tesoreria"/>
    <s v="NOVA"/>
    <s v="LAURA"/>
    <s v="  "/>
    <s v="laura.nova@intesasanpaolo.com"/>
    <s v="BISCEGLIE (MI)"/>
    <s v="VIA BISCEGLIE, 120 - 20152 MILANO (MI)"/>
    <s v="Project Manager "/>
    <e v="#N/A"/>
    <m/>
    <x v="0"/>
  </r>
  <r>
    <m/>
    <x v="1"/>
    <s v="Arch. Dist. Fideuram"/>
    <s v="PANTALEONE"/>
    <s v="MASSIMILIANO"/>
    <s v="U301247"/>
    <s v="massimiliano.pantaleone@intesasanpaolo.com"/>
    <s v="ROMA"/>
    <s v="VIA VINCENZO LAMARO, 25 - 00173 ROMA (RM)"/>
    <s v="Operator"/>
    <s v="Operator"/>
    <m/>
    <x v="0"/>
  </r>
  <r>
    <m/>
    <x v="1"/>
    <s v="Gest. Arch. Banca IMI, Risk, Tesoreria"/>
    <s v="PASSARELLA"/>
    <s v="STEFANO"/>
    <s v="U093233"/>
    <s v="stefano.passarella@intesasanpaolo.com"/>
    <s v="BISCEGLIE (MI)"/>
    <s v="VIA BISCEGLIE, 120 - 20152 MILANO (MI)"/>
    <s v="Data Base Administrator"/>
    <s v="Data Base Administrator"/>
    <m/>
    <x v="0"/>
  </r>
  <r>
    <m/>
    <x v="1"/>
    <s v="Arch. Dist Eurizon Capital"/>
    <s v="PAVIA"/>
    <s v="PAOLO"/>
    <s v="U301250"/>
    <s v="paolo.pavia@intesasanpaolo.com"/>
    <s v="STELVIO (MI)"/>
    <s v="VIALE STELVIO, 55 - 20159 MILANO (MI)"/>
    <s v="Operator"/>
    <s v="Operator"/>
    <m/>
    <x v="0"/>
  </r>
  <r>
    <m/>
    <x v="1"/>
    <s v="Arch. Dist. Banca IMI, Risk, Tesoreria"/>
    <s v="PIATTI"/>
    <s v="RENZO"/>
    <s v="U342818"/>
    <s v="renzo.piatti@intesasanpaolo.com"/>
    <s v="BISCEGLIE (MI)"/>
    <s v="VIA BISCEGLIE, 120 - 20152 MILANO (MI)"/>
    <s v="Infrastructure Architect"/>
    <s v="Project Manager"/>
    <m/>
    <x v="0"/>
  </r>
  <r>
    <m/>
    <x v="1"/>
    <s v="Arch. Dist. Fideuram"/>
    <s v="PREVETE"/>
    <s v="VINCENZO"/>
    <s v="U301254"/>
    <s v="vincenzo.prevete@intesasanpaolo.com"/>
    <s v="ROMA"/>
    <s v="VIA VINCENZO LAMARO, 25 - 00173 ROMA (RM)"/>
    <s v="System Administrator"/>
    <s v="System Administrator"/>
    <m/>
    <x v="0"/>
  </r>
  <r>
    <m/>
    <x v="1"/>
    <s v="Estero e Sistemi Specialistici"/>
    <s v="QUERZE'"/>
    <s v="MICHELE"/>
    <s v="U028716"/>
    <s v="michele.querze@intesasanpaolo.com"/>
    <s v="BOLOGNA"/>
    <s v="PIAZZA SAN DOMENICO - 40124 BOLOGNA (BO)"/>
    <s v="System Administrator"/>
    <s v="System Administrator"/>
    <m/>
    <x v="0"/>
  </r>
  <r>
    <m/>
    <x v="1"/>
    <s v="Arch. Dist Polo Assicurativo"/>
    <s v="QUINTILI"/>
    <s v="MARCO"/>
    <s v="U301257"/>
    <s v="marco.quintili@intesasanpaolo.com"/>
    <s v="ROMA"/>
    <s v="VIA VINCENZO LAMARO, 25 - 00173 ROMA (RM)"/>
    <s v="Data Base Administrator"/>
    <s v="Data Base Administrator"/>
    <m/>
    <x v="0"/>
  </r>
  <r>
    <m/>
    <x v="1"/>
    <s v="Arch. Dist. Banca IMI, Risk, Tesoreria"/>
    <s v="REIBALDI"/>
    <s v="ROBERTO"/>
    <s v="U301261"/>
    <s v="roberto.reibaldi@intesasanpaolo.com"/>
    <s v="BISCEGLIE (MI)"/>
    <s v="VIA BISCEGLIE, 120 - 20152 MILANO (MI)"/>
    <s v="Demand Manager"/>
    <s v="Project Manager"/>
    <m/>
    <x v="0"/>
  </r>
  <r>
    <m/>
    <x v="1"/>
    <s v="Gest. Arch. Banca IMI, Risk, Tesoreria"/>
    <s v="ROMEO"/>
    <s v="MARIANO"/>
    <s v="  "/>
    <s v="mariano.romeo@intesasanpaolo.com"/>
    <s v="BISCEGLIE (MI)"/>
    <s v="VIA BISCEGLIE, 120 - 20152 MILANO (MI)"/>
    <s v="Data Base Administrator"/>
    <e v="#N/A"/>
    <m/>
    <x v="0"/>
  </r>
  <r>
    <m/>
    <x v="1"/>
    <s v="Supporto Open Servizi Specialistici"/>
    <s v="RONCAGLIO"/>
    <s v="ANDREA"/>
    <s v="  "/>
    <s v="andrea.roncaglio@intesasanpaolo.com"/>
    <s v="PARMA"/>
    <s v="VIA LANGHIRANO, 1 - PAL. C - 43100 PARMA (PR)"/>
    <s v="Data Base Administrator"/>
    <e v="#N/A"/>
    <m/>
    <x v="0"/>
  </r>
  <r>
    <m/>
    <x v="1"/>
    <s v="Arch. Dist. Fideuram"/>
    <s v="RUGORA"/>
    <s v="GIORGIO"/>
    <s v="U301266"/>
    <s v="giorgio.rugora@intesasanpaolo.com"/>
    <s v="ROMA"/>
    <s v="VIA VINCENZO LAMARO, 25 - 00173 ROMA (RM)"/>
    <s v="Data Base Administrator"/>
    <s v="Data Base Administrator"/>
    <m/>
    <x v="0"/>
  </r>
  <r>
    <m/>
    <x v="1"/>
    <s v="Arch. Dist. Fideuram"/>
    <s v="SALERNO"/>
    <s v="OLIVIERO"/>
    <s v="U301267"/>
    <s v="oliviero.salerno@intesasanpaolo.com"/>
    <s v="ROMA"/>
    <s v="VIA VINCENZO LAMARO, 25 - 00173 ROMA (RM)"/>
    <s v="System Administrator"/>
    <s v="System Administrator"/>
    <m/>
    <x v="0"/>
  </r>
  <r>
    <m/>
    <x v="1"/>
    <s v="Arch. Dist. Fideuram"/>
    <s v="SALI"/>
    <s v="ANTONIO"/>
    <s v="U301268"/>
    <s v="antonio.sali@intesasanpaolo.com"/>
    <s v="ROMA"/>
    <s v="VIA VINCENZO LAMARO, 25 - 00173 ROMA (RM)"/>
    <s v="System Administrator"/>
    <s v="System Administrator"/>
    <m/>
    <x v="0"/>
  </r>
  <r>
    <m/>
    <x v="1"/>
    <s v="Estero e Sistemi Specialistici"/>
    <s v="SCAFIDI"/>
    <s v="ALESSANDRO"/>
    <s v="U028712"/>
    <s v="alessandro.scafidi@intesasanpaolo.com"/>
    <s v="BOLOGNA"/>
    <s v="PIAZZA SAN DOMENICO - 40124 BOLOGNA (BO)"/>
    <s v="Project Manager "/>
    <s v="System Administrator"/>
    <m/>
    <x v="0"/>
  </r>
  <r>
    <m/>
    <x v="1"/>
    <s v="Gest. Arch. Banca IMI, Risk, Tesoreria"/>
    <s v="SCARAMASTRA"/>
    <s v="FABIO"/>
    <s v="U363987"/>
    <s v="fabio.scaramastra@intesasanpaolo.com"/>
    <s v="BISCEGLIE (MI)"/>
    <s v="VIA BISCEGLIE, 120 - 20152 MILANO (MI)"/>
    <s v="System Administrator"/>
    <s v="System Administrator"/>
    <m/>
    <x v="0"/>
  </r>
  <r>
    <m/>
    <x v="1"/>
    <s v="Arch. Dist. Banca IMI, Risk, Tesoreria"/>
    <s v="SICIGNANO"/>
    <s v="RAFFAELE"/>
    <s v="U301276"/>
    <s v="raffaele.sicignano@intesasanpaolo.com"/>
    <s v="BISCEGLIE (MI)"/>
    <s v="VIA BISCEGLIE, 120 - 20152 MILANO (MI)"/>
    <s v="Project Manager "/>
    <s v="Project Manager"/>
    <m/>
    <x v="0"/>
  </r>
  <r>
    <m/>
    <x v="1"/>
    <s v="Arch. Dist. Fideuram"/>
    <s v="SIRACUSA"/>
    <s v="DARIO"/>
    <s v="  "/>
    <s v="dario.siracusa@intesasanpaolo.com"/>
    <s v="ROMA"/>
    <s v="VIA VINCENZO LAMARO, 25 - 00173 ROMA (RM)"/>
    <s v="Data Base Administrator"/>
    <e v="#N/A"/>
    <m/>
    <x v="0"/>
  </r>
  <r>
    <m/>
    <x v="1"/>
    <s v="Gest. Arch. Banca IMI, Risk, Tesoreria"/>
    <s v="SPINELLI"/>
    <s v="MONICA"/>
    <s v="U084063"/>
    <s v="monica.spinelli@intesasanpaolo.com"/>
    <s v="BISCEGLIE (MI)"/>
    <s v="VIA BISCEGLIE, 120 - 20152 MILANO (MI)"/>
    <s v="Data Base Administrator"/>
    <s v="Data Base Administrator"/>
    <m/>
    <x v="0"/>
  </r>
  <r>
    <m/>
    <x v="1"/>
    <s v="Gest. Arch. Banca IMI, Risk, Tesoreria"/>
    <s v="UGENTI"/>
    <s v="GIANMARCO"/>
    <s v="  "/>
    <s v="gianmarco.ugenti@intesasanpaolo.com"/>
    <s v="BISCEGLIE (MI)"/>
    <s v="VIA BISCEGLIE, 120 - 20152 MILANO (MI)"/>
    <s v="Data Base Administrator"/>
    <e v="#N/A"/>
    <m/>
    <x v="0"/>
  </r>
  <r>
    <m/>
    <x v="1"/>
    <s v="Arch. Dist. Fideuram"/>
    <s v="VILLO'"/>
    <s v="OLIVIO"/>
    <s v="U301291"/>
    <s v="olivio.villo@intesasanpaolo.com"/>
    <s v="ROMA"/>
    <s v="VIA VINCENZO LAMARO, 25 - 00173 ROMA (RM)"/>
    <s v="System Administrator"/>
    <s v="System Administrator"/>
    <m/>
    <x v="0"/>
  </r>
  <r>
    <m/>
    <x v="1"/>
    <s v="Estero e Sistemi Specialistici"/>
    <s v="ZANELLA"/>
    <s v="ANDREA"/>
    <s v="U086409"/>
    <s v="andrea.zanella@intesasanpaolo.com"/>
    <s v="PARMA"/>
    <s v="VIA LANGHIRANO, 1 - PAL. C - 43100 PARMA (PR)"/>
    <s v="Infrastructure Architect"/>
    <s v="System Administrator"/>
    <m/>
    <x v="0"/>
  </r>
  <r>
    <m/>
    <x v="1"/>
    <s v="Gest. Arch. Banca IMI, Risk, Tesoreria"/>
    <s v="ZANETTI"/>
    <s v="MATTEO"/>
    <s v="  "/>
    <s v="matteo.zanetti@intesasanpaolo.com"/>
    <s v="GIORDANO (MI)"/>
    <s v="P.TTA GIORDANO DELL'AMORE, 3 - 20121 MILANO (MI)"/>
    <s v="System Administrator"/>
    <e v="#N/A"/>
    <m/>
    <x v="0"/>
  </r>
  <r>
    <m/>
    <x v="1"/>
    <s v="Gest. Arch. Banca IMI, Risk, Tesoreria"/>
    <s v="ZANOTTA"/>
    <s v="PAOLO"/>
    <s v="U085958"/>
    <s v="paolo.zanotta@intesasanpaolo.com"/>
    <s v="BISCEGLIE (MI)"/>
    <s v="VIA BISCEGLIE, 120 - 20152 MILANO (MI)"/>
    <s v="System Administrator"/>
    <s v="Network Administrator"/>
    <m/>
    <x v="0"/>
  </r>
  <r>
    <s v="CAPO UFFICIO"/>
    <x v="2"/>
    <m/>
    <s v="COLASANTO"/>
    <s v="ANTONIO"/>
    <s v="  "/>
    <s v="antonio.colasanto@intesasanpaolo.com"/>
    <s v="MONCALIERI (TO)"/>
    <s v="CORSO SAVONA, 58 - 10024 MONCALIERI (TO)"/>
    <s v="  "/>
    <e v="#N/A"/>
    <m/>
    <x v="0"/>
  </r>
  <r>
    <s v="COORDINATORE COA"/>
    <x v="2"/>
    <s v="CC Database"/>
    <s v="BRUNO"/>
    <s v="GIOVANNI"/>
    <s v="U018933"/>
    <s v="giovanni.bruno1@intesasanpaolo.com"/>
    <s v="MONCALIERI (TO)"/>
    <s v="CORSO SAVONA, 58 - 10024 MONCALIERI (TO)"/>
    <s v="IT Coordinator"/>
    <s v="IT Coordinator"/>
    <s v="IT Coordinator"/>
    <x v="0"/>
  </r>
  <r>
    <s v="COORDINATORE COA"/>
    <x v="2"/>
    <s v="CC Server Farm e Storage"/>
    <s v="CAVALIERE"/>
    <s v="MARCO"/>
    <s v="U016369"/>
    <s v="marco.cavaliere@intesasanpaolo.com"/>
    <s v="MONCALIERI (TO)"/>
    <s v="CORSO SAVONA, 58 - 10024 MONCALIERI (TO)"/>
    <s v="IT Coordinator"/>
    <s v="IT Coordinator"/>
    <s v="IT Coordinator"/>
    <x v="0"/>
  </r>
  <r>
    <s v="COORDINATORE COA"/>
    <x v="2"/>
    <s v="Coordinamento Progetti"/>
    <s v="EINAUDI"/>
    <s v="GIORGIO"/>
    <s v="U018221"/>
    <s v="giorgio.einaudi@intesasanpaolo.com"/>
    <s v="MONCALIERI (TO)"/>
    <s v="CORSO SAVONA, 58 - 10024 MONCALIERI (TO)"/>
    <s v="IT Coordinator"/>
    <s v="IT Coordinator"/>
    <s v="IT Coordinator"/>
    <x v="0"/>
  </r>
  <r>
    <s v="COORDINATORE COA"/>
    <x v="2"/>
    <s v="CC Application"/>
    <s v="FASANO"/>
    <s v="FLAVIO"/>
    <s v="U019659"/>
    <s v="flavio.fasano@intesasanpaolo.com"/>
    <s v="MONCALIERI (TO)"/>
    <s v="CORSO SAVONA, 58 - 10024 MONCALIERI (TO)"/>
    <s v="IT Coordinator"/>
    <s v="IT Coordinator"/>
    <s v="IT Coordinator"/>
    <x v="0"/>
  </r>
  <r>
    <s v="COORDINATORE COA"/>
    <x v="2"/>
    <s v="CC DC SW e Rete"/>
    <s v="GRIBAUDO"/>
    <s v="EZIO"/>
    <s v="U017377"/>
    <s v="ezio.gribaudo@intesasanpaolo.com"/>
    <s v="MONCALIERI (TO)"/>
    <s v="CORSO SAVONA, 58 - 10024 MONCALIERI (TO)"/>
    <s v="IT Coordinator"/>
    <s v="IT Coordinator"/>
    <s v="IT Coordinator"/>
    <x v="0"/>
  </r>
  <r>
    <s v="COORDINATORE COA"/>
    <x v="2"/>
    <s v="CC Sistemi DWH e BI"/>
    <s v="NOVARO"/>
    <s v="ROBERTO"/>
    <s v="U028140"/>
    <s v="roberto.novaro@intesasanpaolo.com"/>
    <s v="MONCALIERI (TO)"/>
    <s v="CORSO SAVONA, 58 - 10024 MONCALIERI (TO)"/>
    <s v="IT Coordinator"/>
    <s v="Project Manager"/>
    <s v="IT Coordinator"/>
    <x v="0"/>
  </r>
  <r>
    <s v="COORDINATORE COA"/>
    <x v="2"/>
    <s v="Data Mgmt e Supporto Storage"/>
    <s v="PARISI"/>
    <s v="GIANMARIO"/>
    <s v="U023180"/>
    <s v="gianmario.parisi@intesasanpaolo.com"/>
    <s v="MONCALIERI (TO)"/>
    <s v="CORSO SAVONA, 58 - 10024 MONCALIERI (TO)"/>
    <s v="IT Coordinator"/>
    <s v="System Administrator"/>
    <s v="IT Coordinator"/>
    <x v="0"/>
  </r>
  <r>
    <s v="COORDINATORE COA"/>
    <x v="2"/>
    <s v="DR e BC"/>
    <s v="TRAFICANTE"/>
    <s v="GIANLUCA"/>
    <s v="U024722"/>
    <s v="gianluca.traficante@intesasanpaolo.com"/>
    <s v="MONCALIERI (TO)"/>
    <s v="CORSO SAVONA, 58 - 10024 MONCALIERI (TO)"/>
    <s v="IT Coordinator"/>
    <s v="System Administrator"/>
    <s v="IT Coordinator"/>
    <x v="0"/>
  </r>
  <r>
    <m/>
    <x v="2"/>
    <s v="CC Application"/>
    <s v="ADDARIO"/>
    <s v="ANTONIO"/>
    <s v="  "/>
    <s v="antonio.addario@intesasanpaolo.com"/>
    <s v="MONCALIERI (TO)"/>
    <s v="CORSO SAVONA, 58 - 10024 MONCALIERI (TO)"/>
    <s v="System Administrator"/>
    <e v="#N/A"/>
    <s v="Project Manager "/>
    <x v="1"/>
  </r>
  <r>
    <m/>
    <x v="2"/>
    <s v="Coordinamento Progetti"/>
    <s v="ALESSANDRIA"/>
    <s v="WALTER"/>
    <s v="  "/>
    <s v="walter.alessandria@intesasanpaolo.com"/>
    <s v="MONCALIERI (TO)"/>
    <s v="CORSO SAVONA, 58 - 10024 MONCALIERI (TO)"/>
    <s v="Infrastructure Architect"/>
    <e v="#N/A"/>
    <s v="Infrastructure Architect"/>
    <x v="3"/>
  </r>
  <r>
    <m/>
    <x v="2"/>
    <s v="CC Database"/>
    <s v="ALLOISIO"/>
    <s v="PIERMARIO"/>
    <s v="U026567"/>
    <s v="piermario.alloisio@intesasanpaolo.com"/>
    <s v="MONCALIERI (TO)"/>
    <s v="CORSO SAVONA, 58 - 10024 MONCALIERI (TO)"/>
    <s v="Project Manager "/>
    <s v="Project Manager"/>
    <s v="Infrastructure Architect"/>
    <x v="3"/>
  </r>
  <r>
    <m/>
    <x v="2"/>
    <s v="Coordinamento Progetti"/>
    <s v="ANDREIS"/>
    <s v="PIERO"/>
    <s v="U017976"/>
    <s v="piero.andreis@intesasanpaolo.com"/>
    <s v="MONCALIERI (TO)"/>
    <s v="CORSO SAVONA, 58 - 10024 MONCALIERI (TO)"/>
    <s v="Delivery manager"/>
    <s v="System Administrator"/>
    <s v="Delivery manager"/>
    <x v="4"/>
  </r>
  <r>
    <m/>
    <x v="2"/>
    <s v="CC Database"/>
    <s v="ANELLI"/>
    <s v="CRISTINA"/>
    <s v="U086189"/>
    <s v="cristina.anelli@intesasanpaolo.com"/>
    <s v="PARMA"/>
    <s v="VIA LANGHIRANO, 1 - PAL. C - 43100 PARMA (PR)"/>
    <s v="Data Base Administrator"/>
    <s v="Data Base Administrator"/>
    <s v="Data Base Administrator"/>
    <x v="0"/>
  </r>
  <r>
    <m/>
    <x v="2"/>
    <s v="Data Mgmt e Supporto Storage"/>
    <s v="ANSELMINO"/>
    <s v="MARCO"/>
    <s v="U023944"/>
    <s v="marco.anselmino@intesasanpaolo.com"/>
    <s v="MONCALIERI (TO)"/>
    <s v="CORSO SAVONA, 58 - 10024 MONCALIERI (TO)"/>
    <s v="System Administrator"/>
    <s v="System Administrator"/>
    <s v="System Administrator"/>
    <x v="0"/>
  </r>
  <r>
    <m/>
    <x v="2"/>
    <s v="CC Server Farm e Storage"/>
    <s v="ARUTA"/>
    <s v="MARCO"/>
    <s v="U024675"/>
    <s v="marco.aruta@intesasanpaolo.com"/>
    <s v="MONCALIERI (TO)"/>
    <s v="CORSO SAVONA, 58 - 10024 MONCALIERI (TO)"/>
    <s v="Project Manager "/>
    <s v="IT Coordinator"/>
    <s v="Infrastructure Architect"/>
    <x v="3"/>
  </r>
  <r>
    <m/>
    <x v="2"/>
    <s v="CC Server Farm e Storage"/>
    <s v="ASTORINO"/>
    <s v="FLAVIO"/>
    <s v="  "/>
    <s v="flavio.astorino@intesasanpaolo.com"/>
    <s v="MONCALIERI (TO)"/>
    <s v="CORSO SAVONA, 58 - 10024 MONCALIERI (TO)"/>
    <s v="Security Infrastructure Specialist"/>
    <e v="#N/A"/>
    <s v="Security Infrastructure Specialist"/>
    <x v="5"/>
  </r>
  <r>
    <m/>
    <x v="2"/>
    <s v="Data Mgmt e Supporto Storage"/>
    <s v="BALBI SETTINO"/>
    <s v="DANIELE"/>
    <s v="  "/>
    <s v="daniele.balbisettino@intesasanpaolo.com"/>
    <s v="PARMA"/>
    <s v="VIA LANGHIRANO, 1 - PAL. C - 43100 PARMA (PR)"/>
    <s v="System Administrator"/>
    <e v="#N/A"/>
    <s v="System Administrator"/>
    <x v="0"/>
  </r>
  <r>
    <m/>
    <x v="2"/>
    <s v="CC Database"/>
    <s v="BELLINI"/>
    <s v="FRANCESCO"/>
    <s v="  "/>
    <s v="francesco.bellini@intesasanpaolo.com"/>
    <s v="MONCALIERI (TO)"/>
    <s v="CORSO SAVONA, 58 - 10024 MONCALIERI (TO)"/>
    <s v="Data Base Administrator"/>
    <e v="#N/A"/>
    <s v="IT Coordinator"/>
    <x v="0"/>
  </r>
  <r>
    <m/>
    <x v="2"/>
    <s v="CC Server Farm e Storage"/>
    <s v="BELLUCCI"/>
    <s v="ELIO"/>
    <s v="U074627"/>
    <s v="elio.bellucci@intesasanpaolo.com"/>
    <s v="NAPOLI"/>
    <s v="VIA G. MARCONI, 15 - 80125 NAPOLI (NA)"/>
    <s v="Infrastructure Architect"/>
    <s v="IT Consultant"/>
    <s v="System Administrator"/>
    <x v="0"/>
  </r>
  <r>
    <m/>
    <x v="2"/>
    <s v="CC Server Farm e Storage"/>
    <s v="BENINCASA"/>
    <s v="SARA"/>
    <s v="  "/>
    <s v="sara.benincasa@intesasanpaolo.com"/>
    <s v="NAPOLI"/>
    <s v="VIA G. MARCONI, 15 - 80125 NAPOLI (NA)"/>
    <s v="System Administrator"/>
    <e v="#N/A"/>
    <s v="System Administrator"/>
    <x v="0"/>
  </r>
  <r>
    <m/>
    <x v="2"/>
    <s v="Data Mgmt e Supporto Storage"/>
    <s v="BERNARDO"/>
    <s v="FABIO"/>
    <s v="  "/>
    <s v="fabio.bernardo@intesasanpaolo.com"/>
    <s v="MONCALIERI (TO)"/>
    <s v="CORSO SAVONA, 58 - 10024 MONCALIERI (TO)"/>
    <s v="System Administrator"/>
    <e v="#N/A"/>
    <s v="System Administrator"/>
    <x v="0"/>
  </r>
  <r>
    <m/>
    <x v="2"/>
    <s v="CC Database"/>
    <s v="BERTOLOTTI"/>
    <s v="ERMANNO"/>
    <s v="U086198"/>
    <s v="ermanno.bertolotti@intesasanpaolo.com"/>
    <s v="PARMA"/>
    <s v="VIA LANGHIRANO, 1 - PAL. C - 43100 PARMA (PR)"/>
    <s v="Data Base Administrator"/>
    <s v="Data Base Administrator"/>
    <s v="Program Manager"/>
    <x v="1"/>
  </r>
  <r>
    <m/>
    <x v="2"/>
    <s v="CC DC SW e Rete"/>
    <s v="BINELLO"/>
    <s v="GIOVANNI"/>
    <s v="U018062"/>
    <s v="giovanni.binello@intesasanpaolo.com"/>
    <s v="MONCALIERI (TO)"/>
    <s v="CORSO SAVONA, 58 - 10024 MONCALIERI (TO)"/>
    <s v="System Administrator"/>
    <s v="System Administrator"/>
    <s v="Infrastructure Architect"/>
    <x v="3"/>
  </r>
  <r>
    <m/>
    <x v="2"/>
    <s v="Data Mgmt e Supporto Storage"/>
    <s v="BROGLIA"/>
    <s v="CHIARA"/>
    <s v="U086167"/>
    <s v="chiara.broglia@intesasanpaolo.com"/>
    <s v="PARMA"/>
    <s v="VIA LANGHIRANO, 1 - PAL. C - 43100 PARMA (PR)"/>
    <s v="System Administrator"/>
    <s v="System Administrator"/>
    <s v="System Administrator"/>
    <x v="0"/>
  </r>
  <r>
    <m/>
    <x v="2"/>
    <s v="CC Server Farm e Storage"/>
    <s v="BUCCIGROSSI"/>
    <s v="MARIO"/>
    <s v="U076218"/>
    <s v="mario.buccigrossi@intesasanpaolo.com"/>
    <s v="NAPOLI"/>
    <s v="VIA G. MARCONI, 15 - 80125 NAPOLI (NA)"/>
    <s v="System Administrator"/>
    <s v="System Administrator"/>
    <s v="System Administrator"/>
    <x v="0"/>
  </r>
  <r>
    <m/>
    <x v="2"/>
    <s v="DR e BC"/>
    <s v="BUSANI"/>
    <s v="DANIELA"/>
    <s v="  "/>
    <s v="daniela.busani@intesasanpaolo.com"/>
    <s v="PARMA"/>
    <s v="VIA LANGHIRANO, 1 - PAL. C - 43100 PARMA (PR)"/>
    <s v="Project Manager "/>
    <e v="#N/A"/>
    <s v="DR &amp; Business Continuity Specialist"/>
    <x v="3"/>
  </r>
  <r>
    <m/>
    <x v="2"/>
    <s v="CC Server Farm e Storage"/>
    <s v="CAMINO"/>
    <s v="PAOLO"/>
    <s v="  "/>
    <s v="paolo.camino@intesasanpaolo.com"/>
    <s v="MONCALIERI (TO)"/>
    <s v="CORSO SAVONA, 58 - 10024 MONCALIERI (TO)"/>
    <s v="Security Infrastructure Specialist"/>
    <e v="#N/A"/>
    <s v="Security Infrastructure Specialist"/>
    <x v="5"/>
  </r>
  <r>
    <m/>
    <x v="2"/>
    <s v="Coordinamento Progetti"/>
    <s v="CANUTO"/>
    <s v="DANILO"/>
    <s v="U022895"/>
    <s v="danilo.canuto@intesasanpaolo.com"/>
    <s v="MONCALIERI (TO)"/>
    <s v="CORSO SAVONA, 58 - 10024 MONCALIERI (TO)"/>
    <s v="Project Manager "/>
    <s v="Project Manager"/>
    <s v="Program Manager"/>
    <x v="1"/>
  </r>
  <r>
    <m/>
    <x v="2"/>
    <s v="CC Database"/>
    <s v="CAPOBIANCO"/>
    <s v="GIUSEPPE"/>
    <s v="U028057"/>
    <s v="giuseppe.capobianco@intesasanpaolo.com"/>
    <s v="MONCALIERI (TO)"/>
    <s v="CORSO SAVONA, 58 - 10024 MONCALIERI (TO)"/>
    <s v="Data Base Administrator"/>
    <s v="Data Base Administrator"/>
    <s v="Data Base Administrator"/>
    <x v="0"/>
  </r>
  <r>
    <m/>
    <x v="2"/>
    <s v="CC Server Farm e Storage"/>
    <s v="CARACO'"/>
    <s v="LORENZO"/>
    <s v="  "/>
    <s v="lorenzo.caraco@intesasanpaolo.com"/>
    <s v="MONCALIERI (TO)"/>
    <s v="CORSO SAVONA, 58 - 10024 MONCALIERI (TO)"/>
    <s v="System Administrator"/>
    <e v="#N/A"/>
    <s v="System Administrator"/>
    <x v="0"/>
  </r>
  <r>
    <m/>
    <x v="2"/>
    <s v="Coordinamento Progetti"/>
    <s v="CARENA"/>
    <s v="LILIANA"/>
    <s v="U023931"/>
    <s v="liliana.carena@intesasanpaolo.com"/>
    <s v="MONCALIERI (TO)"/>
    <s v="CORSO SAVONA, 58 - 10024 MONCALIERI (TO)"/>
    <s v="Project Manager "/>
    <s v="Project Manager"/>
    <s v="Program Manager"/>
    <x v="1"/>
  </r>
  <r>
    <m/>
    <x v="2"/>
    <s v="CC Application"/>
    <s v="CARITA'"/>
    <s v="ELISABETTA"/>
    <s v="  "/>
    <s v="elisabetta.carita@intesasanpaolo.com"/>
    <s v="MONCALIERI (TO)"/>
    <s v="CORSO SAVONA, 58 - 10024 MONCALIERI (TO)"/>
    <s v="PaaS &amp; Container Specialist"/>
    <e v="#N/A"/>
    <s v="PaaS &amp; Container Specialist"/>
    <x v="6"/>
  </r>
  <r>
    <m/>
    <x v="2"/>
    <s v="CC DC SW e Rete"/>
    <s v="CATALANO"/>
    <s v="MARCO"/>
    <s v="  "/>
    <s v="marco.catalano1@intesasanpaolo.com"/>
    <s v="MONCALIERI (TO)"/>
    <s v="CORSO SAVONA, 58 - 10024 MONCALIERI (TO)"/>
    <s v="System Administrator"/>
    <e v="#N/A"/>
    <s v="Data Communication Administrator"/>
    <x v="0"/>
  </r>
  <r>
    <m/>
    <x v="2"/>
    <s v="CC Sistemi DWH e BI"/>
    <s v="CENCI"/>
    <s v="ERIK"/>
    <s v="U357314"/>
    <s v="erik.cenci@intesasanpaolo.com"/>
    <s v="MONCALIERI (TO)"/>
    <s v="CORSO SAVONA, 58 - 10024 MONCALIERI (TO)"/>
    <s v="System Administrator"/>
    <s v="System Administrator"/>
    <s v="Big Data Solution Architect"/>
    <x v="3"/>
  </r>
  <r>
    <m/>
    <x v="2"/>
    <s v="CC Sistemi DWH e BI"/>
    <s v="CENTONZE"/>
    <s v="MARIANGELA"/>
    <s v="U357646"/>
    <s v="mariangela.centonze@intesasanpaolo.com"/>
    <s v="MONCALIERI (TO)"/>
    <s v="CORSO SAVONA, 58 - 10024 MONCALIERI (TO)"/>
    <s v="Infrastructure Data Analyst/Scientist "/>
    <s v="System Administrator"/>
    <s v="Infrastructure Data Analyst/Scientist "/>
    <x v="0"/>
  </r>
  <r>
    <m/>
    <x v="2"/>
    <s v="CC Sistemi DWH e BI"/>
    <s v="CERRINA"/>
    <s v="STEFANO"/>
    <s v="U025882"/>
    <s v="stefano.cerrina@intesasanpaolo.com"/>
    <s v="MONCALIERI (TO)"/>
    <s v="CORSO SAVONA, 58 - 10024 MONCALIERI (TO)"/>
    <s v="System Administrator"/>
    <s v="System Administrator"/>
    <s v="Big Data Solution Architect"/>
    <x v="3"/>
  </r>
  <r>
    <m/>
    <x v="2"/>
    <s v="CC Sistemi DWH e BI"/>
    <s v="CHIALVA"/>
    <s v="MILENA"/>
    <s v="  "/>
    <s v="milena.chialva@intesasanpaolo.com"/>
    <s v="MONCALIERI (TO)"/>
    <s v="CORSO SAVONA, 58 - 10024 MONCALIERI (TO)"/>
    <s v="Infrastructure Data Analyst/Scientist "/>
    <e v="#N/A"/>
    <s v="Infrastructure Data Analyst/Scientist "/>
    <x v="0"/>
  </r>
  <r>
    <m/>
    <x v="2"/>
    <s v="CC DC SW e Rete"/>
    <s v="CHIANTELLO"/>
    <s v="MARCO"/>
    <s v="U014947"/>
    <s v="marco.chiantello@intesasanpaolo.com"/>
    <s v="MONCALIERI (TO)"/>
    <s v="CORSO SAVONA, 58 - 10024 MONCALIERI (TO)"/>
    <s v="System Administrator"/>
    <s v="System Administrator"/>
    <s v="System Administrator"/>
    <x v="0"/>
  </r>
  <r>
    <m/>
    <x v="2"/>
    <s v="Coordinamento Progetti"/>
    <s v="CHIARA"/>
    <s v="FLORIANA"/>
    <s v="U027006"/>
    <s v="floriana.chiara@intesasanpaolo.com"/>
    <s v="MONCALIERI (TO)"/>
    <s v="CORSO SAVONA, 58 - 10024 MONCALIERI (TO)"/>
    <s v="Project Manager "/>
    <s v="Project Manager"/>
    <s v="Project Manager "/>
    <x v="1"/>
  </r>
  <r>
    <m/>
    <x v="2"/>
    <s v="CC Server Farm e Storage"/>
    <s v="CHIRIACO"/>
    <s v="PIETRO"/>
    <s v="U040177"/>
    <s v="pietro.chiriaco@intesasanpaolo.com"/>
    <s v="MONCALIERI (TO)"/>
    <s v="CORSO SAVONA, 58 - 10024 MONCALIERI (TO)"/>
    <s v="System Administrator"/>
    <s v="System Administrator"/>
    <s v="Project Manager "/>
    <x v="1"/>
  </r>
  <r>
    <m/>
    <x v="2"/>
    <s v="DR e BC"/>
    <s v="COGNI"/>
    <s v="ROBERTO"/>
    <s v="U086162"/>
    <s v="roberto.cogni@intesasanpaolo.com"/>
    <s v="BISCEGLIE (MI)"/>
    <s v="VIA BISCEGLIE, 120 - 20152 MILANO (MI)"/>
    <s v="Data Base Administrator"/>
    <s v="Data Base Administrator"/>
    <s v="DR &amp; Business Continuity Specialist"/>
    <x v="3"/>
  </r>
  <r>
    <m/>
    <x v="2"/>
    <s v="CC Server Farm e Storage"/>
    <s v="COLOMBRITA"/>
    <s v="GIOVANNI"/>
    <s v="U025243"/>
    <s v="giovanni.colombrita@intesasanpaolo.com"/>
    <s v="MONCALIERI (TO)"/>
    <s v="CORSO SAVONA, 58 - 10024 MONCALIERI (TO)"/>
    <s v="Security Infrastructure Specialist"/>
    <s v="System Administrator"/>
    <s v="Security Infrastructure Specialist"/>
    <x v="5"/>
  </r>
  <r>
    <m/>
    <x v="2"/>
    <s v="CC DC SW e Rete"/>
    <s v="COMPARI"/>
    <s v="FRANCESCO"/>
    <s v="U086131"/>
    <s v="francesco.compari@intesasanpaolo.com"/>
    <s v="PARMA"/>
    <s v="VIA LANGHIRANO, 1 - PAL. C - 43100 PARMA (PR)"/>
    <s v="System Administrator"/>
    <s v="System Administrator"/>
    <s v="Data Communication Administrator"/>
    <x v="0"/>
  </r>
  <r>
    <m/>
    <x v="2"/>
    <s v="CC Application"/>
    <s v="CONCONI"/>
    <s v="ALESSANDRO"/>
    <s v="U357595"/>
    <s v="alessandro.conconi@intesasanpaolo.com"/>
    <s v="MONCALIERI (TO)"/>
    <s v="CORSO SAVONA, 58 - 10024 MONCALIERI (TO)"/>
    <s v="PaaS &amp; Container Specialist"/>
    <s v="Project Manager"/>
    <s v="PaaS &amp; Container Specialist"/>
    <x v="6"/>
  </r>
  <r>
    <m/>
    <x v="2"/>
    <s v="CC Server Farm e Storage"/>
    <s v="CONTI"/>
    <s v="FRANCESCO"/>
    <s v="  "/>
    <s v="francesco.conti1@intesasanpaolo.com"/>
    <s v="MONCALIERI (TO)"/>
    <s v="CORSO SAVONA, 58 - 10024 MONCALIERI (TO)"/>
    <s v="System Administrator"/>
    <e v="#N/A"/>
    <s v="Software Defined Data Center Specialist "/>
    <x v="3"/>
  </r>
  <r>
    <m/>
    <x v="2"/>
    <s v="Coordinamento Progetti"/>
    <s v="CORGIOLU"/>
    <s v="ALESSANDRO"/>
    <s v="U083411"/>
    <s v="alessandro.corgiolu@intesasanpaolo.com"/>
    <s v="BISCEGLIE (MI)"/>
    <s v="VIA BISCEGLIE, 120 - 20152 MILANO (MI)"/>
    <s v="Client Relationship Manager"/>
    <s v="System Administrator"/>
    <s v="Client Relationship Manager"/>
    <x v="5"/>
  </r>
  <r>
    <m/>
    <x v="2"/>
    <s v="CC Application"/>
    <s v="CROVAGNA"/>
    <s v="ANDREA DARIO"/>
    <s v="  "/>
    <s v="andrea.crovagna@intesasanpaolo.com"/>
    <s v="MONCALIERI (TO)"/>
    <s v="CORSO SAVONA, 58 - 10024 MONCALIERI (TO)"/>
    <s v="Infrastructure Architect"/>
    <e v="#N/A"/>
    <s v="Infrastructure Architect"/>
    <x v="3"/>
  </r>
  <r>
    <m/>
    <x v="2"/>
    <s v="Data Mgmt e Supporto Storage"/>
    <s v="CURATOLO"/>
    <s v="CRISTIAN"/>
    <s v="U028059"/>
    <s v="cristian.curatolo@intesasanpaolo.com"/>
    <s v="MONCALIERI (TO)"/>
    <s v="CORSO SAVONA, 58 - 10024 MONCALIERI (TO)"/>
    <s v="System Administrator"/>
    <s v="System Administrator"/>
    <s v="System Administrator"/>
    <x v="0"/>
  </r>
  <r>
    <m/>
    <x v="2"/>
    <s v="Coordinamento Progetti"/>
    <s v="CUTRUPI"/>
    <s v="ALESSIA"/>
    <s v="U026604"/>
    <s v="alessia.cutrupi@intesasanpaolo.com"/>
    <s v="MONCALIERI (TO)"/>
    <s v="CORSO SAVONA, 58 - 10024 MONCALIERI (TO)"/>
    <s v="Delivery manager"/>
    <s v="System Administrator"/>
    <s v="Program Manager"/>
    <x v="1"/>
  </r>
  <r>
    <m/>
    <x v="2"/>
    <s v="DR e BC"/>
    <s v="D'ACUNTO"/>
    <s v="DAVIDE"/>
    <s v="U018263"/>
    <s v="davide.dacunto@intesasanpaolo.com"/>
    <s v="MONCALIERI (TO)"/>
    <s v="CORSO SAVONA, 58 - 10024 MONCALIERI (TO)"/>
    <s v="DR &amp; Business Continuity Specialist"/>
    <s v="System Administrator"/>
    <s v="DR &amp; Business Continuity Specialist"/>
    <x v="3"/>
  </r>
  <r>
    <m/>
    <x v="2"/>
    <s v="CC DC SW e Rete"/>
    <s v="D'AGOSTINO"/>
    <s v="NUNZIO"/>
    <s v="  "/>
    <s v="nunzio.dagostino@intesasanpaolo.com"/>
    <s v="MONCALIERI (TO)"/>
    <s v="CORSO SAVONA, 58 - 10024 MONCALIERI (TO)"/>
    <s v="API Specialist "/>
    <e v="#N/A"/>
    <s v="API Specialist "/>
    <x v="3"/>
  </r>
  <r>
    <m/>
    <x v="2"/>
    <s v="DR e BC"/>
    <s v="DAMI"/>
    <s v="ROBERTO"/>
    <s v="U301190"/>
    <s v="roberto.dami@intesasanpaolo.com"/>
    <s v="PARMA"/>
    <s v="VIA LANGHIRANO, 1 - PAL. C - 43100 PARMA (PR)"/>
    <s v="DR &amp; Business Continuity Specialist"/>
    <s v="IT Coordinator"/>
    <s v="DR &amp; Business Continuity Specialist"/>
    <x v="3"/>
  </r>
  <r>
    <m/>
    <x v="2"/>
    <s v="CC Server Farm e Storage"/>
    <s v="D'ANDREA"/>
    <s v="DAVIDE"/>
    <s v="  "/>
    <s v="davide.dandrea@intesasanpaolo.com"/>
    <s v="MONCALIERI (TO)"/>
    <s v="CORSO SAVONA, 58 - 10024 MONCALIERI (TO)"/>
    <s v="System Administrator"/>
    <e v="#N/A"/>
    <s v="System Administrator"/>
    <x v="0"/>
  </r>
  <r>
    <m/>
    <x v="2"/>
    <s v="CC Server Farm e Storage"/>
    <s v="D'APICE"/>
    <s v="MASSIMO"/>
    <s v="U085930"/>
    <s v="massimo.dapice@intesasanpaolo.com"/>
    <s v="MONCALIERI (TO)"/>
    <s v="CORSO SAVONA, 58 - 10024 MONCALIERI (TO)"/>
    <s v="Project Manager "/>
    <s v="Project Manager"/>
    <s v="Program Manager"/>
    <x v="1"/>
  </r>
  <r>
    <m/>
    <x v="2"/>
    <s v="Data Mgmt e Supporto Storage"/>
    <s v="DE MARTINO"/>
    <s v="DAVIDE"/>
    <s v="U024932"/>
    <s v="davide.demartino@intesasanpaolo.com"/>
    <s v="MONCALIERI (TO)"/>
    <s v="CORSO SAVONA, 58 - 10024 MONCALIERI (TO)"/>
    <s v="System Administrator"/>
    <s v="System Administrator"/>
    <s v="Project Manager "/>
    <x v="1"/>
  </r>
  <r>
    <m/>
    <x v="2"/>
    <m/>
    <s v="DELLA GHEZZA"/>
    <s v="TOMMASO"/>
    <s v="U035919"/>
    <s v="tommaso.dellaghezza@intesasanpaolo.com"/>
    <s v="PARMA"/>
    <s v="VIA LANGHIRANO, 1 - PAL. C - 43100 PARMA (PR)"/>
    <s v="System Administrator"/>
    <s v="System Administrator"/>
    <s v="Client Relationship Manager"/>
    <x v="5"/>
  </r>
  <r>
    <m/>
    <x v="2"/>
    <s v="Data Mgmt e Supporto Storage"/>
    <s v="DELLI QUADRI"/>
    <s v="GIUSEPPE"/>
    <s v="U085953"/>
    <s v="giuseppe.delliquadri@intesasanpaolo.com"/>
    <s v="PARMA"/>
    <s v="VIA LANGHIRANO, 1 - PAL. C - 43100 PARMA (PR)"/>
    <s v="System Administrator"/>
    <s v="System Administrator"/>
    <s v="System Administrator"/>
    <x v="0"/>
  </r>
  <r>
    <m/>
    <x v="2"/>
    <s v="Data Mgmt e Supporto Storage"/>
    <s v="DERLI"/>
    <s v="VEACESLAV"/>
    <s v="  "/>
    <s v="veaceslav.derli@intesasanpaolo.com"/>
    <s v="MONCALIERI (TO)"/>
    <s v="CORSO SAVONA, 58 - 10024 MONCALIERI (TO)"/>
    <s v="System Administrator"/>
    <e v="#N/A"/>
    <s v="System Administrator"/>
    <x v="0"/>
  </r>
  <r>
    <m/>
    <x v="2"/>
    <s v="CC DC SW e Rete"/>
    <s v="DURANDO"/>
    <s v="MANUEL"/>
    <s v="  "/>
    <s v="manuel.durando@intesasanpaolo.com"/>
    <s v="MONCALIERI (TO)"/>
    <s v="CORSO SAVONA, 58 - 10024 MONCALIERI (TO)"/>
    <s v="Data Communication Administrator"/>
    <e v="#N/A"/>
    <s v="API Specialist "/>
    <x v="3"/>
  </r>
  <r>
    <m/>
    <x v="2"/>
    <s v="Data Mgmt e Supporto Storage"/>
    <s v="FOGLIASSO"/>
    <s v="ROBERTO"/>
    <s v="U019817"/>
    <s v="roberto.fogliasso@intesasanpaolo.com"/>
    <s v="MONCALIERI (TO)"/>
    <s v="CORSO SAVONA, 58 - 10024 MONCALIERI (TO)"/>
    <s v="System Administrator"/>
    <s v="System Administrator"/>
    <s v="Software Defined Storage Specialist"/>
    <x v="3"/>
  </r>
  <r>
    <m/>
    <x v="2"/>
    <s v="CC Application"/>
    <s v="FOLLI"/>
    <s v="ANDREA"/>
    <s v="U086369"/>
    <s v="andrea.folli@intesasanpaolo.com"/>
    <s v="PARMA"/>
    <s v="VIA LANGHIRANO, 1 - PAL. C - 43100 PARMA (PR)"/>
    <s v="System Administrator"/>
    <s v="System Administrator"/>
    <s v="System Administrator"/>
    <x v="0"/>
  </r>
  <r>
    <m/>
    <x v="2"/>
    <s v="DR e BC"/>
    <s v="FORTI"/>
    <s v="ROBERTO"/>
    <s v="  "/>
    <s v="roberto.forti@intesasanpaolo.com"/>
    <s v="BISCEGLIE (MI)"/>
    <s v="VIA BISCEGLIE, 120 - 20152 MILANO (MI)"/>
    <s v="Client Relationship Manager"/>
    <e v="#N/A"/>
    <s v="DR &amp; Business Continuity Specialist"/>
    <x v="3"/>
  </r>
  <r>
    <m/>
    <x v="2"/>
    <s v="CC Server Farm e Storage"/>
    <s v="FRAUDATARIO"/>
    <s v="BIAGIO"/>
    <s v="U030639"/>
    <s v="biagio.fraudatario@intesasanpaolo.com"/>
    <s v="MONCALIERI (TO)"/>
    <s v="CORSO SAVONA, 58 - 10024 MONCALIERI (TO)"/>
    <s v="System Administrator"/>
    <s v="System Administrator"/>
    <s v="Infrastructure Architect"/>
    <x v="3"/>
  </r>
  <r>
    <m/>
    <x v="2"/>
    <s v="CC DC SW e Rete"/>
    <s v="FUCILLI"/>
    <s v="NICOLA"/>
    <s v="U086429"/>
    <s v="nicola.fucilli@intesasanpaolo.com"/>
    <s v="PARMA"/>
    <s v="VIA LANGHIRANO, 1 - PAL. C - 43100 PARMA (PR)"/>
    <s v="Infrastructure Architect"/>
    <s v="System Administrator"/>
    <s v="Infrastructure Architect"/>
    <x v="3"/>
  </r>
  <r>
    <m/>
    <x v="2"/>
    <s v="CC Application"/>
    <s v="GARIBALDI"/>
    <s v="DOMENICO"/>
    <s v="U024950"/>
    <s v="domenico.garibaldi@intesasanpaolo.com"/>
    <s v="MONCALIERI (TO)"/>
    <s v="CORSO SAVONA, 58 - 10024 MONCALIERI (TO)"/>
    <s v="Project Manager "/>
    <s v="System Administrator"/>
    <s v="Project Manager "/>
    <x v="1"/>
  </r>
  <r>
    <m/>
    <x v="2"/>
    <s v="Coordinamento Progetti"/>
    <s v="GARRUTO"/>
    <s v="EUGENIO"/>
    <s v="U028005"/>
    <s v="eugenio.garruto@intesasanpaolo.com"/>
    <s v="MONCALIERI (TO)"/>
    <s v="CORSO SAVONA, 58 - 10024 MONCALIERI (TO)"/>
    <s v="Client Relationship Manager"/>
    <s v="System Administrator"/>
    <s v="Client Relationship Manager"/>
    <x v="5"/>
  </r>
  <r>
    <m/>
    <x v="2"/>
    <s v="CC Database"/>
    <s v="GENTA"/>
    <s v="GIULIA"/>
    <s v="  "/>
    <s v="giulia.genta@intesasanpaolo.com"/>
    <s v="MONCALIERI (TO)"/>
    <s v="CORSO SAVONA, 58 - 10024 MONCALIERI (TO)"/>
    <s v="Infrastructure Data Analyst/Scientist "/>
    <e v="#N/A"/>
    <s v="Infrastructure Data Analyst/Scientist "/>
    <x v="0"/>
  </r>
  <r>
    <m/>
    <x v="2"/>
    <s v="Coordinamento Progetti"/>
    <s v="GILI"/>
    <s v="SILVIA"/>
    <s v="U023819"/>
    <s v="silvia.gili@intesasanpaolo.com"/>
    <s v="MONCALIERI (TO)"/>
    <s v="CORSO SAVONA, 58 - 10024 MONCALIERI (TO)"/>
    <s v="Client Relationship Manager"/>
    <s v="System Administrator"/>
    <s v="Client Relationship Manager"/>
    <x v="5"/>
  </r>
  <r>
    <m/>
    <x v="2"/>
    <s v="Data Mgmt e Supporto Storage"/>
    <s v="GOZZI"/>
    <s v="VALENTINA"/>
    <s v="  "/>
    <s v="valentina.gozzi@intesasanpaolo.com"/>
    <s v="PARMA"/>
    <s v="VIA LANGHIRANO, 1 - PAL. C - 43100 PARMA (PR)"/>
    <s v="System Administrator"/>
    <e v="#N/A"/>
    <s v="Software Defined Storage Specialist"/>
    <x v="3"/>
  </r>
  <r>
    <m/>
    <x v="2"/>
    <s v="CC Sistemi DWH e BI"/>
    <s v="GRASSO"/>
    <s v="SALVATORE"/>
    <s v="  "/>
    <s v="salvatore.grasso@intesasanpaolo.com"/>
    <s v="MONCALIERI (TO)"/>
    <s v="CORSO SAVONA, 58 - 10024 MONCALIERI (TO)"/>
    <s v="Big Data Solution Architect"/>
    <e v="#N/A"/>
    <s v="Big Data Solution Architect"/>
    <x v="3"/>
  </r>
  <r>
    <m/>
    <x v="2"/>
    <s v="CC Database"/>
    <s v="KHALILI BIJARGAHI"/>
    <s v="MOSTAFA"/>
    <s v="  "/>
    <s v="mostafa.khalilibijargahi@intesasanpaolo.com"/>
    <s v="MONCALIERI (TO)"/>
    <s v="CORSO SAVONA, 58 - 10024 MONCALIERI (TO)"/>
    <s v="System Administrator"/>
    <e v="#N/A"/>
    <s v="Data Base Administrator"/>
    <x v="0"/>
  </r>
  <r>
    <m/>
    <x v="2"/>
    <s v="CC Database"/>
    <s v="LABATE"/>
    <s v="FABRIZIO PAOLO ALBERTO"/>
    <s v="  "/>
    <s v="fabrizio.labate@intesasanpaolo.com"/>
    <s v="MONCALIERI (TO)"/>
    <s v="CORSO SAVONA, 58 - 10024 MONCALIERI (TO)"/>
    <s v="Data Base Administrator"/>
    <e v="#N/A"/>
    <s v="Data Base Administrator"/>
    <x v="0"/>
  </r>
  <r>
    <m/>
    <x v="2"/>
    <s v="CC Sistemi DWH e BI"/>
    <s v="LACAVALLA"/>
    <s v="EMMANUELE"/>
    <s v="  "/>
    <s v="emmanuele.lacavalla@intesasanpaolo.com"/>
    <s v="MONCALIERI (TO)"/>
    <s v="CORSO SAVONA, 58 - 10024 MONCALIERI (TO)"/>
    <s v="Infrastructure Data Analyst/Scientist "/>
    <e v="#N/A"/>
    <s v="Infrastructure Data Analyst/Scientist "/>
    <x v="0"/>
  </r>
  <r>
    <m/>
    <x v="2"/>
    <s v="CC Server Farm e Storage"/>
    <s v="LOMBARDI"/>
    <s v="DANIELE"/>
    <s v="  "/>
    <s v="daniele.lombardi@intesasanpaolo.com"/>
    <s v="MONCALIERI (TO)"/>
    <s v="CORSO SAVONA, 58 - 10024 MONCALIERI (TO)"/>
    <s v="System Administrator"/>
    <e v="#N/A"/>
    <s v="System Administrator"/>
    <x v="0"/>
  </r>
  <r>
    <m/>
    <x v="2"/>
    <s v="Coordinamento Progetti"/>
    <s v="LOMBARDI"/>
    <s v="RICCARDO"/>
    <s v="  "/>
    <s v="riccardo.lombardi@intesasanpaolo.com"/>
    <s v="BISCEGLIE (MI)"/>
    <s v="VIA BISCEGLIE, 120 - 20152 MILANO (MI)"/>
    <s v="Client Relationship Manager"/>
    <e v="#N/A"/>
    <s v="Client Relationship Manager"/>
    <x v="5"/>
  </r>
  <r>
    <m/>
    <x v="2"/>
    <s v="Data Mgmt e Supporto Storage"/>
    <s v="LOMBARDO"/>
    <s v="ROBERTO"/>
    <s v="U086354"/>
    <s v="roberto.lombardo@intesasanpaolo.com"/>
    <s v="PARMA"/>
    <s v="VIA LANGHIRANO, 1 - PAL. C - 43100 PARMA (PR)"/>
    <s v="System Administrator"/>
    <s v="System Administrator"/>
    <s v="System Administrator"/>
    <x v="0"/>
  </r>
  <r>
    <m/>
    <x v="2"/>
    <s v="CC Server Farm e Storage"/>
    <s v="LOTITO"/>
    <s v="ARIANNA"/>
    <s v="  "/>
    <s v="arianna.lotito@intesasanpaolo.com"/>
    <s v="MONCALIERI (TO)"/>
    <s v="CORSO SAVONA, 58 - 10024 MONCALIERI (TO)"/>
    <s v="System Administrator"/>
    <e v="#N/A"/>
    <s v="System Administrator"/>
    <x v="0"/>
  </r>
  <r>
    <m/>
    <x v="2"/>
    <s v="Coordinamento Progetti"/>
    <s v="LUPO"/>
    <s v="LORENA"/>
    <s v="U028068"/>
    <s v="lorena.lupo@intesasanpaolo.com"/>
    <s v="MONCALIERI (TO)"/>
    <s v="CORSO SAVONA, 58 - 10024 MONCALIERI (TO)"/>
    <s v="Client Relationship Manager"/>
    <s v="System Administrator"/>
    <s v="Client Relationship Manager"/>
    <x v="5"/>
  </r>
  <r>
    <m/>
    <x v="2"/>
    <s v="Coordinamento Progetti"/>
    <s v="MAIAROTA"/>
    <s v="ELENA"/>
    <s v="  "/>
    <s v="elena.maiarota@intesasanpaolo.com"/>
    <s v="MONCALIERI (TO)"/>
    <s v="CORSO SAVONA, 58 - 10024 MONCALIERI (TO)"/>
    <s v="Client Relationship Manager"/>
    <e v="#N/A"/>
    <s v="Client Relationship Manager"/>
    <x v="5"/>
  </r>
  <r>
    <m/>
    <x v="2"/>
    <s v="CC DC SW e Rete"/>
    <s v="MANCIAGLI"/>
    <s v="GIULIANO"/>
    <s v="  "/>
    <s v="giuliano.manciagli@intesasanpaolo.com"/>
    <s v="MONCALIERI (TO)"/>
    <s v="CORSO SAVONA, 58 - 10024 MONCALIERI (TO)"/>
    <s v="System Administrator"/>
    <e v="#N/A"/>
    <s v="System Administrator"/>
    <x v="0"/>
  </r>
  <r>
    <m/>
    <x v="2"/>
    <s v="CC Application"/>
    <s v="MANGIAPANE"/>
    <s v="VALERIA"/>
    <s v="  "/>
    <s v="valeria.mangiapane1@intesasanpaolo.com"/>
    <s v="MONCALIERI (TO)"/>
    <s v="CORSO SAVONA, 58 - 10024 MONCALIERI (TO)"/>
    <s v="PaaS &amp; Container Specialist"/>
    <e v="#N/A"/>
    <s v="PaaS &amp; Container Specialist"/>
    <x v="6"/>
  </r>
  <r>
    <m/>
    <x v="2"/>
    <s v="CC Server Farm e Storage"/>
    <s v="MARANO"/>
    <s v="TOMMASO"/>
    <s v="U076151"/>
    <s v="tommaso.marano@intesasanpaolo.com"/>
    <s v="NAPOLI"/>
    <s v="VIA G. MARCONI, 15 - 80125 NAPOLI (NA)"/>
    <s v="Project Manager "/>
    <s v="Project Manager"/>
    <s v="Project Manager "/>
    <x v="1"/>
  </r>
  <r>
    <m/>
    <x v="2"/>
    <s v="CC Application"/>
    <s v="MARCHISIO"/>
    <s v="ALESSANDRO"/>
    <s v="U024977"/>
    <s v="alessandro.marchisio@intesasanpaolo.com"/>
    <s v="MONCALIERI (TO)"/>
    <s v="CORSO SAVONA, 58 - 10024 MONCALIERI (TO)"/>
    <s v="System Administrator"/>
    <s v="System Administrator"/>
    <s v="System Administrator"/>
    <x v="0"/>
  </r>
  <r>
    <m/>
    <x v="2"/>
    <s v="CC Sistemi DWH e BI"/>
    <s v="MASSI"/>
    <s v="SILVIA"/>
    <s v="  "/>
    <s v="silvia.massi@intesasanpaolo.com"/>
    <s v="MONCALIERI (TO)"/>
    <s v="CORSO SAVONA, 58 - 10024 MONCALIERI (TO)"/>
    <s v="Infrastructure Data Analyst/Scientist "/>
    <s v="Infrastructure Data Analyst/Scientist "/>
    <s v="Infrastructure Data Analyst/Scientist "/>
    <x v="0"/>
  </r>
  <r>
    <m/>
    <x v="2"/>
    <s v="CC Sistemi DWH e BI"/>
    <s v="MASTRONARDI"/>
    <s v="GIOVANNI"/>
    <s v="  "/>
    <s v="giovanni.mastronardi@intesasanpaolo.com"/>
    <s v="MONCALIERI (TO)"/>
    <s v="CORSO SAVONA, 58 - 10024 MONCALIERI (TO)"/>
    <s v="Big Data Solution Architect"/>
    <e v="#N/A"/>
    <s v="Big Data Solution Architect"/>
    <x v="3"/>
  </r>
  <r>
    <m/>
    <x v="2"/>
    <s v="CC Server Farm e Storage"/>
    <s v="MELLI"/>
    <s v="MAURO"/>
    <s v="U014932"/>
    <s v="mauro.melli@intesasanpaolo.com"/>
    <s v="MONCALIERI (TO)"/>
    <s v="CORSO SAVONA, 58 - 10024 MONCALIERI (TO)"/>
    <s v="System Administrator"/>
    <s v="System Administrator"/>
    <s v="System Administrator"/>
    <x v="0"/>
  </r>
  <r>
    <m/>
    <x v="2"/>
    <s v="CC Sistemi DWH e BI"/>
    <s v="MENARDI"/>
    <s v="DAVIDE"/>
    <s v="  "/>
    <s v="davide.menardi@intesasanpaolo.com"/>
    <s v="MONCALIERI (TO)"/>
    <s v="CORSO SAVONA, 58 - 10024 MONCALIERI (TO)"/>
    <s v="Infrastructure Data Analyst/Scientist "/>
    <e v="#N/A"/>
    <s v="Infrastructure Data Analyst/Scientist "/>
    <x v="0"/>
  </r>
  <r>
    <m/>
    <x v="2"/>
    <s v="CC Server Farm e Storage"/>
    <s v="MIOLA"/>
    <s v="ARIANNA"/>
    <s v="U364034"/>
    <s v="arianna.miola@intesasanpaolo.com"/>
    <s v="MONCALIERI (TO)"/>
    <s v="CORSO SAVONA, 58 - 10024 MONCALIERI (TO)"/>
    <s v="Artificial Intelligence Specialist"/>
    <s v="System Administrator"/>
    <s v="Artificial Intelligence Specialist"/>
    <x v="3"/>
  </r>
  <r>
    <m/>
    <x v="2"/>
    <s v="Data Mgmt e Supporto Storage"/>
    <s v="MONACO"/>
    <s v="FLORINDA"/>
    <s v="  "/>
    <s v="florinda.monaco@intesasanpaolo.com"/>
    <s v="MONCALIERI (TO)"/>
    <s v="CORSO SAVONA, 58 - 10024 MONCALIERI (TO)"/>
    <s v="System Administrator"/>
    <e v="#N/A"/>
    <s v="Software Defined Storage Specialist"/>
    <x v="3"/>
  </r>
  <r>
    <m/>
    <x v="2"/>
    <s v="Data Mgmt e Supporto Storage"/>
    <s v="MONARDO"/>
    <s v="GIUSEPPE ANDREA"/>
    <s v="U029642"/>
    <s v="giuseppe.monardo@intesasanpaolo.com"/>
    <s v="MONCALIERI (TO)"/>
    <s v="CORSO SAVONA, 58 - 10024 MONCALIERI (TO)"/>
    <s v="System Administrator"/>
    <s v="System Administrator"/>
    <s v="Software Defined Storage Specialist"/>
    <x v="3"/>
  </r>
  <r>
    <m/>
    <x v="2"/>
    <s v="CC Application"/>
    <s v="MONCALERO"/>
    <s v="PAOLO"/>
    <s v="U364035"/>
    <s v="paolo.moncalero@intesasanpaolo.com"/>
    <s v="MONCALIERI (TO)"/>
    <s v="CORSO SAVONA, 58 - 10024 MONCALIERI (TO)"/>
    <s v="System Administrator"/>
    <s v="System Administrator"/>
    <s v="System Administrator"/>
    <x v="0"/>
  </r>
  <r>
    <m/>
    <x v="2"/>
    <s v="CC DC SW e Rete"/>
    <s v="MORABITO"/>
    <s v="ANNA"/>
    <s v="  "/>
    <s v="anna.morabito@intesasanpaolo.com"/>
    <s v="MONCALIERI (TO)"/>
    <s v="CORSO SAVONA, 58 - 10024 MONCALIERI (TO)"/>
    <s v="System Administrator"/>
    <e v="#N/A"/>
    <s v="Data Communication Administrator"/>
    <x v="0"/>
  </r>
  <r>
    <m/>
    <x v="2"/>
    <s v="CC Application"/>
    <s v="MORELLO"/>
    <s v="CARLO"/>
    <s v="U015017"/>
    <s v="carlo.morello@intesasanpaolo.com"/>
    <s v="MONCALIERI (TO)"/>
    <s v="CORSO SAVONA, 58 - 10024 MONCALIERI (TO)"/>
    <s v="System Administrator"/>
    <s v="System Administrator"/>
    <s v="System Administrator"/>
    <x v="0"/>
  </r>
  <r>
    <m/>
    <x v="2"/>
    <s v="Coordinamento Progetti"/>
    <s v="MUREDDU"/>
    <s v="MIRKO WALTER"/>
    <s v="U085951"/>
    <s v="mirko.mureddu@intesasanpaolo.com"/>
    <s v="BISCEGLIE (MI)"/>
    <s v="VIA BISCEGLIE, 120 - 20152 MILANO (MI)"/>
    <s v="Project Manager "/>
    <s v="Project Manager"/>
    <s v="Client Relationship Manager"/>
    <x v="5"/>
  </r>
  <r>
    <m/>
    <x v="2"/>
    <s v="CC Application"/>
    <s v="MUSSO"/>
    <s v="MARIO"/>
    <s v="U020787"/>
    <s v="mario.musso@intesasanpaolo.com"/>
    <s v="MONCALIERI (TO)"/>
    <s v="CORSO SAVONA, 58 - 10024 MONCALIERI (TO)"/>
    <s v="Project Manager "/>
    <s v="Project Manager"/>
    <s v="Infrastructure Architect"/>
    <x v="3"/>
  </r>
  <r>
    <m/>
    <x v="2"/>
    <s v="CC DC SW e Rete"/>
    <s v="OCCELLI"/>
    <s v="PIERO"/>
    <s v="U012793"/>
    <s v="piero.occelli@intesasanpaolo.com"/>
    <s v="MONCALIERI (TO)"/>
    <s v="CORSO SAVONA, 58 - 10024 MONCALIERI (TO)"/>
    <s v="System Administrator"/>
    <s v="System Administrator"/>
    <s v="Project Manager "/>
    <x v="1"/>
  </r>
  <r>
    <m/>
    <x v="2"/>
    <s v="CC Database"/>
    <s v="OLIVETTA"/>
    <s v="FRANCESCA"/>
    <s v="U357655"/>
    <s v="francesca.olivetta@intesasanpaolo.com"/>
    <s v="MONCALIERI (TO)"/>
    <s v="CORSO SAVONA, 58 - 10024 MONCALIERI (TO)"/>
    <s v="Data Base Administrator"/>
    <s v="Data Base Administrator"/>
    <s v="Infrastructure Data Analyst/Scientist "/>
    <x v="0"/>
  </r>
  <r>
    <m/>
    <x v="2"/>
    <s v="CC Database"/>
    <s v="OLLARI"/>
    <s v="CHRISTIAN"/>
    <s v="U086365"/>
    <s v="christian.ollari@intesasanpaolo.com"/>
    <s v="PARMA"/>
    <s v="VIA LANGHIRANO, 1 - PAL. C - 43100 PARMA (PR)"/>
    <s v="Data Base Administrator"/>
    <s v="Data Base Administrator"/>
    <s v="Data Base  Administrator"/>
    <x v="0"/>
  </r>
  <r>
    <m/>
    <x v="2"/>
    <s v="Data Mgmt e Supporto Storage"/>
    <s v="OPPICI"/>
    <s v="ROBERTO"/>
    <s v="U086366"/>
    <s v="roberto.oppici@intesasanpaolo.com"/>
    <s v="PARMA"/>
    <s v="VIA LANGHIRANO, 1 - PAL. C - 43100 PARMA (PR)"/>
    <s v="System Administrator"/>
    <s v="System Administrator"/>
    <s v="System Administrator"/>
    <x v="0"/>
  </r>
  <r>
    <m/>
    <x v="2"/>
    <s v="DR e BC"/>
    <s v="PANARESE"/>
    <s v="DARIO"/>
    <s v="U015609"/>
    <s v="dario.panarese@intesasanpaolo.com"/>
    <s v="MONCALIERI (TO)"/>
    <s v="CORSO SAVONA, 58 - 10024 MONCALIERI (TO)"/>
    <s v="DR &amp; Business Continuity Specialist"/>
    <s v="IT Process FM Specialist"/>
    <s v="DR &amp; Business Continuity Specialist"/>
    <x v="3"/>
  </r>
  <r>
    <m/>
    <x v="2"/>
    <s v="CC Database"/>
    <s v="PARODI"/>
    <s v="ANDREA"/>
    <s v="U017259"/>
    <s v="andrea.parodi@intesasanpaolo.com"/>
    <s v="MONCALIERI (TO)"/>
    <s v="CORSO SAVONA, 58 - 10024 MONCALIERI (TO)"/>
    <s v="Data Base Administrator"/>
    <s v="Data Base Administrator"/>
    <s v="Data Base Administrator"/>
    <x v="0"/>
  </r>
  <r>
    <m/>
    <x v="2"/>
    <s v="Data Mgmt e Supporto Storage"/>
    <s v="PERFETTI"/>
    <s v="LUIGI"/>
    <s v="U086414"/>
    <s v="luigi.perfetti@intesasanpaolo.com"/>
    <s v="PARMA"/>
    <s v="VIA LANGHIRANO, 1 - PAL. C - 43100 PARMA (PR)"/>
    <s v="System Administrator"/>
    <s v="System Administrator"/>
    <s v="System Administrator"/>
    <x v="0"/>
  </r>
  <r>
    <m/>
    <x v="2"/>
    <s v="Data Mgmt e Supporto Storage"/>
    <s v="PETITTO"/>
    <s v="CIRO"/>
    <s v="U086367"/>
    <s v="ciro.petitto@intesasanpaolo.com"/>
    <s v="PARMA"/>
    <s v="VIA LANGHIRANO, 1 - PAL. C - 43100 PARMA (PR)"/>
    <s v="System Administrator"/>
    <s v="System Administrator"/>
    <s v="Software Defined Storage Specialist"/>
    <x v="3"/>
  </r>
  <r>
    <m/>
    <x v="2"/>
    <s v="CC Server Farm e Storage"/>
    <s v="PILLON"/>
    <s v="MARCO"/>
    <s v="U015482"/>
    <s v="marco.pillon@intesasanpaolo.com"/>
    <s v="MONCALIERI (TO)"/>
    <s v="CORSO SAVONA, 58 - 10024 MONCALIERI (TO)"/>
    <s v="System Administrator"/>
    <s v="System Administrator"/>
    <s v="System Administrator"/>
    <x v="0"/>
  </r>
  <r>
    <m/>
    <x v="2"/>
    <s v="CC Sistemi DWH e BI"/>
    <s v="PIRAS"/>
    <s v="ANGELO"/>
    <s v="U029728"/>
    <s v="angelo.piras@intesasanpaolo.com"/>
    <s v="MONCALIERI (TO)"/>
    <s v="CORSO SAVONA, 58 - 10024 MONCALIERI (TO)"/>
    <s v="System Administrator"/>
    <s v="System Administrator"/>
    <s v="Infrastructure Data Analyst/Scientist "/>
    <x v="0"/>
  </r>
  <r>
    <m/>
    <x v="2"/>
    <s v="CC Server Farm e Storage"/>
    <s v="PISANI MASSAMORMILE"/>
    <s v="UGO"/>
    <s v="U086404"/>
    <s v="ugo.pisanimassamormile@intesasanpaolo.com"/>
    <s v="NAPOLI"/>
    <s v="VIA G. MARCONI, 15 - 80125 NAPOLI (NA)"/>
    <s v="System Administrator"/>
    <s v="Operator"/>
    <s v="System Administrator"/>
    <x v="0"/>
  </r>
  <r>
    <m/>
    <x v="2"/>
    <s v="CC DC SW e Rete"/>
    <s v="PIZZATO"/>
    <s v="FEDERICA"/>
    <s v="  "/>
    <s v="federica.pizzato@intesasanpaolo.com"/>
    <s v="MONCALIERI (TO)"/>
    <s v="CORSO SAVONA, 58 - 10024 MONCALIERI (TO)"/>
    <s v="API Specialist "/>
    <e v="#N/A"/>
    <s v="API Specialist "/>
    <x v="3"/>
  </r>
  <r>
    <m/>
    <x v="2"/>
    <s v="CC Server Farm e Storage"/>
    <s v="POMPEO"/>
    <s v="GUIDO"/>
    <s v="U077878"/>
    <s v="guido.pompeo@intesasanpaolo.com"/>
    <s v="NAPOLI"/>
    <s v="VIA G. MARCONI, 15 - 80125 NAPOLI (NA)"/>
    <s v="System Administrator"/>
    <s v="System Administrator"/>
    <s v="System Administrator"/>
    <x v="0"/>
  </r>
  <r>
    <m/>
    <x v="2"/>
    <s v="CC Application"/>
    <s v="RAGONE"/>
    <s v="CIRO"/>
    <s v="  "/>
    <s v="ciro.ragone@intesasanpaolo.com"/>
    <s v="MONCALIERI (TO)"/>
    <s v="CORSO SAVONA, 58 - 10024 MONCALIERI (TO)"/>
    <s v="PaaS &amp; Container Specialist"/>
    <e v="#N/A"/>
    <s v="PaaS &amp; Container Specialist"/>
    <x v="6"/>
  </r>
  <r>
    <m/>
    <x v="2"/>
    <s v="CC Server Farm e Storage"/>
    <s v="RASO"/>
    <s v="ALESSANDRO"/>
    <s v="  "/>
    <s v="alessandro.raso@intesasanpaolo.com"/>
    <s v="MONCALIERI (TO)"/>
    <s v="CORSO SAVONA, 58 - 10024 MONCALIERI (TO)"/>
    <s v="Software Defined Storage Specialist"/>
    <e v="#N/A"/>
    <s v="Software Defined Storage Specialist"/>
    <x v="3"/>
  </r>
  <r>
    <m/>
    <x v="2"/>
    <s v="Data Mgmt e Supporto Storage"/>
    <s v="RASTELLI"/>
    <s v="ILARIA"/>
    <s v="U086418"/>
    <s v="ilaria.rastelli@intesasanpaolo.com"/>
    <s v="PARMA"/>
    <s v="VIA LANGHIRANO, 1 - PAL. C - 43100 PARMA (PR)"/>
    <s v="System Administrator"/>
    <s v="System Administrator"/>
    <s v="Software Defined Storage Specialist"/>
    <x v="3"/>
  </r>
  <r>
    <m/>
    <x v="2"/>
    <s v="Coordinamento Progetti"/>
    <s v="REVELLI"/>
    <s v="ANTONIO"/>
    <s v="U030274"/>
    <s v="antonio.revelli@intesasanpaolo.com"/>
    <s v="MONCALIERI (TO)"/>
    <s v="CORSO SAVONA, 58 - 10024 MONCALIERI (TO)"/>
    <s v="Project Manager "/>
    <s v="Project Manager"/>
    <s v="Client Relationship Manager"/>
    <x v="5"/>
  </r>
  <r>
    <m/>
    <x v="2"/>
    <s v="CC Application"/>
    <s v="RICCHETTI"/>
    <s v="MATTEO"/>
    <s v="U086420"/>
    <s v="matteo.ricchetti@intesasanpaolo.com"/>
    <s v="PARMA"/>
    <s v="VIA LANGHIRANO, 1 - PAL. C - 43100 PARMA (PR)"/>
    <s v="System Administrator"/>
    <s v="System Administrator"/>
    <s v="Infrastructure Architect"/>
    <x v="3"/>
  </r>
  <r>
    <m/>
    <x v="2"/>
    <s v="CC Server Farm e Storage"/>
    <s v="RIVOTTO"/>
    <s v="LORENZO"/>
    <s v="U015024"/>
    <s v="lorenzo.rivotto@intesasanpaolo.com"/>
    <s v="MONCALIERI (TO)"/>
    <s v="CORSO SAVONA, 58 - 10024 MONCALIERI (TO)"/>
    <s v="Project Manager "/>
    <s v="Project Manager"/>
    <s v="Project Manager "/>
    <x v="1"/>
  </r>
  <r>
    <m/>
    <x v="2"/>
    <s v="CC Server Farm e Storage"/>
    <s v="ROSSATO"/>
    <s v="FABIO"/>
    <s v="  "/>
    <s v="fabio.rossato@intesasanpaolo.com"/>
    <s v="MONCALIERI (TO)"/>
    <s v="CORSO SAVONA, 58 - 10024 MONCALIERI (TO)"/>
    <s v="Software Defined Storage Specialist"/>
    <e v="#N/A"/>
    <s v="Software Defined Storage Specialist"/>
    <x v="3"/>
  </r>
  <r>
    <m/>
    <x v="2"/>
    <s v="CC Server Farm e Storage"/>
    <s v="RUTIGLIANO"/>
    <s v="ENRICO"/>
    <s v="U077347"/>
    <s v="enrico.rutigliano@intesasanpaolo.com"/>
    <s v="NAPOLI"/>
    <s v="VIA G. MARCONI, 15 - 80125 NAPOLI (NA)"/>
    <s v="System Administrator"/>
    <s v="System Administrator"/>
    <s v="System Administrator"/>
    <x v="0"/>
  </r>
  <r>
    <m/>
    <x v="2"/>
    <s v="CC Database"/>
    <s v="SAGGINO"/>
    <s v="RAFFAELE"/>
    <s v="  "/>
    <s v="raffaele.saggino@intesasanpaolo.com"/>
    <s v="MONCALIERI (TO)"/>
    <s v="CORSO SAVONA, 58 - 10024 MONCALIERI (TO)"/>
    <s v="Infrastructure Architect"/>
    <e v="#N/A"/>
    <s v="Infrastructure Architect"/>
    <x v="3"/>
  </r>
  <r>
    <m/>
    <x v="2"/>
    <s v="CC Server Farm e Storage"/>
    <s v="SANFILIPPO"/>
    <s v="MICHELE"/>
    <s v="U014957"/>
    <s v="michele.sanfilippo@intesasanpaolo.com"/>
    <s v="MONCALIERI (TO)"/>
    <s v="CORSO SAVONA, 58 - 10024 MONCALIERI (TO)"/>
    <s v="Security Infrastructure Specialist"/>
    <s v="System Administrator"/>
    <s v="Security Infrastructure Specialist"/>
    <x v="5"/>
  </r>
  <r>
    <m/>
    <x v="2"/>
    <s v="Data Mgmt e Supporto Storage"/>
    <s v="SANTACROCE"/>
    <s v="SIMONE"/>
    <s v="  "/>
    <s v="simone.santacroce@intesasanpaolo.com"/>
    <s v="MONCALIERI (TO)"/>
    <s v="CORSO SAVONA, 58 - 10024 MONCALIERI (TO)"/>
    <s v="System Administrator"/>
    <e v="#N/A"/>
    <s v="System Administrator"/>
    <x v="0"/>
  </r>
  <r>
    <m/>
    <x v="2"/>
    <s v="CC Application"/>
    <s v="SANTINI"/>
    <s v="ALESSANDRO"/>
    <s v="U086426"/>
    <s v="alessandro.santini@intesasanpaolo.com"/>
    <s v="PARMA"/>
    <s v="VIA LANGHIRANO, 1 - PAL. C - 43100 PARMA (PR)"/>
    <s v="Project Manager "/>
    <s v="Project Manager"/>
    <s v="Data Communication Administrator"/>
    <x v="0"/>
  </r>
  <r>
    <m/>
    <x v="2"/>
    <s v="DR e BC"/>
    <s v="SBRANA"/>
    <s v="BRUNO"/>
    <s v="U083603"/>
    <s v="bruno.sbrana@intesasanpaolo.com"/>
    <s v="BISCEGLIE (MI)"/>
    <s v="VIA BISCEGLIE, 120 - 20152 MILANO (MI)"/>
    <s v="DR &amp; Business Continuity Specialist"/>
    <s v="IT Process FM Specialist"/>
    <s v="DR &amp; Business Continuity Specialist"/>
    <x v="3"/>
  </r>
  <r>
    <m/>
    <x v="2"/>
    <s v="CC Server Farm e Storage"/>
    <s v="SPADARO"/>
    <s v="STEFANO"/>
    <s v="  "/>
    <s v="stefano.spadaro@intesasanpaolo.com"/>
    <s v="MONCALIERI (TO)"/>
    <s v="CORSO SAVONA, 58 - 10024 MONCALIERI (TO)"/>
    <s v="Software Defined Data Center Specialist "/>
    <e v="#N/A"/>
    <s v="Software Defined Data Center Specialist "/>
    <x v="3"/>
  </r>
  <r>
    <m/>
    <x v="2"/>
    <s v="CC Server Farm e Storage"/>
    <s v="STRIANO"/>
    <s v="LIBERATO"/>
    <s v="U078572"/>
    <s v="liberato.striano@intesasanpaolo.com"/>
    <s v="NAPOLI"/>
    <s v="VIA G. MARCONI, 15 - 80125 NAPOLI (NA)"/>
    <s v="System Administrator"/>
    <s v="System Administrator"/>
    <s v="Project Manager "/>
    <x v="1"/>
  </r>
  <r>
    <m/>
    <x v="2"/>
    <s v="CC Server Farm e Storage"/>
    <s v="TORRENGO"/>
    <s v="MASSIMO"/>
    <s v="U022894"/>
    <s v="massimo.torrengo@intesasanpaolo.com"/>
    <s v="MONCALIERI (TO)"/>
    <s v="CORSO SAVONA, 58 - 10024 MONCALIERI (TO)"/>
    <s v="Infrastructure Architect"/>
    <s v="System Administrator"/>
    <s v="Infrastructure Architect"/>
    <x v="3"/>
  </r>
  <r>
    <m/>
    <x v="2"/>
    <s v="CC Application"/>
    <s v="TRAMONTANA"/>
    <s v="FABIO"/>
    <s v="  "/>
    <s v="fabio.tramontana@intesasanpaolo.com"/>
    <s v="MONCALIERI (TO)"/>
    <s v="CORSO SAVONA, 58 - 10024 MONCALIERI (TO)"/>
    <s v="PaaS &amp; Container Specialist"/>
    <e v="#N/A"/>
    <s v="PaaS &amp; Container Specialist"/>
    <x v="6"/>
  </r>
  <r>
    <m/>
    <x v="2"/>
    <s v="CC Database"/>
    <s v="TROMBIN"/>
    <s v="ENRICO"/>
    <s v="U357346"/>
    <s v="enrico.trombin@intesasanpaolo.com"/>
    <s v="MONCALIERI (TO)"/>
    <s v="CORSO SAVONA, 58 - 10024 MONCALIERI (TO)"/>
    <s v="Data Base Administrator"/>
    <s v="Data Base Administrator"/>
    <s v="Data Base Administrator"/>
    <x v="0"/>
  </r>
  <r>
    <m/>
    <x v="2"/>
    <s v="Data Mgmt e Supporto Storage"/>
    <s v="UCCELLATORE"/>
    <s v="DANIELE"/>
    <s v="  "/>
    <s v="daniele.uccellatore@intesasanpaolo.com"/>
    <s v="PARMA"/>
    <s v="VIA LANGHIRANO, 1 - PAL. C - 43100 PARMA (PR)"/>
    <s v="System Administrator"/>
    <e v="#N/A"/>
    <s v="Software Defined Storage Specialist"/>
    <x v="3"/>
  </r>
  <r>
    <m/>
    <x v="2"/>
    <s v="CC Server Farm e Storage"/>
    <s v="VACCHIANO"/>
    <s v="VALTER"/>
    <s v="U076165"/>
    <s v="valter.vacchiano@intesasanpaolo.com"/>
    <s v="NAPOLI"/>
    <s v="VIA G. MARCONI, 15 - 80125 NAPOLI (NA)"/>
    <s v="System Administrator"/>
    <s v="System Administrator"/>
    <s v="Project Manager "/>
    <x v="1"/>
  </r>
  <r>
    <m/>
    <x v="2"/>
    <s v="CC Database"/>
    <s v="VEZZANI"/>
    <s v="GABRIELLA"/>
    <s v="U086393"/>
    <s v="gabriella.vezzani@intesasanpaolo.com"/>
    <s v="PARMA"/>
    <s v="VIA LANGHIRANO, 1 - PAL. C - 43100 PARMA (PR)"/>
    <s v="Data Base Administrator"/>
    <s v="Data Base Administrator"/>
    <s v="Data Base Administrator"/>
    <x v="0"/>
  </r>
  <r>
    <m/>
    <x v="2"/>
    <s v="CC DC SW e Rete"/>
    <s v="VLACHODIMOS"/>
    <s v="IOANNIS"/>
    <s v="U086397"/>
    <s v="ioannis.vlachodimos@intesasanpaolo.com"/>
    <s v="PARMA"/>
    <s v="VIA LANGHIRANO, 1 - PAL. C - 43100 PARMA (PR)"/>
    <s v="System Administrator"/>
    <s v="System Administrator"/>
    <s v="Data Communication Administrator"/>
    <x v="0"/>
  </r>
  <r>
    <m/>
    <x v="2"/>
    <s v="Coordinamento Progetti"/>
    <s v="ZUCCONE"/>
    <s v="PAOLO"/>
    <s v="U023193"/>
    <s v="paolo.zuccone@intesasanpaolo.com"/>
    <s v="MONCALIERI (TO)"/>
    <s v="CORSO SAVONA, 58 - 10024 MONCALIERI (TO)"/>
    <s v="Project Manager "/>
    <s v="Project Manager"/>
    <s v="Client Relationship Manager"/>
    <x v="5"/>
  </r>
  <r>
    <m/>
    <x v="2"/>
    <s v="Data Mgmt e Supporto Storage"/>
    <s v="ZULIANI"/>
    <s v="STEFANO"/>
    <s v="U023861"/>
    <s v="stefano.zuliani@intesasanpaolo.com"/>
    <s v="MONCALIERI (TO)"/>
    <s v="CORSO SAVONA, 58 - 10024 MONCALIERI (TO)"/>
    <s v="System Administrator"/>
    <s v="System Administrator"/>
    <s v="System Administrator"/>
    <x v="0"/>
  </r>
  <r>
    <s v="CAPO SERVIZIO"/>
    <x v="3"/>
    <m/>
    <s v="BONETTO"/>
    <s v="ROBERTO"/>
    <s v="  "/>
    <s v="roberto.bonetto@intesasanpaolo.com"/>
    <s v="MONCALIERI (TO)"/>
    <s v="CORSO SAVONA, 58 - 10024 MONCALIERI (TO)"/>
    <s v="  "/>
    <e v="#N/A"/>
    <m/>
    <x v="0"/>
  </r>
  <r>
    <s v="COORDINATORE COA"/>
    <x v="4"/>
    <s v="Supporto Open Applic e Servizi"/>
    <s v="FRANZI"/>
    <s v="GIUSEPPE"/>
    <s v="U041370"/>
    <s v="giuseppe.franzi@intesasanpaolo.com"/>
    <s v="MONCALIERI (TO)"/>
    <s v="CORSO SAVONA, 58 - 10024 MONCALIERI (TO)"/>
    <s v="IT Coordinator"/>
    <s v="System Administrator"/>
    <m/>
    <x v="0"/>
  </r>
  <r>
    <s v="COORDINATORE COA"/>
    <x v="4"/>
    <s v="Supporto Open DB e Sistemi"/>
    <s v="GIORCELLI"/>
    <s v="ALESSANDRO"/>
    <s v="U024674"/>
    <s v="alessandro.giorcelli@intesasanpaolo.com"/>
    <s v="MONCALIERI (TO)"/>
    <s v="CORSO SAVONA, 58 - 10024 MONCALIERI (TO)"/>
    <s v="IT Coordinator"/>
    <s v="IT Coordinator"/>
    <m/>
    <x v="0"/>
  </r>
  <r>
    <s v="COORDINATORE COA"/>
    <x v="5"/>
    <s v="Physical Planning"/>
    <s v="LIVIGNI"/>
    <s v="EUGENIO"/>
    <s v="U011911"/>
    <s v="eugenio.livigni@intesasanpaolo.com"/>
    <s v="MONCALIERI (TO)"/>
    <s v="CORSO SAVONA, 58 - 10024 MONCALIERI (TO)"/>
    <s v="IT Coordinator"/>
    <s v="IT Coordinator"/>
    <m/>
    <x v="0"/>
  </r>
  <r>
    <s v="COORDINATORE COA"/>
    <x v="4"/>
    <s v="Flussi Trasmissivi"/>
    <s v="LONGAGNANI"/>
    <s v="ANDREA"/>
    <s v="U086355"/>
    <s v="andrea.longagnani@intesasanpaolo.com"/>
    <s v="PARMA"/>
    <s v="VIA LANGHIRANO, 1 - PAL. C - 43100 PARMA (PR)"/>
    <s v="IT Coordinator"/>
    <s v="IT Coordinator"/>
    <m/>
    <x v="0"/>
  </r>
  <r>
    <s v="COORDINATORE COA"/>
    <x v="4"/>
    <s v="Supporto Tecnico MF"/>
    <s v="ZANELLATO"/>
    <s v="PAOLA"/>
    <s v="U013494"/>
    <s v="paola.zanellato@intesasanpaolo.com"/>
    <s v="MONCALIERI (TO)"/>
    <s v="CORSO SAVONA, 58 - 10024 MONCALIERI (TO)"/>
    <s v="IT Coordinator"/>
    <s v="IT Coordinator"/>
    <m/>
    <x v="0"/>
  </r>
  <r>
    <m/>
    <x v="4"/>
    <s v="Supporto Tecnico MF"/>
    <s v="AIELLO"/>
    <s v="ROBERTO"/>
    <s v="U301152"/>
    <s v="roberto.aiello@intesasanpaolo.com"/>
    <s v="ROMA"/>
    <s v="VIA VINCENZO LAMARO, 25 - 00173 ROMA (RM)"/>
    <s v="Data Base Administrator"/>
    <s v="Data Base Administrator"/>
    <m/>
    <x v="0"/>
  </r>
  <r>
    <m/>
    <x v="4"/>
    <s v="Supporto Tecnico MF"/>
    <s v="ANTONELLI"/>
    <s v="EMANUELA"/>
    <s v="U301156"/>
    <s v="emanuela.antonelli@intesasanpaolo.com"/>
    <s v="ROMA"/>
    <s v="VIA VINCENZO LAMARO, 25 - 00173 ROMA (RM)"/>
    <s v="Data Communication Administrator"/>
    <s v="System Administrator"/>
    <m/>
    <x v="0"/>
  </r>
  <r>
    <m/>
    <x v="4"/>
    <s v="Supporto Tecnico MF"/>
    <s v="AUDERO"/>
    <s v="MASSIMO"/>
    <s v="U017970"/>
    <s v="massimo.audero@intesasanpaolo.com"/>
    <s v="MONCALIERI (TO)"/>
    <s v="CORSO SAVONA, 58 - 10024 MONCALIERI (TO)"/>
    <s v="Data Base Administrator"/>
    <s v="Data Base Administrator"/>
    <m/>
    <x v="0"/>
  </r>
  <r>
    <m/>
    <x v="4"/>
    <s v="Supporto Open DB e Sistemi"/>
    <s v="AVIDANO"/>
    <s v="ANDREA"/>
    <s v="U027969"/>
    <s v="andrea.avidano@intesasanpaolo.com"/>
    <s v="MONCALIERI (TO)"/>
    <s v="CORSO SAVONA, 58 - 10024 MONCALIERI (TO)"/>
    <s v="System Administrator"/>
    <s v="Data Base Administrator"/>
    <m/>
    <x v="0"/>
  </r>
  <r>
    <m/>
    <x v="4"/>
    <s v="Supporto Open DB e Sistemi"/>
    <s v="BALLONE"/>
    <s v="PAOLO"/>
    <s v="U027945"/>
    <s v="paolo.ballone@intesasanpaolo.com"/>
    <s v="MONCALIERI (TO)"/>
    <s v="CORSO SAVONA, 58 - 10024 MONCALIERI (TO)"/>
    <s v="System Administrator"/>
    <s v="System Administrator"/>
    <m/>
    <x v="0"/>
  </r>
  <r>
    <m/>
    <x v="4"/>
    <s v="Supporto Tecnico MF"/>
    <s v="BAMBARA"/>
    <s v="ALESSANDRO"/>
    <s v="U364021"/>
    <s v="alessandro.bambara@intesasanpaolo.com"/>
    <s v="MONCALIERI (TO)"/>
    <s v="CORSO SAVONA, 58 - 10024 MONCALIERI (TO)"/>
    <s v="Data Base  Administrator"/>
    <s v="System Administrator"/>
    <m/>
    <x v="0"/>
  </r>
  <r>
    <m/>
    <x v="4"/>
    <s v="Supporto Open Applic e Servizi"/>
    <s v="BARRERA"/>
    <s v="CRISTINA"/>
    <s v="U028055"/>
    <s v="cristina.barrera@intesasanpaolo.com"/>
    <s v="MONCALIERI (TO)"/>
    <s v="CORSO SAVONA, 58 - 10024 MONCALIERI (TO)"/>
    <s v="System Administrator"/>
    <s v="System Administrator"/>
    <m/>
    <x v="0"/>
  </r>
  <r>
    <m/>
    <x v="4"/>
    <s v="Supporto Open Applic e Servizi"/>
    <s v="BATTAGLIO"/>
    <s v="ALICE"/>
    <s v="U369647"/>
    <s v="alice.battaglio@intesasanpaolo.com"/>
    <s v="MONCALIERI (TO)"/>
    <s v="CORSO SAVONA, 58 - 10024 MONCALIERI (TO)"/>
    <s v="System Administrator"/>
    <s v="no def"/>
    <m/>
    <x v="0"/>
  </r>
  <r>
    <m/>
    <x v="4"/>
    <s v="Supporto Open Applic e Servizi"/>
    <s v="BELFIORE"/>
    <s v="DAVIDE SALVATORE"/>
    <s v="  "/>
    <s v="davide.belfiore@intesasanpaolo.com"/>
    <s v="MONCALIERI (TO)"/>
    <s v="CORSO SAVONA, 58 - 10024 MONCALIERI (TO)"/>
    <s v="N/A"/>
    <e v="#N/A"/>
    <m/>
    <x v="0"/>
  </r>
  <r>
    <m/>
    <x v="4"/>
    <s v="Flussi Trasmissivi"/>
    <s v="BELLINGERI"/>
    <s v="GIANFRANCO"/>
    <s v="U086196"/>
    <s v="gianfranco.bellingeri@intesasanpaolo.com"/>
    <s v="PARMA"/>
    <s v="VIA LANGHIRANO, 1 - PAL. C - 43100 PARMA (PR)"/>
    <s v="Network Automation"/>
    <s v="System Administrator"/>
    <m/>
    <x v="0"/>
  </r>
  <r>
    <m/>
    <x v="4"/>
    <s v="Supporto Open Applic e Servizi"/>
    <s v="BERTOZZI"/>
    <s v="SAURO"/>
    <s v="U028735"/>
    <s v="sauro.bertozzi@intesasanpaolo.com"/>
    <s v="MONCALIERI (TO)"/>
    <s v="CORSO SAVONA, 58 - 10024 MONCALIERI (TO)"/>
    <s v="System Administrator"/>
    <s v="System Administrator"/>
    <m/>
    <x v="0"/>
  </r>
  <r>
    <m/>
    <x v="4"/>
    <s v="Supporto Open DB e Sistemi"/>
    <s v="BIONDI"/>
    <s v="FABIO"/>
    <s v="U369643"/>
    <s v="fabio.biondi@intesasanpaolo.com"/>
    <s v="MONCALIERI (TO)"/>
    <s v="CORSO SAVONA, 58 - 10024 MONCALIERI (TO)"/>
    <s v="Data Base  Administrator"/>
    <s v="no def"/>
    <m/>
    <x v="0"/>
  </r>
  <r>
    <m/>
    <x v="4"/>
    <s v="Supporto Tecnico MF"/>
    <s v="BORSATO"/>
    <s v="RENATO"/>
    <s v="  "/>
    <s v="renato.borsato@intesasanpaolo.com"/>
    <s v="BISCEGLIE (MI)"/>
    <s v="VIA BISCEGLIE, 120 - 20152 MILANO (MI)"/>
    <s v="System Administrator"/>
    <e v="#N/A"/>
    <m/>
    <x v="0"/>
  </r>
  <r>
    <m/>
    <x v="4"/>
    <s v="Flussi Trasmissivi"/>
    <s v="BOSI"/>
    <s v="ROBERTO"/>
    <s v="U086308"/>
    <s v="roberto.bosi1@intesasanpaolo.com"/>
    <s v="PARMA"/>
    <s v="VIA LANGHIRANO, 1 - PAL. C - 43100 PARMA (PR)"/>
    <s v="Communication specialist"/>
    <s v="System Administrator"/>
    <m/>
    <x v="0"/>
  </r>
  <r>
    <m/>
    <x v="4"/>
    <s v="Flussi Trasmissivi"/>
    <s v="BOTRUGNO"/>
    <s v="COSIMO"/>
    <s v="U086309"/>
    <s v="cosimo.botrugno@intesasanpaolo.com"/>
    <s v="PARMA"/>
    <s v="VIA LANGHIRANO, 1 - PAL. C - 43100 PARMA (PR)"/>
    <s v="Network Automation"/>
    <s v="System Administrator"/>
    <m/>
    <x v="0"/>
  </r>
  <r>
    <m/>
    <x v="4"/>
    <s v="Supporto Open Applic e Servizi"/>
    <s v="BRASA"/>
    <s v="STEFANO"/>
    <s v="U045372"/>
    <s v="stefano.brasa@intesasanpaolo.com"/>
    <s v="MONCALIERI (TO)"/>
    <s v="CORSO SAVONA, 58 - 10024 MONCALIERI (TO)"/>
    <s v="N/A"/>
    <s v="Project Manager"/>
    <m/>
    <x v="0"/>
  </r>
  <r>
    <m/>
    <x v="4"/>
    <s v="Supporto Open Applic e Servizi"/>
    <s v="BRAVIN"/>
    <s v="MAXIMILIAN"/>
    <s v="U369646"/>
    <s v="maximilian.bravin@intesasanpaolo.com"/>
    <s v="MONCALIERI (TO)"/>
    <s v="CORSO SAVONA, 58 - 10024 MONCALIERI (TO)"/>
    <s v="System Administrator"/>
    <s v="no def"/>
    <m/>
    <x v="0"/>
  </r>
  <r>
    <m/>
    <x v="4"/>
    <s v="Supporto Tecnico MF"/>
    <s v="BRESCIA"/>
    <s v="ROBERTO"/>
    <s v="  "/>
    <s v="roberto.brescia@intesasanpaolo.com"/>
    <s v="MONCALIERI (TO)"/>
    <s v="CORSO SAVONA, 58 - 10024 MONCALIERI (TO)"/>
    <s v="Data Base  Administrator"/>
    <e v="#N/A"/>
    <m/>
    <x v="0"/>
  </r>
  <r>
    <m/>
    <x v="4"/>
    <s v="Flussi Trasmissivi"/>
    <s v="BUSANI"/>
    <s v="MARCO"/>
    <s v="  "/>
    <s v="marco.busani@intesasanpaolo.com"/>
    <s v="PARMA"/>
    <s v="VIA LANGHIRANO, 1 - PAL. C - 43100 PARMA (PR)"/>
    <s v="Communication specialist"/>
    <e v="#N/A"/>
    <m/>
    <x v="0"/>
  </r>
  <r>
    <m/>
    <x v="4"/>
    <s v="Supporto Tecnico MF"/>
    <s v="CANNAVIELLO"/>
    <s v="ROBERTO"/>
    <s v="U301171"/>
    <s v="roberto.cannaviello@intesasanpaolo.com"/>
    <s v="ROMA"/>
    <s v="VIA VINCENZO LAMARO, 25 - 00173 ROMA (RM)"/>
    <s v="Data Base Administrator"/>
    <s v="Data Base Administrator"/>
    <m/>
    <x v="0"/>
  </r>
  <r>
    <m/>
    <x v="4"/>
    <s v="Supporto Open Applic e Servizi"/>
    <s v="CAPACCIO"/>
    <s v="LUCA"/>
    <s v="  "/>
    <s v="luca.capaccio@intesasanpaolo.com"/>
    <s v="MONCALIERI (TO)"/>
    <s v="CORSO SAVONA, 58 - 10024 MONCALIERI (TO)"/>
    <s v="System Administrator"/>
    <e v="#N/A"/>
    <m/>
    <x v="0"/>
  </r>
  <r>
    <m/>
    <x v="4"/>
    <s v="Supporto Open Applic e Servizi"/>
    <s v="CARELLA"/>
    <s v="RENATO"/>
    <s v="  "/>
    <s v="renato.carella@intesasanpaolo.com"/>
    <s v="MONCALIERI (TO)"/>
    <s v="CORSO SAVONA, 58 - 10024 MONCALIERI (TO)"/>
    <s v="System Administrator"/>
    <e v="#N/A"/>
    <m/>
    <x v="0"/>
  </r>
  <r>
    <m/>
    <x v="4"/>
    <s v="Supporto Open DB e Sistemi"/>
    <s v="CARPI"/>
    <s v="FIORENZO"/>
    <s v="U357315"/>
    <s v="fiorenzo.carpi@intesasanpaolo.com"/>
    <s v="MONCALIERI (TO)"/>
    <s v="CORSO SAVONA, 58 - 10024 MONCALIERI (TO)"/>
    <s v="Data Base Administrator"/>
    <s v="Data Base Administrator"/>
    <m/>
    <x v="0"/>
  </r>
  <r>
    <m/>
    <x v="4"/>
    <s v="Supporto Open Applic e Servizi"/>
    <s v="CARTA"/>
    <s v="FABIO"/>
    <s v="  "/>
    <s v="fabio.carta@intesasanpaolo.com"/>
    <s v="MONCALIERI (TO)"/>
    <s v="CORSO SAVONA, 58 - 10024 MONCALIERI (TO)"/>
    <s v="N/A"/>
    <e v="#N/A"/>
    <m/>
    <x v="0"/>
  </r>
  <r>
    <m/>
    <x v="4"/>
    <s v="Supporto Open Applic e Servizi"/>
    <s v="CELLI"/>
    <s v="FABRIZIO ANTONIO"/>
    <s v="U364369"/>
    <s v="fabrizio.celli@intesasanpaolo.com"/>
    <s v="MONCALIERI (TO)"/>
    <s v="CORSO SAVONA, 58 - 10024 MONCALIERI (TO)"/>
    <s v="System Administrator"/>
    <s v="System Administrator"/>
    <m/>
    <x v="0"/>
  </r>
  <r>
    <m/>
    <x v="4"/>
    <s v="Supporto Tecnico MF"/>
    <s v="CENA"/>
    <s v="FABRIZIO"/>
    <s v="U017967"/>
    <s v="fabrizio.cena@intesasanpaolo.com"/>
    <s v="MONCALIERI (TO)"/>
    <s v="CORSO SAVONA, 58 - 10024 MONCALIERI (TO)"/>
    <s v="Data Base Administrator"/>
    <s v="Data Base Administrator"/>
    <m/>
    <x v="0"/>
  </r>
  <r>
    <m/>
    <x v="4"/>
    <s v="Supporto Open DB e Sistemi"/>
    <s v="CENTOMANI"/>
    <s v="RAFFAELE"/>
    <s v="  "/>
    <s v="raffaele.centomani@intesasanpaolo.com"/>
    <s v="MONCALIERI (TO)"/>
    <s v="CORSO SAVONA, 58 - 10024 MONCALIERI (TO)"/>
    <s v="System Administrator"/>
    <e v="#N/A"/>
    <m/>
    <x v="0"/>
  </r>
  <r>
    <m/>
    <x v="4"/>
    <s v="Supporto Open Applic e Servizi"/>
    <s v="CHIARAVALLE"/>
    <s v="PASQUALE"/>
    <s v="  "/>
    <s v="pasquale.chiaravalle@intesasanpaolo.com"/>
    <s v="MONCALIERI (TO)"/>
    <s v="CORSO SAVONA, 58 - 10024 MONCALIERI (TO)"/>
    <s v="System Administrator"/>
    <e v="#N/A"/>
    <m/>
    <x v="0"/>
  </r>
  <r>
    <m/>
    <x v="4"/>
    <s v="Supporto Open DB e Sistemi"/>
    <s v="CIPOLLONE"/>
    <s v="ANTONINO"/>
    <s v="U345437"/>
    <s v="antonino.cipollone@intesasanpaolo.com"/>
    <s v="MONCALIERI (TO)"/>
    <s v="CORSO SAVONA, 58 - 10024 MONCALIERI (TO)"/>
    <s v="Data Base Administrator"/>
    <s v="Data Base Administrator"/>
    <m/>
    <x v="0"/>
  </r>
  <r>
    <m/>
    <x v="4"/>
    <s v="Supporto Tecnico MF"/>
    <s v="COLETTA"/>
    <s v="VALENTINO"/>
    <s v="U301183"/>
    <s v="valentino.coletta@intesasanpaolo.com"/>
    <s v="ROMA"/>
    <s v="VIA VINCENZO LAMARO, 25 - 00173 ROMA (RM)"/>
    <s v="Data Base Administrator"/>
    <s v="Data Base Administrator"/>
    <m/>
    <x v="0"/>
  </r>
  <r>
    <m/>
    <x v="4"/>
    <s v="Supporto Tecnico MF"/>
    <s v="CONTEGIACOMO"/>
    <s v="PIETRO"/>
    <s v="  "/>
    <s v="pietro.contegiacomo@intesasanpaolo.com"/>
    <s v="MONCALIERI (TO)"/>
    <s v="CORSO SAVONA, 58 - 10024 MONCALIERI (TO)"/>
    <s v="Data Base  Administrator"/>
    <e v="#N/A"/>
    <m/>
    <x v="0"/>
  </r>
  <r>
    <m/>
    <x v="4"/>
    <s v="Supporto Open Applic e Servizi"/>
    <s v="COTTONE"/>
    <s v="FILIPPO"/>
    <s v="  "/>
    <s v="filippo.cottone@intesasanpaolo.com"/>
    <s v="MONCALIERI (TO)"/>
    <s v="CORSO SAVONA, 58 - 10024 MONCALIERI (TO)"/>
    <s v="N/A"/>
    <e v="#N/A"/>
    <m/>
    <x v="0"/>
  </r>
  <r>
    <m/>
    <x v="4"/>
    <s v="Supporto Open Applic e Servizi"/>
    <s v="CUCCOLINI"/>
    <s v="ALESSANDRO"/>
    <s v="  "/>
    <s v="alessandro.cuccolini@intesasanpaolo.com"/>
    <s v="MONCALIERI (TO)"/>
    <s v="CORSO SAVONA, 58 - 10024 MONCALIERI (TO)"/>
    <s v="System Administrator"/>
    <e v="#N/A"/>
    <m/>
    <x v="0"/>
  </r>
  <r>
    <m/>
    <x v="4"/>
    <s v="Supporto Open Applic e Servizi"/>
    <s v="DE CRESCENZO"/>
    <s v="FABIO"/>
    <s v="U023915"/>
    <s v="fabio.decrescenzo@intesasanpaolo.com"/>
    <s v="MONCALIERI (TO)"/>
    <s v="CORSO SAVONA, 58 - 10024 MONCALIERI (TO)"/>
    <s v="System Administrator"/>
    <s v="System Administrator"/>
    <m/>
    <x v="0"/>
  </r>
  <r>
    <m/>
    <x v="4"/>
    <s v="Supporto Tecnico MF"/>
    <s v="DE ROSA"/>
    <s v="DAVIDE"/>
    <s v="U086303"/>
    <s v="davide.derosa@intesasanpaolo.com"/>
    <s v="BISCEGLIE (MI)"/>
    <s v="VIA BISCEGLIE, 120 - 20152 MILANO (MI)"/>
    <s v="System Administrator"/>
    <s v="System Administrator"/>
    <m/>
    <x v="0"/>
  </r>
  <r>
    <m/>
    <x v="4"/>
    <s v="Supporto Open Applic e Servizi"/>
    <s v="DE ROSA"/>
    <s v="FABIO"/>
    <s v="  "/>
    <s v="fabio.derosa1@intesasanpaolo.com"/>
    <s v="MONCALIERI (TO)"/>
    <s v="CORSO SAVONA, 58 - 10024 MONCALIERI (TO)"/>
    <s v="System Administrator"/>
    <e v="#N/A"/>
    <m/>
    <x v="0"/>
  </r>
  <r>
    <m/>
    <x v="4"/>
    <s v="Supporto Tecnico MF"/>
    <s v="DEL RE"/>
    <s v="TOMMASO M.RICCARDO"/>
    <s v="U301194"/>
    <s v="tommaso.delre@intesasanpaolo.com"/>
    <s v="ROMA"/>
    <s v="VIA VINCENZO LAMARO, 25 - 00173 ROMA (RM)"/>
    <s v="System Administrator"/>
    <s v="System Administrator"/>
    <m/>
    <x v="0"/>
  </r>
  <r>
    <m/>
    <x v="4"/>
    <s v="Supporto Open Applic e Servizi"/>
    <s v="DETTONI"/>
    <s v="FABRIZIO"/>
    <s v="  "/>
    <s v="fabrizio.dettoni@intesasanpaolo.com"/>
    <s v="MONCALIERI (TO)"/>
    <s v="CORSO SAVONA, 58 - 10024 MONCALIERI (TO)"/>
    <s v="Data Communication Administrator"/>
    <e v="#N/A"/>
    <m/>
    <x v="0"/>
  </r>
  <r>
    <m/>
    <x v="4"/>
    <s v="Supporto Open Applic e Servizi"/>
    <s v="DI LABIO"/>
    <s v="PAOLO"/>
    <s v="  "/>
    <s v="paolo.dilabio@intesasanpaolo.com"/>
    <s v="MONCALIERI (TO)"/>
    <s v="CORSO SAVONA, 58 - 10024 MONCALIERI (TO)"/>
    <s v="Data Communication Administrator"/>
    <e v="#N/A"/>
    <m/>
    <x v="0"/>
  </r>
  <r>
    <m/>
    <x v="4"/>
    <s v="Supporto Tecnico MF"/>
    <s v="DI LEO"/>
    <s v="ORNELLA"/>
    <s v="U301197"/>
    <s v="ornella.dileo@intesasanpaolo.com"/>
    <s v="ROMA"/>
    <s v="VIA VINCENZO LAMARO, 25 - 00173 ROMA (RM)"/>
    <s v="Data Communication Administrator"/>
    <s v="System Administrator"/>
    <m/>
    <x v="0"/>
  </r>
  <r>
    <m/>
    <x v="4"/>
    <s v="Supporto Tecnico MF"/>
    <s v="DI ROMA"/>
    <s v="ENZO"/>
    <s v="U301198"/>
    <s v="enzo.diroma@intesasanpaolo.com"/>
    <s v="ROMA"/>
    <s v="VIA VINCENZO LAMARO, 25 - 00173 ROMA (RM)"/>
    <s v="Data Communication Administrator"/>
    <s v="System Administrator"/>
    <m/>
    <x v="0"/>
  </r>
  <r>
    <m/>
    <x v="4"/>
    <s v="Supporto Tecnico MF"/>
    <s v="DONNARUMMA"/>
    <s v="ANTONIO"/>
    <s v="U301200"/>
    <s v="antonio.donnarumma@intesasanpaolo.com"/>
    <s v="ROMA"/>
    <s v="VIA VINCENZO LAMARO, 25 - 00173 ROMA (RM)"/>
    <s v="Data Communication Administrator"/>
    <s v="System Administrator"/>
    <m/>
    <x v="0"/>
  </r>
  <r>
    <m/>
    <x v="5"/>
    <s v="Physical Planning"/>
    <s v="DONNINI"/>
    <s v="CARLO"/>
    <s v="U086376"/>
    <s v="carlo.donnini@intesasanpaolo.com"/>
    <s v="PARMA"/>
    <s v="VIA LANGHIRANO, 1 - PAL. C - 43100 PARMA (PR)"/>
    <s v="Operator"/>
    <s v="Operator"/>
    <m/>
    <x v="0"/>
  </r>
  <r>
    <m/>
    <x v="4"/>
    <s v="Flussi Trasmissivi"/>
    <s v="FAVA"/>
    <s v="EMANUELE"/>
    <s v="U086389"/>
    <s v="emanuele.fava@intesasanpaolo.com"/>
    <s v="PARMA"/>
    <s v="VIA LANGHIRANO, 1 - PAL. C - 43100 PARMA (PR)"/>
    <s v="Network Automation"/>
    <s v="System Administrator"/>
    <m/>
    <x v="0"/>
  </r>
  <r>
    <m/>
    <x v="4"/>
    <s v="Supporto Open Applic e Servizi"/>
    <s v="FERRARESE"/>
    <s v="BRUNO"/>
    <s v="U044866"/>
    <s v="bruno.ferrarese@intesasanpaolo.com"/>
    <s v="MONCALIERI (TO)"/>
    <s v="CORSO SAVONA, 58 - 10024 MONCALIERI (TO)"/>
    <s v="System Administrator"/>
    <s v="System Administrator"/>
    <m/>
    <x v="0"/>
  </r>
  <r>
    <m/>
    <x v="4"/>
    <s v="Supporto Tecnico MF"/>
    <s v="FONTANOT"/>
    <s v="RICCARDO"/>
    <s v="U024067"/>
    <s v="riccardo.fontanot@intesasanpaolo.com"/>
    <s v="MONCALIERI (TO)"/>
    <s v="CORSO SAVONA, 58 - 10024 MONCALIERI (TO)"/>
    <s v="Data Communication Administrator"/>
    <s v="System Administrator"/>
    <m/>
    <x v="0"/>
  </r>
  <r>
    <m/>
    <x v="4"/>
    <s v="Flussi Trasmissivi"/>
    <s v="FRAGNI"/>
    <s v="ALESSANDRO"/>
    <s v="U086280"/>
    <s v="alessandro.fragni@intesasanpaolo.com"/>
    <s v="PARMA"/>
    <s v="VIA LANGHIRANO, 1 - PAL. C - 43100 PARMA (PR)"/>
    <s v="Communication specialist"/>
    <s v="System Administrator"/>
    <m/>
    <x v="0"/>
  </r>
  <r>
    <m/>
    <x v="5"/>
    <s v="Physical Planning"/>
    <s v="FRANCO"/>
    <s v="GIANPAOLO"/>
    <s v="U014237"/>
    <s v="gianpaolo.franco@intesasanpaolo.com"/>
    <s v="MONCALIERI (TO)"/>
    <s v="CORSO SAVONA, 58 - 10024 MONCALIERI (TO)"/>
    <s v="Delivery manager"/>
    <s v="Operator"/>
    <m/>
    <x v="0"/>
  </r>
  <r>
    <m/>
    <x v="4"/>
    <s v="Supporto Tecnico MF"/>
    <s v="FRANCO"/>
    <s v="MAURO"/>
    <s v="U017972"/>
    <s v="mauro.franco@intesasanpaolo.com"/>
    <s v="MONCALIERI (TO)"/>
    <s v="CORSO SAVONA, 58 - 10024 MONCALIERI (TO)"/>
    <s v="Data Communication Administrator"/>
    <s v="System Administrator"/>
    <m/>
    <x v="0"/>
  </r>
  <r>
    <m/>
    <x v="5"/>
    <s v="Physical Planning"/>
    <s v="GANDOLFI"/>
    <s v="ANTONIO"/>
    <s v="U086384"/>
    <s v="antonio.gandolfi@intesasanpaolo.com"/>
    <s v="PARMA"/>
    <s v="VIA LANGHIRANO, 1 - PAL. C - 43100 PARMA (PR)"/>
    <s v="Operator"/>
    <s v="Operator"/>
    <m/>
    <x v="0"/>
  </r>
  <r>
    <m/>
    <x v="4"/>
    <s v="Supporto Tecnico MF"/>
    <s v="GARAVAGLIA"/>
    <s v="MAURO"/>
    <s v="U086385"/>
    <s v="mauro.garavaglia@intesasanpaolo.com"/>
    <s v="BISCEGLIE (MI)"/>
    <s v="VIA BISCEGLIE, 120 - 20152 MILANO (MI)"/>
    <s v="System Administrator"/>
    <s v="System Administrator"/>
    <m/>
    <x v="0"/>
  </r>
  <r>
    <m/>
    <x v="4"/>
    <s v="Supporto Open Applic e Servizi"/>
    <s v="GERMANO"/>
    <s v="ALBERTO"/>
    <s v="  "/>
    <s v="alberto.germano@intesasanpaolo.com"/>
    <s v="MONCALIERI (TO)"/>
    <s v="CORSO SAVONA, 58 - 10024 MONCALIERI (TO)"/>
    <s v="System Administrator"/>
    <e v="#N/A"/>
    <m/>
    <x v="0"/>
  </r>
  <r>
    <m/>
    <x v="4"/>
    <s v="Supporto Open Applic e Servizi"/>
    <s v="GIACALONE"/>
    <s v="ENZO"/>
    <s v="U052427"/>
    <s v="enzo.giacalone@intesasanpaolo.com"/>
    <s v="BOLOGNA"/>
    <s v="PIAZZA SAN DOMENICO - 40124 BOLOGNA (BO)"/>
    <s v="N/A"/>
    <s v="Operator"/>
    <m/>
    <x v="0"/>
  </r>
  <r>
    <m/>
    <x v="4"/>
    <s v="Supporto Open DB e Sistemi"/>
    <s v="GIORDANO"/>
    <s v="FRANCESCO"/>
    <s v="U305499"/>
    <s v="francesco.giordano@intesasanpaolo.com"/>
    <s v="MONCALIERI (TO)"/>
    <s v="CORSO SAVONA, 58 - 10024 MONCALIERI (TO)"/>
    <s v="System Administrator"/>
    <s v="System Administrator"/>
    <m/>
    <x v="0"/>
  </r>
  <r>
    <m/>
    <x v="5"/>
    <s v="Physical Planning"/>
    <s v="GIOVANELLI"/>
    <s v="GIAN PAOLO"/>
    <s v="U086351"/>
    <s v="gianpaolo.giovanelli@intesasanpaolo.com"/>
    <s v="PARMA"/>
    <s v="VIA LANGHIRANO, 1 - PAL. C - 43100 PARMA (PR)"/>
    <s v="Operator"/>
    <s v="Operator"/>
    <m/>
    <x v="0"/>
  </r>
  <r>
    <m/>
    <x v="4"/>
    <s v="Supporto Tecnico MF"/>
    <s v="GORLATO"/>
    <s v="ENNIO ORLANDO"/>
    <s v="  "/>
    <s v="ennio.gorlato@intesasanpaolo.com"/>
    <s v="MONCALIERI (TO)"/>
    <s v="CORSO SAVONA, 58 - 10024 MONCALIERI (TO)"/>
    <s v="Data Base  Administrator"/>
    <e v="#N/A"/>
    <m/>
    <x v="0"/>
  </r>
  <r>
    <m/>
    <x v="4"/>
    <s v="Supporto Tecnico MF"/>
    <s v="INCANNILA"/>
    <s v="STEFANO"/>
    <s v="  "/>
    <s v="stefano.incannila@intesasanpaolo.com"/>
    <s v="MONCALIERI (TO)"/>
    <s v="CORSO SAVONA, 58 - 10024 MONCALIERI (TO)"/>
    <s v="Data Base  Administrator"/>
    <e v="#N/A"/>
    <m/>
    <x v="0"/>
  </r>
  <r>
    <m/>
    <x v="4"/>
    <s v="Supporto Open DB e Sistemi"/>
    <s v="KANA ZEBAZE"/>
    <s v="JEAN PIERRE"/>
    <s v="  "/>
    <s v="jean.kanazebaze@intesasanpaolo.com"/>
    <s v="MONCALIERI (TO)"/>
    <s v="CORSO SAVONA, 58 - 10024 MONCALIERI (TO)"/>
    <s v="Data Base  Administrator"/>
    <e v="#N/A"/>
    <m/>
    <x v="0"/>
  </r>
  <r>
    <m/>
    <x v="4"/>
    <s v="Supporto Open DB e Sistemi"/>
    <s v="LA STELLA"/>
    <s v="LUCA"/>
    <s v="U023763"/>
    <s v="luca.lastella@intesasanpaolo.com"/>
    <s v="MONCALIERI (TO)"/>
    <s v="CORSO SAVONA, 58 - 10024 MONCALIERI (TO)"/>
    <s v="System Administrator"/>
    <s v="System Administrator"/>
    <m/>
    <x v="0"/>
  </r>
  <r>
    <m/>
    <x v="4"/>
    <s v="Supporto Open DB e Sistemi"/>
    <s v="LACATUSU"/>
    <s v="DANIEL"/>
    <s v="  "/>
    <s v="daniel.lacatusu@intesasanpaolo.com"/>
    <s v="MONCALIERI (TO)"/>
    <s v="CORSO SAVONA, 58 - 10024 MONCALIERI (TO)"/>
    <s v="System Administrator"/>
    <e v="#N/A"/>
    <m/>
    <x v="0"/>
  </r>
  <r>
    <m/>
    <x v="4"/>
    <s v="Supporto Open Applic e Servizi"/>
    <s v="LATINO"/>
    <s v="FLAVIA"/>
    <s v="  "/>
    <s v="flavia.latino@intesasanpaolo.com"/>
    <s v="MONCALIERI (TO)"/>
    <s v="CORSO SAVONA, 58 - 10024 MONCALIERI (TO)"/>
    <s v="System Administrator"/>
    <e v="#N/A"/>
    <m/>
    <x v="0"/>
  </r>
  <r>
    <m/>
    <x v="4"/>
    <s v="Flussi Trasmissivi"/>
    <s v="LAZZARI"/>
    <s v="SIMONE"/>
    <s v="U086277"/>
    <s v="simone.lazzari@intesasanpaolo.com"/>
    <s v="PARMA"/>
    <s v="VIA LANGHIRANO, 1 - PAL. C - 43100 PARMA (PR)"/>
    <s v="Communication specialist"/>
    <s v="System Administrator"/>
    <m/>
    <x v="0"/>
  </r>
  <r>
    <m/>
    <x v="4"/>
    <s v="Supporto Open DB e Sistemi"/>
    <s v="LEUZZI"/>
    <s v="ALESSANDRO"/>
    <s v="  "/>
    <s v="alessandro.leuzzi@intesasanpaolo.com"/>
    <s v="MONCALIERI (TO)"/>
    <s v="CORSO SAVONA, 58 - 10024 MONCALIERI (TO)"/>
    <s v="Data Base  Administrator"/>
    <e v="#N/A"/>
    <m/>
    <x v="0"/>
  </r>
  <r>
    <m/>
    <x v="4"/>
    <s v="Supporto Tecnico MF"/>
    <s v="MALDINI"/>
    <s v="GILBERTO"/>
    <s v="U301225"/>
    <s v="gilberto.maldini@intesasanpaolo.com"/>
    <s v="ROMA"/>
    <s v="VIA VINCENZO LAMARO, 25 - 00173 ROMA (RM)"/>
    <s v="Data Base  Administrator"/>
    <s v="System Administrator"/>
    <m/>
    <x v="0"/>
  </r>
  <r>
    <m/>
    <x v="4"/>
    <s v="Supporto Open DB e Sistemi"/>
    <s v="MANGIALARDO"/>
    <s v="SERGIO"/>
    <s v="U029729"/>
    <s v="sergio.mangialardo@intesasanpaolo.com"/>
    <s v="MONCALIERI (TO)"/>
    <s v="CORSO SAVONA, 58 - 10024 MONCALIERI (TO)"/>
    <s v="Data Base Administrator"/>
    <s v="Data Base Administrator"/>
    <m/>
    <x v="0"/>
  </r>
  <r>
    <m/>
    <x v="4"/>
    <s v="Supporto Tecnico MF"/>
    <s v="MARCIANO'"/>
    <s v="GIANLUCA"/>
    <s v="U301229"/>
    <s v="gianluca.marciano@intesasanpaolo.com"/>
    <s v="ROMA"/>
    <s v="VIA VINCENZO LAMARO, 25 - 00173 ROMA (RM)"/>
    <s v="Data Base Administrator"/>
    <s v="Data Base Administrator"/>
    <m/>
    <x v="0"/>
  </r>
  <r>
    <m/>
    <x v="4"/>
    <s v="Supporto Tecnico MF"/>
    <s v="MAROTTA"/>
    <s v="UMBERTO"/>
    <s v="  "/>
    <s v="umberto.marotta@intesasanpaolo.com"/>
    <s v="ROMA"/>
    <s v="VIA VINCENZO LAMARO, 25 - 00173 ROMA (RM)"/>
    <s v="Data Communication Administrator"/>
    <e v="#N/A"/>
    <m/>
    <x v="0"/>
  </r>
  <r>
    <m/>
    <x v="4"/>
    <s v="Flussi Trasmissivi"/>
    <s v="MASSARI"/>
    <s v="GABRIELE"/>
    <s v="U086350"/>
    <s v="gabriele.massari@intesasanpaolo.com"/>
    <s v="PARMA"/>
    <s v="VIA LANGHIRANO, 1 - PAL. C - 43100 PARMA (PR)"/>
    <s v="Network Automation"/>
    <s v="System Administrator"/>
    <m/>
    <x v="0"/>
  </r>
  <r>
    <m/>
    <x v="4"/>
    <s v="Supporto Tecnico MF"/>
    <s v="MATTALIA"/>
    <s v="SERENA"/>
    <s v="  "/>
    <s v="serena.mattalia@intesasanpaolo.com"/>
    <s v="MONCALIERI (TO)"/>
    <s v="CORSO SAVONA, 58 - 10024 MONCALIERI (TO)"/>
    <s v="Data Base  Administrator"/>
    <e v="#N/A"/>
    <m/>
    <x v="0"/>
  </r>
  <r>
    <m/>
    <x v="4"/>
    <s v="Supporto Tecnico MF"/>
    <s v="MIGLIORI"/>
    <s v="ELEUTERIO"/>
    <s v="  "/>
    <s v="eleuterio.migliori@intesasanpaolo.com"/>
    <s v="ROMA"/>
    <s v="VIA VINCENZO LAMARO, 25 - 00173 ROMA (RM)"/>
    <s v="Data Base  Administrator"/>
    <e v="#N/A"/>
    <m/>
    <x v="0"/>
  </r>
  <r>
    <m/>
    <x v="4"/>
    <s v="Supporto Open DB e Sistemi"/>
    <s v="MONTEFERRANTE"/>
    <s v="GIOVANNI"/>
    <s v="  "/>
    <s v="giovanni.monteferrante@intesasanpaolo.com"/>
    <s v="MONCALIERI (TO)"/>
    <s v="CORSO SAVONA, 58 - 10024 MONCALIERI (TO)"/>
    <s v="System Administrator"/>
    <e v="#N/A"/>
    <m/>
    <x v="0"/>
  </r>
  <r>
    <m/>
    <x v="4"/>
    <s v="Supporto Tecnico MF"/>
    <s v="MONTICONE"/>
    <s v="FLAVIO"/>
    <s v="U017374"/>
    <s v="flavio.monticone@intesasanpaolo.com"/>
    <s v="MONCALIERI (TO)"/>
    <s v="CORSO SAVONA, 58 - 10024 MONCALIERI (TO)"/>
    <s v="Data Base  Administrator"/>
    <s v="Project Manager"/>
    <m/>
    <x v="0"/>
  </r>
  <r>
    <m/>
    <x v="4"/>
    <s v="Flussi Trasmissivi"/>
    <s v="MORZA"/>
    <s v="GABRIELE"/>
    <s v="U086362"/>
    <s v="gabriele.morza@intesasanpaolo.com"/>
    <s v="PARMA"/>
    <s v="VIA LANGHIRANO, 1 - PAL. C - 43100 PARMA (PR)"/>
    <s v="Communication specialist"/>
    <s v="System Administrator"/>
    <m/>
    <x v="0"/>
  </r>
  <r>
    <m/>
    <x v="4"/>
    <s v="Supporto Tecnico MF"/>
    <s v="MOSCHELLI"/>
    <s v="MAURO"/>
    <s v="U020444"/>
    <s v="mauro.moschelli@intesasanpaolo.com"/>
    <s v="MONCALIERI (TO)"/>
    <s v="CORSO SAVONA, 58 - 10024 MONCALIERI (TO)"/>
    <s v="Data Base  Administrator"/>
    <s v="System Administrator"/>
    <m/>
    <x v="0"/>
  </r>
  <r>
    <m/>
    <x v="4"/>
    <s v="Supporto Tecnico MF"/>
    <s v="NEGOSSI"/>
    <s v="LUCA"/>
    <s v="  "/>
    <s v="luca.negossi@intesasanpaolo.com"/>
    <s v="MONCALIERI (TO)"/>
    <s v="CORSO SAVONA, 58 - 10024 MONCALIERI (TO)"/>
    <s v="Data Communication Administrator"/>
    <e v="#N/A"/>
    <m/>
    <x v="0"/>
  </r>
  <r>
    <m/>
    <x v="5"/>
    <s v="Physical Planning"/>
    <s v="PATELLI"/>
    <s v="ROBERTO"/>
    <s v="U042855"/>
    <s v="roberto.patelli@intesasanpaolo.com"/>
    <s v="MONCALIERI (TO)"/>
    <s v="CORSO SAVONA, 58 - 10024 MONCALIERI (TO)"/>
    <s v="Delivery manager"/>
    <s v="Operator"/>
    <m/>
    <x v="0"/>
  </r>
  <r>
    <m/>
    <x v="5"/>
    <s v="Physical Planning"/>
    <s v="PEDRAZZINI"/>
    <s v="CRISTIANO"/>
    <s v="U086411"/>
    <s v="cristiano.pedrazzini@intesasanpaolo.com"/>
    <s v="PARMA"/>
    <s v="VIA LANGHIRANO, 1 - PAL. C - 43100 PARMA (PR)"/>
    <s v="Delivery manager"/>
    <s v="Operator"/>
    <s v="Delivery manager"/>
    <x v="4"/>
  </r>
  <r>
    <m/>
    <x v="4"/>
    <s v="Supporto Tecnico MF"/>
    <s v="PIAZZA"/>
    <s v="DAVIDE"/>
    <s v="U086416"/>
    <s v="davide.piazza@intesasanpaolo.com"/>
    <s v="BISCEGLIE (MI)"/>
    <s v="VIA BISCEGLIE, 120 - 20152 MILANO (MI)"/>
    <s v="System Administrator"/>
    <s v="System Administrator"/>
    <m/>
    <x v="0"/>
  </r>
  <r>
    <m/>
    <x v="4"/>
    <s v="Supporto Tecnico MF"/>
    <s v="PIERI"/>
    <s v="ALESSANDRO"/>
    <s v="U301251"/>
    <s v="alessandro.pieri@intesasanpaolo.com"/>
    <s v="ROMA"/>
    <s v="VIA VINCENZO LAMARO, 25 - 00173 ROMA (RM)"/>
    <s v="Data Base  Administrator"/>
    <s v="System Administrator"/>
    <m/>
    <x v="0"/>
  </r>
  <r>
    <m/>
    <x v="4"/>
    <s v="Supporto Tecnico MF"/>
    <s v="PIRON"/>
    <s v="GIOVANNI"/>
    <s v="U301252"/>
    <s v="giovanni.piron@intesasanpaolo.com"/>
    <s v="BISCEGLIE (MI)"/>
    <s v="VIA BISCEGLIE, 120 - 20152 MILANO (MI)"/>
    <s v="System Administrator"/>
    <s v="System Administrator"/>
    <m/>
    <x v="0"/>
  </r>
  <r>
    <m/>
    <x v="4"/>
    <s v="Supporto Open Applic e Servizi"/>
    <s v="RAMUNDO"/>
    <s v="GIANLUCA"/>
    <s v="  "/>
    <s v="gianluca.ramundo@intesasanpaolo.com"/>
    <s v="MONCALIERI (TO)"/>
    <s v="CORSO SAVONA, 58 - 10024 MONCALIERI (TO)"/>
    <s v="System Administrator"/>
    <e v="#N/A"/>
    <m/>
    <x v="0"/>
  </r>
  <r>
    <m/>
    <x v="4"/>
    <s v="Supporto Tecnico MF"/>
    <s v="RECCHIONI"/>
    <s v="ROBERTO"/>
    <s v="U301260"/>
    <s v="roberto.recchioni@intesasanpaolo.com"/>
    <s v="ROMA"/>
    <s v="VIA VINCENZO LAMARO, 25 - 00173 ROMA (RM)"/>
    <s v="Data Base  Administrator"/>
    <s v="System Administrator"/>
    <m/>
    <x v="0"/>
  </r>
  <r>
    <m/>
    <x v="4"/>
    <s v="Supporto Tecnico MF"/>
    <s v="RIPAMONTI"/>
    <s v="FRANCO"/>
    <s v="U086410"/>
    <s v="franco.ripamonti@intesasanpaolo.com"/>
    <s v="BISCEGLIE (MI)"/>
    <s v="VIA BISCEGLIE, 120 - 20152 MILANO (MI)"/>
    <s v="System Administrator"/>
    <s v="System Administrator"/>
    <m/>
    <x v="0"/>
  </r>
  <r>
    <m/>
    <x v="4"/>
    <s v="Flussi Trasmissivi"/>
    <s v="ROGNONI"/>
    <s v="MARCO"/>
    <s v="U086322"/>
    <s v="marco.rognoni@intesasanpaolo.com"/>
    <s v="PARMA"/>
    <s v="VIA LANGHIRANO, 1 - PAL. C - 43100 PARMA (PR)"/>
    <s v="N/A"/>
    <s v="Operator"/>
    <m/>
    <x v="0"/>
  </r>
  <r>
    <m/>
    <x v="4"/>
    <s v="Supporto Open Applic e Servizi"/>
    <s v="ROMANO"/>
    <s v="GIOVANNI"/>
    <s v="  "/>
    <s v="giovanni.romano3@intesasanpaolo.com"/>
    <s v="MONCALIERI (TO)"/>
    <s v="CORSO SAVONA, 58 - 10024 MONCALIERI (TO)"/>
    <s v="Delivery manager"/>
    <e v="#N/A"/>
    <m/>
    <x v="0"/>
  </r>
  <r>
    <m/>
    <x v="4"/>
    <s v="Supporto Open Applic e Servizi"/>
    <s v="ROVERE"/>
    <s v="SIMONA"/>
    <s v="  "/>
    <s v="simona.rovere@intesasanpaolo.com"/>
    <s v="MONCALIERI (TO)"/>
    <s v="CORSO SAVONA, 58 - 10024 MONCALIERI (TO)"/>
    <s v="System Administrator"/>
    <e v="#N/A"/>
    <m/>
    <x v="0"/>
  </r>
  <r>
    <m/>
    <x v="4"/>
    <s v="Supporto Open Applic e Servizi"/>
    <s v="RUBBA"/>
    <s v="ALESSANDRO"/>
    <s v="U364040"/>
    <s v="alessandro.rubba@intesasanpaolo.com"/>
    <s v="MONCALIERI (TO)"/>
    <s v="CORSO SAVONA, 58 - 10024 MONCALIERI (TO)"/>
    <s v="System Administrator"/>
    <s v="System Administrator"/>
    <m/>
    <x v="0"/>
  </r>
  <r>
    <m/>
    <x v="4"/>
    <s v="Supporto Open Applic e Servizi"/>
    <s v="SALEEM"/>
    <s v="KHURRAM"/>
    <s v="  "/>
    <s v="khurram.saleem@intesasanpaolo.com"/>
    <s v="MONCALIERI (TO)"/>
    <s v="CORSO SAVONA, 58 - 10024 MONCALIERI (TO)"/>
    <s v="System Administrator"/>
    <e v="#N/A"/>
    <m/>
    <x v="0"/>
  </r>
  <r>
    <m/>
    <x v="4"/>
    <s v="Flussi Trasmissivi"/>
    <s v="SALVINI"/>
    <s v="STEFANO"/>
    <s v="U086335"/>
    <s v="stefano.salvini@intesasanpaolo.com"/>
    <s v="PARMA"/>
    <s v="VIA LANGHIRANO, 1 - PAL. C - 43100 PARMA (PR)"/>
    <s v="Communication specialist"/>
    <s v="System Administrator"/>
    <m/>
    <x v="0"/>
  </r>
  <r>
    <m/>
    <x v="4"/>
    <s v="Supporto Open Applic e Servizi"/>
    <s v="SAPONARO"/>
    <s v="ANTONIA"/>
    <s v="  "/>
    <s v="antonia.saponaro@intesasanpaolo.com"/>
    <s v="MONCALIERI (TO)"/>
    <s v="CORSO SAVONA, 58 - 10024 MONCALIERI (TO)"/>
    <s v="Data Communication Administrator"/>
    <e v="#N/A"/>
    <m/>
    <x v="0"/>
  </r>
  <r>
    <m/>
    <x v="4"/>
    <s v="Flussi Trasmissivi"/>
    <s v="SASSI"/>
    <s v="MASSIMO"/>
    <s v="U086427"/>
    <s v="massimo.sassi@intesasanpaolo.com"/>
    <s v="PARMA"/>
    <s v="VIA LANGHIRANO, 1 - PAL. C - 43100 PARMA (PR)"/>
    <s v="Communication specialist"/>
    <s v="System Administrator"/>
    <m/>
    <x v="0"/>
  </r>
  <r>
    <m/>
    <x v="4"/>
    <s v="Supporto Open Applic e Servizi"/>
    <s v="SCARPARO"/>
    <s v="MAURIZIO"/>
    <s v="  "/>
    <s v="maurizio.scarparo@intesasanpaolo.com"/>
    <s v="MONCALIERI (TO)"/>
    <s v="CORSO SAVONA, 58 - 10024 MONCALIERI (TO)"/>
    <s v="System Administrator"/>
    <e v="#N/A"/>
    <m/>
    <x v="0"/>
  </r>
  <r>
    <m/>
    <x v="4"/>
    <s v="Supporto Open DB e Sistemi"/>
    <s v="SENNO"/>
    <s v="MARCO"/>
    <s v="  "/>
    <s v="marco.senno@intesasanpaolo.com"/>
    <s v="MONCALIERI (TO)"/>
    <s v="CORSO SAVONA, 58 - 10024 MONCALIERI (TO)"/>
    <s v="System Administrator"/>
    <e v="#N/A"/>
    <m/>
    <x v="0"/>
  </r>
  <r>
    <m/>
    <x v="5"/>
    <s v="Physical Planning"/>
    <s v="SINA"/>
    <s v="GIULIANO"/>
    <s v="U025660"/>
    <s v="giuliano.sina@intesasanpaolo.com"/>
    <s v="MONCALIERI (TO)"/>
    <s v="CORSO SAVONA, 58 - 10024 MONCALIERI (TO)"/>
    <s v="Delivery manager"/>
    <s v="Operator"/>
    <s v="Delivery manager"/>
    <x v="4"/>
  </r>
  <r>
    <m/>
    <x v="5"/>
    <s v="Physical Planning"/>
    <s v="SOAVI"/>
    <s v="GIUSEPPE"/>
    <s v="U086400"/>
    <s v="giuseppe.soavi@intesasanpaolo.com"/>
    <s v="PARMA"/>
    <s v="VIA LANGHIRANO, 1 - PAL. C - 43100 PARMA (PR)"/>
    <s v="Operator"/>
    <s v="Operator"/>
    <m/>
    <x v="0"/>
  </r>
  <r>
    <m/>
    <x v="4"/>
    <s v="Supporto Open Applic e Servizi"/>
    <s v="SORGENTE"/>
    <s v="ANDREA"/>
    <s v="  "/>
    <s v="andrea.sorgente@intesasanpaolo.com"/>
    <s v="MONCALIERI (TO)"/>
    <s v="CORSO SAVONA, 58 - 10024 MONCALIERI (TO)"/>
    <s v="System Administrator"/>
    <e v="#N/A"/>
    <m/>
    <x v="0"/>
  </r>
  <r>
    <m/>
    <x v="4"/>
    <s v="Flussi Trasmissivi"/>
    <s v="SPOTTI"/>
    <s v="MICHELE"/>
    <s v="U086421"/>
    <s v="michele.spotti@intesasanpaolo.com"/>
    <s v="PARMA"/>
    <s v="VIA LANGHIRANO, 1 - PAL. C - 43100 PARMA (PR)"/>
    <s v="Network Automation"/>
    <s v="System Administrator"/>
    <m/>
    <x v="0"/>
  </r>
  <r>
    <m/>
    <x v="4"/>
    <s v="Supporto Open Applic e Servizi"/>
    <s v="STROSCIO"/>
    <s v="ELISA"/>
    <s v="  "/>
    <s v="elisa.stroscio@intesasanpaolo.com"/>
    <s v="MONCALIERI (TO)"/>
    <s v="CORSO SAVONA, 58 - 10024 MONCALIERI (TO)"/>
    <s v="System Administrator"/>
    <e v="#N/A"/>
    <m/>
    <x v="0"/>
  </r>
  <r>
    <m/>
    <x v="4"/>
    <s v="Supporto Tecnico MF"/>
    <s v="TAMIETTI"/>
    <s v="ALBERTO"/>
    <s v="U016376"/>
    <s v="alberto.tamietti@intesasanpaolo.com"/>
    <s v="MONCALIERI (TO)"/>
    <s v="CORSO SAVONA, 58 - 10024 MONCALIERI (TO)"/>
    <s v="Data Communication Administrator"/>
    <s v="System Administrator"/>
    <m/>
    <x v="0"/>
  </r>
  <r>
    <m/>
    <x v="4"/>
    <s v="Supporto Open Applic e Servizi"/>
    <s v="THIMJO"/>
    <s v="KRIST"/>
    <s v="  "/>
    <s v="krist.thimjo@intesasanpaolo.com"/>
    <s v="MONCALIERI (TO)"/>
    <s v="CORSO SAVONA, 58 - 10024 MONCALIERI (TO)"/>
    <s v="Data Communication Administrator"/>
    <e v="#N/A"/>
    <m/>
    <x v="0"/>
  </r>
  <r>
    <m/>
    <x v="4"/>
    <s v="Supporto Open Applic e Servizi"/>
    <s v="TRON"/>
    <s v="SIMONE COSTANTINO"/>
    <s v="U364135"/>
    <s v="simone.tron@intesasanpaolo.com"/>
    <s v="MONCALIERI (TO)"/>
    <s v="CORSO SAVONA, 58 - 10024 MONCALIERI (TO)"/>
    <s v="System Administrator"/>
    <s v="System Administrator"/>
    <m/>
    <x v="0"/>
  </r>
  <r>
    <m/>
    <x v="5"/>
    <s v="Physical Planning"/>
    <s v="VANNONI"/>
    <s v="FABIO LUCA"/>
    <s v="U086392"/>
    <s v="fabio.vannoni@intesasanpaolo.com"/>
    <s v="PARMA"/>
    <s v="VIA LANGHIRANO, 1 - PAL. C - 43100 PARMA (PR)"/>
    <s v="Delivery manager"/>
    <s v="Operator"/>
    <s v="Delivery manager"/>
    <x v="4"/>
  </r>
  <r>
    <m/>
    <x v="4"/>
    <s v="Supporto Tecnico MF"/>
    <s v="VINCENZI"/>
    <s v="FABRIZIO"/>
    <s v="U086395"/>
    <s v="fabrizio.vincenzi@intesasanpaolo.com"/>
    <s v="BISCEGLIE (MI)"/>
    <s v="VIA BISCEGLIE, 120 - 20152 MILANO (MI)"/>
    <s v="System Administrator"/>
    <s v="System Administrator"/>
    <m/>
    <x v="0"/>
  </r>
  <r>
    <m/>
    <x v="4"/>
    <s v="Flussi Trasmissivi"/>
    <s v="VISIOLI"/>
    <s v="MONICA"/>
    <s v="U086396"/>
    <s v="monica.visioli@intesasanpaolo.com"/>
    <s v="PARMA"/>
    <s v="VIA LANGHIRANO, 1 - PAL. C - 43100 PARMA (PR)"/>
    <s v="Network Automation"/>
    <s v="System Administrator"/>
    <m/>
    <x v="0"/>
  </r>
  <r>
    <m/>
    <x v="4"/>
    <s v="Supporto Open DB e Sistemi"/>
    <s v="ZELFERINO"/>
    <s v="ALESSANDRO"/>
    <s v="U369820"/>
    <s v="alessandro.zelferino@intesasanpaolo.com"/>
    <s v="MONCALIERI (TO)"/>
    <s v="CORSO SAVONA, 58 - 10024 MONCALIERI (TO)"/>
    <s v="Data Base  Administrator"/>
    <s v="no def"/>
    <m/>
    <x v="0"/>
  </r>
  <r>
    <s v="CAPO UFFICIO"/>
    <x v="6"/>
    <m/>
    <s v="SEVESO"/>
    <s v="GIANLUIGI"/>
    <s v="  "/>
    <s v="gianluigi.seveso@intesasanpaolo.com"/>
    <s v="BISCEGLIE (MI)"/>
    <s v="VIA BISCEGLIE, 120 - 20152 MILANO (MI)"/>
    <s v="  "/>
    <e v="#N/A"/>
    <m/>
    <x v="0"/>
  </r>
  <r>
    <s v="COORDINATORE COA"/>
    <x v="6"/>
    <s v="Sist Base e Sol. Specialistiche"/>
    <s v="AMORETTI"/>
    <s v="CLAUDIO"/>
    <s v="U083779"/>
    <s v="claudio.amoretti@intesasanpaolo.com"/>
    <s v="PARMA"/>
    <s v="VIA LANGHIRANO, 1 - PAL. C - 43100 PARMA (PR)"/>
    <s v="IT Coordinator"/>
    <s v="IT Coordinator"/>
    <m/>
    <x v="0"/>
  </r>
  <r>
    <s v="COORDINATORE COA"/>
    <x v="6"/>
    <s v="Supporto Specialistico e SWD"/>
    <s v="CRISPINO"/>
    <s v="FRANCESCA"/>
    <s v="U075427"/>
    <s v="francesca.crispino@intesasanpaolo.com"/>
    <s v="NAPOLI"/>
    <s v="VIA G. MARCONI, 15 - 80125 NAPOLI (NA)"/>
    <s v="IT Coordinator"/>
    <s v="IT Coordinator"/>
    <m/>
    <x v="0"/>
  </r>
  <r>
    <s v="COORDINATORE COA"/>
    <x v="6"/>
    <s v="Sistemi di Automazione"/>
    <s v="IZZO"/>
    <s v="ANTONIO"/>
    <s v="U035850"/>
    <s v="antonio.izzo@intesasanpaolo.com"/>
    <s v="BOLOGNA"/>
    <s v="PIAZZA SAN DOMENICO - 40124 BOLOGNA (BO)"/>
    <s v="IT Coordinator"/>
    <s v="IT Coordinator"/>
    <m/>
    <x v="0"/>
  </r>
  <r>
    <s v="COORDINATORE COA"/>
    <x v="6"/>
    <s v="Presidi Territoriali"/>
    <s v="LEONI"/>
    <s v="STEFANO"/>
    <s v="U083777"/>
    <s v="stefano.leoni@intesasanpaolo.com"/>
    <s v="PARMA"/>
    <s v="VIA LANGHIRANO, 1 - PAL. C - 43100 PARMA (PR)"/>
    <s v="IT Coordinator"/>
    <s v="IT Coordinator"/>
    <m/>
    <x v="0"/>
  </r>
  <r>
    <s v="COORDINATORE COA"/>
    <x v="6"/>
    <s v="Servizi Infrastrutturali AP e DB MS"/>
    <s v="LIONETTI"/>
    <s v="ANNALISA"/>
    <s v="U026366"/>
    <s v="annalisa.lionetti@intesasanpaolo.com"/>
    <s v="MONCALIERI (TO)"/>
    <s v="CORSO SAVONA, 58 - 10024 MONCALIERI (TO)"/>
    <s v="IT Coordinator"/>
    <s v="Project Manager"/>
    <m/>
    <x v="0"/>
  </r>
  <r>
    <s v="COORDINATORE COA"/>
    <x v="6"/>
    <s v="CC Infr Microsoft"/>
    <s v="LODDO"/>
    <s v="MARCO"/>
    <s v="U364093"/>
    <s v="marco.loddo@intesasanpaolo.com"/>
    <s v="MONCALIERI (TO)"/>
    <s v="CORSO SAVONA, 58 - 10024 MONCALIERI (TO)"/>
    <s v="IT Coordinator"/>
    <s v="System Administrator"/>
    <m/>
    <x v="0"/>
  </r>
  <r>
    <s v="COORDINATORE COA"/>
    <x v="6"/>
    <s v="Gestione progetti e manutenzione"/>
    <s v="VECCHIERELLI"/>
    <s v="ROBERTO"/>
    <s v="U085895"/>
    <s v="roberto.vecchierelli@intesasanpaolo.com"/>
    <s v="BISCEGLIE (MI)"/>
    <s v="VIA BISCEGLIE, 120 - 20152 MILANO (MI)"/>
    <s v="IT Coordinator"/>
    <s v="IT Coordinator"/>
    <m/>
    <x v="0"/>
  </r>
  <r>
    <s v="COORDINATORE COA"/>
    <x v="6"/>
    <s v="GST IMAC e Beni ICT"/>
    <s v="ZATTI"/>
    <s v="ELIANA"/>
    <s v="U085925"/>
    <s v="eliana.zatti@intesasanpaolo.com"/>
    <s v="PARMA"/>
    <s v="VIA LANGHIRANO, 1 - PAL. C - 43100 PARMA (PR)"/>
    <s v="IT Coordinator"/>
    <s v="Operator"/>
    <m/>
    <x v="0"/>
  </r>
  <r>
    <m/>
    <x v="6"/>
    <s v="Supporto Specialistico e SWD"/>
    <s v="ABATE"/>
    <s v="FRANCESCO"/>
    <s v="U077427"/>
    <s v="francesco.abate@intesasanpaolo.com"/>
    <s v="NAPOLI"/>
    <s v="VIA G. MARCONI, 15 - 80125 NAPOLI (NA)"/>
    <s v="System Administrator"/>
    <s v="System Administrator"/>
    <m/>
    <x v="0"/>
  </r>
  <r>
    <m/>
    <x v="6"/>
    <s v="Gestione progetti e manutenzione"/>
    <s v="ALESSANDRINO"/>
    <s v="GIUSEPPE LUCA"/>
    <s v="U086188"/>
    <s v="giuseppe.alessandrino@intesasanpaolo.com"/>
    <s v="BISCEGLIE (MI)"/>
    <s v="VIA BISCEGLIE, 120 - 20152 MILANO (MI)"/>
    <s v="Project Manager "/>
    <s v="Project Manager"/>
    <m/>
    <x v="0"/>
  </r>
  <r>
    <m/>
    <x v="6"/>
    <s v="Supporto Specialistico e SWD"/>
    <s v="ALOI"/>
    <s v="CLAUDIA"/>
    <s v="U077565"/>
    <s v="claudia.aloi@intesasanpaolo.com"/>
    <s v="NAPOLI"/>
    <s v="VIA G. MARCONI, 15 - 80125 NAPOLI (NA)"/>
    <s v="System Administrator"/>
    <s v="System Administrator"/>
    <m/>
    <x v="0"/>
  </r>
  <r>
    <m/>
    <x v="6"/>
    <s v="CC Infr Microsoft"/>
    <s v="AMBROGIO"/>
    <s v="MICHELE"/>
    <s v="  "/>
    <s v="michele.ambrogio@intesasanpaolo.com"/>
    <s v="MONCALIERI (TO)"/>
    <s v="CORSO SAVONA, 58 - 10024 MONCALIERI (TO)"/>
    <s v="System Administrator"/>
    <e v="#N/A"/>
    <e v="#N/A"/>
    <x v="0"/>
  </r>
  <r>
    <m/>
    <x v="6"/>
    <s v="Presidi Territoriali"/>
    <s v="AMETRANO"/>
    <s v="ALESSANDRO"/>
    <s v="  "/>
    <s v="alessandro.ametrano@intesasanpaolo.com"/>
    <s v="VERBANIA"/>
    <s v="PIAZZA ALDO MORO, 8 - 28921 VERBANIA (VB)"/>
    <s v="IT Operator"/>
    <e v="#N/A"/>
    <m/>
    <x v="0"/>
  </r>
  <r>
    <m/>
    <x v="6"/>
    <s v="Sist Base e Sol. Specialistiche"/>
    <s v="ANELLI"/>
    <s v="GIOVANNI"/>
    <s v="U086342"/>
    <s v="giovanni.anelli@intesasanpaolo.com"/>
    <s v="PARMA"/>
    <s v="VIA LANGHIRANO, 1 - PAL. C - 43100 PARMA (PR)"/>
    <s v="System Administrator"/>
    <s v="System Administrator"/>
    <m/>
    <x v="0"/>
  </r>
  <r>
    <m/>
    <x v="6"/>
    <s v="Sist Base e Sol. Specialistiche"/>
    <s v="AZZALI"/>
    <s v="PAOLA"/>
    <s v="U093156"/>
    <s v="paola.azzali@intesasanpaolo.com"/>
    <s v="PARMA"/>
    <s v="VIA LANGHIRANO, 1 - PAL. C - 43100 PARMA (PR)"/>
    <s v="System Administrator"/>
    <s v="System Administrator"/>
    <m/>
    <x v="0"/>
  </r>
  <r>
    <m/>
    <x v="6"/>
    <s v="CC Infr Microsoft"/>
    <s v="AZZINI"/>
    <s v="GIAMBATTISTA"/>
    <s v="U032953"/>
    <s v="giambattista.azzini@intesasanpaolo.com"/>
    <s v="COMO"/>
    <s v="VIA GARIBALDI, 133/135 - 22073 FINO MORNASCO (CO)"/>
    <s v="System Administrator"/>
    <s v="System Administrator"/>
    <m/>
    <x v="0"/>
  </r>
  <r>
    <m/>
    <x v="6"/>
    <s v="Sist Base e Sol. Specialistiche"/>
    <s v="BARRI"/>
    <s v="RITO"/>
    <s v="U086316"/>
    <s v="rito.barri@intesasanpaolo.com"/>
    <s v="BISCEGLIE (MI)"/>
    <s v="VIA BISCEGLIE, 120 - 20152 MILANO (MI)"/>
    <s v="System Administrator"/>
    <s v="System Administrator"/>
    <m/>
    <x v="0"/>
  </r>
  <r>
    <m/>
    <x v="6"/>
    <s v="Gestione progetti e manutenzione"/>
    <s v="BASTIANELLO"/>
    <s v="SIMONA"/>
    <s v="U085946"/>
    <s v="simona.bastianello@intesasanpaolo.com"/>
    <s v="BISCEGLIE (MI)"/>
    <s v="VIA BISCEGLIE, 120 - 20152 MILANO (MI)"/>
    <s v="Project Manager "/>
    <s v="Project Manager"/>
    <m/>
    <x v="0"/>
  </r>
  <r>
    <m/>
    <x v="6"/>
    <s v="Presidi Territoriali"/>
    <s v="BATTIATO"/>
    <s v="ROBERTO"/>
    <s v="U010000"/>
    <s v="roberto.battiato@intesasanpaolo.com"/>
    <s v="MONCALIERI (TO)"/>
    <s v="CORSO SAVONA, 58 - 10024 MONCALIERI (TO)"/>
    <s v="IT Operator"/>
    <s v="Operator"/>
    <m/>
    <x v="0"/>
  </r>
  <r>
    <m/>
    <x v="6"/>
    <s v="Sistemi di Automazione"/>
    <s v="BELVISI"/>
    <s v="GIAN LUCA"/>
    <s v="U035790"/>
    <s v="gianluca.belvisi@intesasanpaolo.com"/>
    <s v="BOLOGNA"/>
    <s v="PIAZZA SAN DOMENICO - 40124 BOLOGNA (BO)"/>
    <s v="System Administrator"/>
    <s v="System Administrator"/>
    <m/>
    <x v="0"/>
  </r>
  <r>
    <m/>
    <x v="6"/>
    <s v="Presidi Territoriali"/>
    <s v="BENSI"/>
    <s v="PIER LUIGI"/>
    <s v="U010041"/>
    <s v="pierluigi.bensi@intesasanpaolo.com"/>
    <s v="SAN CARLO (MI)"/>
    <s v="PIAZZA SAN CARLO, 156 - 10121 TORINO (TO)"/>
    <s v="IT Operator"/>
    <s v="Operator"/>
    <m/>
    <x v="0"/>
  </r>
  <r>
    <m/>
    <x v="6"/>
    <s v="GST IMAC e Beni ICT"/>
    <s v="BERNUZZI"/>
    <s v="BEATRICE"/>
    <s v="U085894"/>
    <s v="beatrice.bernuzzi@intesasanpaolo.com"/>
    <s v="PARMA"/>
    <s v="VIA LANGHIRANO, 1 - PAL. C - 43100 PARMA (PR)"/>
    <s v="IT Operator"/>
    <s v="Operator"/>
    <m/>
    <x v="0"/>
  </r>
  <r>
    <m/>
    <x v="6"/>
    <s v="Sist Base e Sol. Specialistiche"/>
    <s v="BERTE'"/>
    <s v="SANTI"/>
    <s v="  "/>
    <s v="santi.berte@intesasanpaolo.com"/>
    <s v="PARMA"/>
    <s v="VIA LANGHIRANO, 1 - PAL. C - 43100 PARMA (PR)"/>
    <s v="IT Operator"/>
    <e v="#N/A"/>
    <s v="System Administrator"/>
    <x v="0"/>
  </r>
  <r>
    <m/>
    <x v="6"/>
    <s v="Presidi Territoriali"/>
    <s v="BEVILACQUA"/>
    <s v="CORRADO"/>
    <s v="  "/>
    <s v="corrado.bevilacqua@intesasanpaolo.com"/>
    <s v="FABRIANO"/>
    <s v="VIA DON GIUSEPPE RIGANELLI, 36 - 60044 FABRIANO (AN)"/>
    <s v="IT Operator"/>
    <e v="#N/A"/>
    <m/>
    <x v="0"/>
  </r>
  <r>
    <m/>
    <x v="6"/>
    <s v="Presidi Territoriali"/>
    <s v="BIANCHI"/>
    <s v="MARCO"/>
    <s v="U013191"/>
    <s v="marco.bianchi1@intesasanpaolo.com"/>
    <s v="C.SO INGHILTERRA (TO)"/>
    <s v="CORSO INGHILTERRA, 3 - 10138 TORINO (TO)"/>
    <s v="IT Operator"/>
    <s v="System Administrator"/>
    <e v="#N/A"/>
    <x v="0"/>
  </r>
  <r>
    <m/>
    <x v="6"/>
    <s v="Gestione progetti e manutenzione"/>
    <s v="BIROLINI"/>
    <s v="AURELIO"/>
    <s v="U043004"/>
    <s v="aurelio.birolini@intesasanpaolo.com"/>
    <s v="BERGAMO"/>
    <s v="VIA CRISPI, 1 - 24122 BERGAMO (BG)"/>
    <s v="Project Manager "/>
    <s v="Project Manager"/>
    <e v="#N/A"/>
    <x v="0"/>
  </r>
  <r>
    <m/>
    <x v="6"/>
    <s v="Presidi Territoriali"/>
    <s v="BIZZARRI"/>
    <s v="IVANO"/>
    <s v="U014515"/>
    <s v="ivano.bizzarri@intesasanpaolo.com"/>
    <s v="ROMA"/>
    <s v="VIA VINCENZO LAMARO, 25 - 00173 ROMA (RM)"/>
    <s v="IT Operator"/>
    <s v="Operator"/>
    <m/>
    <x v="0"/>
  </r>
  <r>
    <m/>
    <x v="6"/>
    <s v="Sist Base e Sol. Specialistiche"/>
    <s v="BONADEO"/>
    <s v="GIOVANNI"/>
    <s v="U086317"/>
    <s v="giovanni.bonadeo@intesasanpaolo.com"/>
    <s v="BISCEGLIE (MI)"/>
    <s v="VIA BISCEGLIE, 120 - 20152 MILANO (MI)"/>
    <s v="System Administrator"/>
    <s v="System Administrator"/>
    <m/>
    <x v="0"/>
  </r>
  <r>
    <m/>
    <x v="6"/>
    <s v="GST IMAC e Beni ICT"/>
    <s v="BONATI"/>
    <s v="FABRIZIO"/>
    <s v="U086318"/>
    <s v="fabrizio.bonati@intesasanpaolo.com"/>
    <s v="PARMA"/>
    <s v="VIA LANGHIRANO, 1 - PAL. C - 43100 PARMA (PR)"/>
    <s v="IT Operator"/>
    <s v="Operator"/>
    <e v="#N/A"/>
    <x v="0"/>
  </r>
  <r>
    <m/>
    <x v="6"/>
    <s v="Gestione progetti e manutenzione"/>
    <s v="BONATTI"/>
    <s v="DAVIDE"/>
    <s v="U086150"/>
    <s v="davide.bonatti@intesasanpaolo.com"/>
    <s v="BISCEGLIE (MI)"/>
    <s v="VIA BISCEGLIE, 120 - 20152 MILANO (MI)"/>
    <s v="Project Manager "/>
    <s v="Project Manager"/>
    <m/>
    <x v="0"/>
  </r>
  <r>
    <m/>
    <x v="6"/>
    <s v="Gestione progetti e manutenzione"/>
    <s v="BONSIGNORE"/>
    <s v="VERONICA"/>
    <s v="U085965"/>
    <s v="veronica.bonsignore@intesasanpaolo.com"/>
    <s v="BISCEGLIE (MI)"/>
    <s v="VIA BISCEGLIE, 120 - 20152 MILANO (MI)"/>
    <s v="IT Operator"/>
    <s v="Operator"/>
    <m/>
    <x v="0"/>
  </r>
  <r>
    <m/>
    <x v="6"/>
    <s v="Presidi Territoriali"/>
    <s v="BORELLO"/>
    <s v="BRUNO"/>
    <s v="U012674"/>
    <s v="bruno.borello@intesasanpaolo.com"/>
    <s v="MONCALIERI (TO)"/>
    <s v="CORSO SAVONA, 58 - 10024 MONCALIERI (TO)"/>
    <s v="IT Operator"/>
    <s v="Operator"/>
    <e v="#N/A"/>
    <x v="0"/>
  </r>
  <r>
    <m/>
    <x v="6"/>
    <s v="Sist Base e Sol. Specialistiche"/>
    <s v="BOSETTI"/>
    <s v="ADRIANO ANGELO"/>
    <s v="U086164"/>
    <s v="adriano.bosetti@intesasanpaolo.com"/>
    <s v="BISCEGLIE (MI)"/>
    <s v="VIA BISCEGLIE, 120 - 20152 MILANO (MI)"/>
    <s v="System Administrator"/>
    <s v="System Administrator"/>
    <e v="#N/A"/>
    <x v="0"/>
  </r>
  <r>
    <m/>
    <x v="6"/>
    <s v="Sist Base e Sol. Specialistiche"/>
    <s v="BUZZI"/>
    <s v="ROBERTO"/>
    <s v="U086334"/>
    <s v="roberto.buzzi@intesasanpaolo.com"/>
    <s v="PARMA"/>
    <s v="VIA LANGHIRANO, 1 - PAL. C - 43100 PARMA (PR)"/>
    <s v="System Administrator"/>
    <s v="System Administrator"/>
    <m/>
    <x v="0"/>
  </r>
  <r>
    <m/>
    <x v="6"/>
    <s v="Sist Base e Sol. Specialistiche"/>
    <s v="CAGLIO"/>
    <s v="FABIO"/>
    <s v="U086180"/>
    <s v="fabio.caglio@intesasanpaolo.com"/>
    <s v="BISCEGLIE (MI)"/>
    <s v="VIA BISCEGLIE, 120 - 20152 MILANO (MI)"/>
    <s v="System Administrator"/>
    <s v="System Administrator"/>
    <m/>
    <x v="0"/>
  </r>
  <r>
    <m/>
    <x v="6"/>
    <s v="Presidi Territoriali"/>
    <s v="CALVARESE"/>
    <s v="MARCO"/>
    <s v="U036157"/>
    <s v="marco.calvarese@intesasanpaolo.com"/>
    <s v="TERAMO"/>
    <s v="VIA CRISTOFORO COLOMBO, 13 - 64100 TERAMO (TE)"/>
    <s v="IT Operator"/>
    <s v="Operator"/>
    <m/>
    <x v="0"/>
  </r>
  <r>
    <m/>
    <x v="6"/>
    <s v="Sist Base e Sol. Specialistiche"/>
    <s v="CARICATI"/>
    <s v="MARCO"/>
    <s v="U086323"/>
    <s v="marco.caricati@intesasanpaolo.com"/>
    <s v="PARMA"/>
    <s v="VIA LANGHIRANO, 1 - PAL. C - 43100 PARMA (PR)"/>
    <s v="System Administrator"/>
    <s v="System Administrator"/>
    <m/>
    <x v="0"/>
  </r>
  <r>
    <m/>
    <x v="6"/>
    <s v="Gestione progetti e manutenzione"/>
    <s v="CARINO"/>
    <s v="ALESSANDRO"/>
    <s v="U086161"/>
    <s v="alessandro.carino@intesasanpaolo.com"/>
    <s v="BISCEGLIE (MI)"/>
    <s v="VIA BISCEGLIE, 120 - 20152 MILANO (MI)"/>
    <s v="Project Manager "/>
    <s v="Project Manager"/>
    <m/>
    <x v="0"/>
  </r>
  <r>
    <m/>
    <x v="6"/>
    <s v="Presidi Territoriali"/>
    <s v="CAROSSO"/>
    <s v="RICCARDO"/>
    <s v="U016273"/>
    <s v="riccardo.carosso@intesasanpaolo.com"/>
    <s v="MONCALIERI (TO)"/>
    <s v="CORSO SAVONA, 58 - 10024 MONCALIERI (TO)"/>
    <s v="IT Operator"/>
    <s v="Operator"/>
    <m/>
    <x v="0"/>
  </r>
  <r>
    <m/>
    <x v="6"/>
    <s v="CC Infr Microsoft"/>
    <s v="CARRABS"/>
    <s v="MASSIMO"/>
    <s v="U034995"/>
    <s v="massimo.carrabs@intesasanpaolo.com"/>
    <s v="MONCALIERI (TO)"/>
    <s v="CORSO SAVONA, 58 - 10024 MONCALIERI (TO)"/>
    <s v="System Administrator"/>
    <s v="System Administrator"/>
    <m/>
    <x v="0"/>
  </r>
  <r>
    <m/>
    <x v="6"/>
    <s v="Gestione progetti e manutenzione"/>
    <s v="CASELLI"/>
    <s v="GIOVANNI"/>
    <s v="U086325"/>
    <s v="giovanni.caselli@intesasanpaolo.com"/>
    <s v="PARMA"/>
    <s v="VIA LANGHIRANO, 1 - PAL. C - 43100 PARMA (PR)"/>
    <s v="IT Operator"/>
    <s v="System Administrator"/>
    <m/>
    <x v="0"/>
  </r>
  <r>
    <m/>
    <x v="6"/>
    <s v="GST IMAC e Beni ICT"/>
    <s v="CASTELLI"/>
    <s v="GRAZIANO"/>
    <s v="U033009"/>
    <s v="graziano.castelli@intesasanpaolo.com"/>
    <s v="COMO"/>
    <s v="VIA GARIBALDI, 133/135 - 22073 FINO MORNASCO (CO)"/>
    <s v="IT Operator"/>
    <s v="Operator"/>
    <e v="#N/A"/>
    <x v="0"/>
  </r>
  <r>
    <m/>
    <x v="6"/>
    <s v="Sistemi di Automazione"/>
    <s v="CASTELLIN"/>
    <s v="GIONATA"/>
    <s v="U035015"/>
    <s v="gionata.castellin@intesasanpaolo.com"/>
    <s v="BOLOGNA"/>
    <s v="PIAZZA SAN DOMENICO - 40124 BOLOGNA (BO)"/>
    <s v="System Administrator"/>
    <s v="System Administrator"/>
    <m/>
    <x v="0"/>
  </r>
  <r>
    <m/>
    <x v="6"/>
    <s v="Servizi Infrastrutturali AP e DB MS"/>
    <s v="CASTIGLIONE"/>
    <s v="GIAN LUCA"/>
    <s v="U028162"/>
    <s v="gianluca.castiglione@intesasanpaolo.com"/>
    <s v="MONCALIERI (TO)"/>
    <s v="CORSO SAVONA, 58 - 10024 MONCALIERI (TO)"/>
    <s v="System Administrator"/>
    <s v="System Administrator"/>
    <m/>
    <x v="0"/>
  </r>
  <r>
    <m/>
    <x v="6"/>
    <s v="GST IMAC e Beni ICT"/>
    <s v="CATALANO"/>
    <s v="LORENZO"/>
    <s v="U086172"/>
    <s v="lorenzo.catalano@intesasanpaolo.com"/>
    <s v="PARMA"/>
    <s v="VIA LANGHIRANO, 1 - PAL. C - 43100 PARMA (PR)"/>
    <s v="IT Operator"/>
    <s v="System Administrator"/>
    <m/>
    <x v="0"/>
  </r>
  <r>
    <m/>
    <x v="6"/>
    <s v="Sist Base e Sol. Specialistiche"/>
    <s v="CATELLANI"/>
    <s v="STEFANO"/>
    <s v="U086326"/>
    <s v="stefano.catellani@intesasanpaolo.com"/>
    <s v="PARMA"/>
    <s v="VIA LANGHIRANO, 1 - PAL. C - 43100 PARMA (PR)"/>
    <s v="System Administrator"/>
    <s v="System Administrator"/>
    <m/>
    <x v="0"/>
  </r>
  <r>
    <m/>
    <x v="6"/>
    <s v="Presidi Territoriali"/>
    <s v="CATINO"/>
    <s v="DOMENICO"/>
    <s v="U019744"/>
    <s v="domenico.catino@intesasanpaolo.com"/>
    <s v="C.SO INGHILTERRA (TO)"/>
    <s v="CORSO INGHILTERRA, 3 - 10138 TORINO (TO)"/>
    <s v="IT Operator"/>
    <s v="Operator"/>
    <m/>
    <x v="0"/>
  </r>
  <r>
    <m/>
    <x v="6"/>
    <s v="Sist Base e Sol. Specialistiche"/>
    <s v="CAVALLI"/>
    <s v="FRANCESCO"/>
    <s v="U086175"/>
    <s v="francesco.cavalli@intesasanpaolo.com"/>
    <s v="PARMA"/>
    <s v="VIA LANGHIRANO, 1 - PAL. C - 43100 PARMA (PR)"/>
    <s v="System Administrator"/>
    <s v="System Administrator"/>
    <m/>
    <x v="0"/>
  </r>
  <r>
    <m/>
    <x v="6"/>
    <s v="Gestione progetti e manutenzione"/>
    <s v="CAVANUS"/>
    <s v="PAOLO"/>
    <s v="U085892"/>
    <s v="paolo.cavanus@intesasanpaolo.com"/>
    <s v="BISCEGLIE (MI)"/>
    <s v="VIA BISCEGLIE, 120 - 20152 MILANO (MI)"/>
    <s v="IT Operator"/>
    <s v="Operator"/>
    <s v="Project Manager"/>
    <x v="0"/>
  </r>
  <r>
    <m/>
    <x v="6"/>
    <s v="Servizi Infrastrutturali AP e DB MS"/>
    <s v="CERRATO"/>
    <s v="CHIARA"/>
    <s v="U023976"/>
    <s v="chiara.cerrato@intesasanpaolo.com"/>
    <s v="MONCALIERI (TO)"/>
    <s v="CORSO SAVONA, 58 - 10024 MONCALIERI (TO)"/>
    <s v="Project Manager "/>
    <s v="Project Manager"/>
    <s v="System Administrator"/>
    <x v="0"/>
  </r>
  <r>
    <m/>
    <x v="6"/>
    <s v="Sistemi di Automazione"/>
    <s v="CHELI"/>
    <s v="MAURO"/>
    <s v="U035779"/>
    <s v="mauro.cheli@intesasanpaolo.com"/>
    <s v="BOLOGNA"/>
    <s v="PIAZZA SAN DOMENICO - 40124 BOLOGNA (BO)"/>
    <s v="System Administrator"/>
    <s v="System Administrator"/>
    <m/>
    <x v="0"/>
  </r>
  <r>
    <m/>
    <x v="6"/>
    <s v="Sist Base e Sol. Specialistiche"/>
    <s v="CHOJWA"/>
    <s v="ANTONIO"/>
    <s v="U086328"/>
    <s v="antonio.chojwa@intesasanpaolo.com"/>
    <s v="PARMA"/>
    <s v="VIA LANGHIRANO, 1 - PAL. C - 43100 PARMA (PR)"/>
    <s v="System Administrator"/>
    <s v="System Administrator"/>
    <m/>
    <x v="0"/>
  </r>
  <r>
    <m/>
    <x v="6"/>
    <s v="Supporto Specialistico e SWD"/>
    <s v="CIFARIELLO"/>
    <s v="STEFANO"/>
    <s v="U075769"/>
    <s v="stefano.cifariello@intesasanpaolo.com"/>
    <s v="NAPOLI"/>
    <s v="VIA G. MARCONI, 15 - 80125 NAPOLI (NA)"/>
    <s v="System Administrator"/>
    <s v="System Administrator"/>
    <m/>
    <x v="0"/>
  </r>
  <r>
    <m/>
    <x v="6"/>
    <s v="CC Infr Microsoft"/>
    <s v="CINQUESANTI"/>
    <s v="FERRUCCIO"/>
    <s v="U033635"/>
    <s v="ferruccio.cinquesanti@intesasanpaolo.com"/>
    <s v="COMO"/>
    <s v="VIA GARIBALDI, 133/135 - 22073 FINO MORNASCO (CO)"/>
    <s v="System Administrator"/>
    <s v="System Administrator"/>
    <m/>
    <x v="0"/>
  </r>
  <r>
    <m/>
    <x v="6"/>
    <s v="Presidi Territoriali"/>
    <s v="CLEMENTI"/>
    <s v="MASSIMO"/>
    <s v="U051424"/>
    <s v="massimo.clementi@intesasanpaolo.com"/>
    <s v="ROMA"/>
    <s v="VIA VINCENZO LAMARO, 25 - 00173 ROMA (RM)"/>
    <s v="IT Operator"/>
    <s v="Operator"/>
    <m/>
    <x v="0"/>
  </r>
  <r>
    <m/>
    <x v="6"/>
    <s v="Gestione progetti e manutenzione"/>
    <s v="COLABONA"/>
    <s v="FABIO"/>
    <s v="U086330"/>
    <s v="fabio.colabona@intesasanpaolo.com"/>
    <s v="PARMA"/>
    <s v="VIA LANGHIRANO, 1 - PAL. C - 43100 PARMA (PR)"/>
    <s v="IT Operator"/>
    <s v="Operator"/>
    <m/>
    <x v="0"/>
  </r>
  <r>
    <m/>
    <x v="6"/>
    <s v="Supporto Specialistico e SWD"/>
    <s v="COLAIZZI"/>
    <s v="MARIELLA"/>
    <s v="U301182"/>
    <s v="mariella.colaizzi@intesasanpaolo.com"/>
    <s v="ROMA"/>
    <s v="VIA VINCENZO LAMARO, 25 - 00173 ROMA (RM)"/>
    <s v="System Administrator"/>
    <s v="System Administrator"/>
    <m/>
    <x v="0"/>
  </r>
  <r>
    <m/>
    <x v="6"/>
    <s v="Gestione progetti e manutenzione"/>
    <s v="COLOMBO"/>
    <s v="LUIGI"/>
    <s v="U086331"/>
    <s v="luigi.colombo@intesasanpaolo.com"/>
    <s v="BISCEGLIE (MI)"/>
    <s v="VIA BISCEGLIE, 120 - 20152 MILANO (MI)"/>
    <s v="Project Manager "/>
    <s v="Project Manager"/>
    <m/>
    <x v="0"/>
  </r>
  <r>
    <m/>
    <x v="6"/>
    <s v="Presidi Territoriali"/>
    <s v="COPPOLA"/>
    <s v="CLAUDIO"/>
    <s v="U077424"/>
    <s v="claudio.coppola@intesasanpaolo.com"/>
    <s v="NAPOLI"/>
    <s v="VIA TOLEDO, 177/178 - 80134 NAPOLI (NA)"/>
    <s v="IT Operator"/>
    <s v="Operator"/>
    <m/>
    <x v="0"/>
  </r>
  <r>
    <m/>
    <x v="6"/>
    <s v="Supporto Specialistico e SWD"/>
    <s v="COSCO"/>
    <s v="ALESSANDRO"/>
    <s v="U076143"/>
    <s v="alessandro.cosco@intesasanpaolo.com"/>
    <s v="NAPOLI"/>
    <s v="VIA G. MARCONI, 15 - 80125 NAPOLI (NA)"/>
    <s v="System Administrator"/>
    <s v="System Administrator"/>
    <m/>
    <x v="0"/>
  </r>
  <r>
    <m/>
    <x v="6"/>
    <s v="Presidi Territoriali"/>
    <s v="CRISETTI"/>
    <s v="GIUSEPPE"/>
    <s v="  "/>
    <s v="giuseppe.crisetti@intesasanpaolo.com"/>
    <s v="FOGGIA"/>
    <s v="VIA CHECCHIA RISPOLI, 297 - 71016 SAN SEVERO (FG)"/>
    <s v="IT Operator"/>
    <e v="#N/A"/>
    <m/>
    <x v="0"/>
  </r>
  <r>
    <m/>
    <x v="6"/>
    <s v="Servizi Infrastrutturali AP e DB MS"/>
    <s v="CUTOLO"/>
    <s v="FRANCESCO"/>
    <s v="U077428"/>
    <s v="francesco.cutolo@intesasanpaolo.com"/>
    <s v="NAPOLI"/>
    <s v="VIA G. MARCONI, 15 - 80125 NAPOLI (NA)"/>
    <s v="System Administrator"/>
    <s v="System Administrator"/>
    <m/>
    <x v="0"/>
  </r>
  <r>
    <m/>
    <x v="6"/>
    <s v="Gestione progetti e manutenzione"/>
    <s v="D'ALBA"/>
    <s v="CLAUDIO"/>
    <s v="U036168"/>
    <s v="claudio.dalba@intesasanpaolo.com"/>
    <s v="BISCEGLIE (MI)"/>
    <s v="VIA BISCEGLIE, 120 - 20152 MILANO (MI)"/>
    <s v="Project Manager "/>
    <s v="Project Manager"/>
    <m/>
    <x v="0"/>
  </r>
  <r>
    <m/>
    <x v="6"/>
    <s v="Presidi Territoriali"/>
    <s v="D'AMBROSIO"/>
    <s v="CARLO"/>
    <s v="U301189"/>
    <s v="carlo.dambrosio@intesasanpaolo.com"/>
    <s v="TERAMO"/>
    <s v="VIA CRISTOFORO COLOMBO, 13 - 64100 TERAMO (TE)"/>
    <s v="IT Operator"/>
    <s v="Operator"/>
    <m/>
    <x v="0"/>
  </r>
  <r>
    <m/>
    <x v="6"/>
    <s v="Sist Base e Sol. Specialistiche"/>
    <s v="DE BERNARDI"/>
    <s v="EMANUELA"/>
    <s v="U085931"/>
    <s v="emanuela.debernardi@intesasanpaolo.com"/>
    <s v="PARMA"/>
    <s v="VIA LANGHIRANO, 1 - PAL. C - 43100 PARMA (PR)"/>
    <s v="IT Operator"/>
    <s v="Operator"/>
    <m/>
    <x v="0"/>
  </r>
  <r>
    <m/>
    <x v="6"/>
    <s v="Supporto Specialistico e SWD"/>
    <s v="DE FRANCESCO"/>
    <s v="MASSIMO"/>
    <s v="  "/>
    <s v="massimo.defrancesco@intesasanpaolo.com"/>
    <s v="ROMA"/>
    <s v="VIA VINCENZO LAMARO, 25 - 00173 ROMA (RM)"/>
    <s v="IT Operator"/>
    <e v="#N/A"/>
    <m/>
    <x v="0"/>
  </r>
  <r>
    <m/>
    <x v="6"/>
    <s v="Supporto Specialistico e SWD"/>
    <s v="DE LINDEMANN"/>
    <s v="UGO"/>
    <s v="U301192"/>
    <s v="ugo.delindemann@intesasanpaolo.com"/>
    <s v="ROMA"/>
    <s v="VIA VINCENZO LAMARO, 25 - 00173 ROMA (RM)"/>
    <s v="System Administrator"/>
    <s v="System Administrator"/>
    <e v="#N/A"/>
    <x v="0"/>
  </r>
  <r>
    <m/>
    <x v="6"/>
    <s v="Sistemi di Automazione"/>
    <s v="DE MARIA"/>
    <s v="ALESSANDRA"/>
    <s v="  "/>
    <s v="alessandra.demaria@intesasanpaolo.com"/>
    <s v="BOLOGNA"/>
    <s v="PIAZZA SAN DOMENICO - 40124 BOLOGNA (BO)"/>
    <s v="IT Operator"/>
    <e v="#N/A"/>
    <s v="System Administrator"/>
    <x v="0"/>
  </r>
  <r>
    <m/>
    <x v="6"/>
    <s v="Gestione progetti e manutenzione"/>
    <s v="DE NARDO"/>
    <s v="PIER GIUSEPPE"/>
    <s v="U085932"/>
    <s v="piergiuseppe.denardo@intesasanpaolo.com"/>
    <s v="BISCEGLIE (MI)"/>
    <s v="VIA BISCEGLIE, 120 - 20152 MILANO (MI)"/>
    <s v="Project Manager "/>
    <s v="Project Manager"/>
    <m/>
    <x v="0"/>
  </r>
  <r>
    <m/>
    <x v="6"/>
    <s v="Presidi Territoriali"/>
    <s v="DE SANTIS"/>
    <s v="RAFFAELE"/>
    <s v="U076145"/>
    <s v="raffaele.desantis@intesasanpaolo.com"/>
    <s v="NAPOLI"/>
    <s v="VIA TOLEDO, 177/178 - 80134 NAPOLI (NA)"/>
    <s v="IT Operator"/>
    <s v="Operator"/>
    <m/>
    <x v="0"/>
  </r>
  <r>
    <m/>
    <x v="6"/>
    <s v="Gestione progetti e manutenzione"/>
    <s v="DEGREGORI"/>
    <s v="CLAUDIO"/>
    <s v="U083599"/>
    <s v="claudio.degregori@intesasanpaolo.com"/>
    <s v="BISCEGLIE (MI)"/>
    <s v="VIA BISCEGLIE, 120 - 20152 MILANO (MI)"/>
    <s v="IT Operator"/>
    <s v="Operator"/>
    <e v="#N/A"/>
    <x v="0"/>
  </r>
  <r>
    <m/>
    <x v="6"/>
    <s v="Supporto Specialistico e SWD"/>
    <s v="DI BENNARDO"/>
    <s v="BIAGIO"/>
    <s v="U075719"/>
    <s v="biagio.dibennardo@intesasanpaolo.com"/>
    <s v="NAPOLI"/>
    <s v="VIA G. MARCONI, 15 - 80125 NAPOLI (NA)"/>
    <s v="System Administrator"/>
    <s v="System Administrator"/>
    <m/>
    <x v="0"/>
  </r>
  <r>
    <m/>
    <x v="6"/>
    <s v="Supporto Specialistico e SWD"/>
    <s v="DI BONITO"/>
    <s v="GIAN FRANCO"/>
    <s v="U075226"/>
    <s v="gianfranco.dibonito@intesasanpaolo.com"/>
    <s v="NAPOLI"/>
    <s v="VIA G. MARCONI, 15 - 80125 NAPOLI (NA)"/>
    <s v="System Administrator"/>
    <s v="System Administrator"/>
    <m/>
    <x v="0"/>
  </r>
  <r>
    <m/>
    <x v="6"/>
    <s v="Supporto Specialistico e SWD"/>
    <s v="DI DOMENICO"/>
    <s v="MATTEO"/>
    <s v="U077570"/>
    <s v="matteo.didomenico@intesasanpaolo.com"/>
    <s v="NAPOLI"/>
    <s v="VIA G. MARCONI, 15 - 80125 NAPOLI (NA)"/>
    <s v="System Administrator"/>
    <s v="System Administrator"/>
    <m/>
    <x v="0"/>
  </r>
  <r>
    <m/>
    <x v="6"/>
    <s v="Supporto Specialistico e SWD"/>
    <s v="DI GUIDA"/>
    <s v="ATTILIO"/>
    <s v="U025558"/>
    <s v="attilio.diguida@intesasanpaolo.com"/>
    <s v="NAPOLI"/>
    <s v="VIA G. MARCONI, 15 - 80125 NAPOLI (NA)"/>
    <s v="System Administrator"/>
    <s v="System Administrator"/>
    <m/>
    <x v="0"/>
  </r>
  <r>
    <m/>
    <x v="6"/>
    <s v="Gestione progetti e manutenzione"/>
    <s v="DI STASO"/>
    <s v="LUCA"/>
    <s v="  "/>
    <s v="luca.distaso@intesasanpaolo.com"/>
    <s v="BISCEGLIE (MI)"/>
    <s v="VIA BISCEGLIE, 120 - 20152 MILANO (MI)"/>
    <s v="IT Operator"/>
    <e v="#N/A"/>
    <m/>
    <x v="0"/>
  </r>
  <r>
    <m/>
    <x v="6"/>
    <s v="Sistemi di Automazione"/>
    <s v="DIANIN"/>
    <s v="SILVIA"/>
    <s v="U035805"/>
    <s v="silvia.dianin@intesasanpaolo.com"/>
    <s v="BOLOGNA"/>
    <s v="PIAZZA SAN DOMENICO - 40124 BOLOGNA (BO)"/>
    <s v="Project Manager "/>
    <s v="Project Manager"/>
    <m/>
    <x v="0"/>
  </r>
  <r>
    <m/>
    <x v="6"/>
    <s v="Presidi Territoriali"/>
    <s v="DIMITRI"/>
    <s v="ANTONELLO"/>
    <s v="U010252"/>
    <s v="antonello.dimitri@intesasanpaolo.com"/>
    <s v="ROMA"/>
    <s v="VIA VINCENZO LAMARO, 25 - 00173 ROMA (RM)"/>
    <s v="IT Operator"/>
    <s v="Operator"/>
    <e v="#N/A"/>
    <x v="0"/>
  </r>
  <r>
    <m/>
    <x v="6"/>
    <s v="Supporto Specialistico e SWD"/>
    <s v="ESPOSITO"/>
    <s v="ENRICO"/>
    <s v="U077572"/>
    <s v="enrico.esposito@intesasanpaolo.com"/>
    <s v="NAPOLI"/>
    <s v="VIA G. MARCONI, 15 - 80125 NAPOLI (NA)"/>
    <s v="System Administrator"/>
    <s v="System Administrator"/>
    <m/>
    <x v="0"/>
  </r>
  <r>
    <m/>
    <x v="6"/>
    <s v="Presidi Territoriali"/>
    <s v="FERRONI"/>
    <s v="FEDERICO ATANASIO"/>
    <s v="  "/>
    <s v="federico.ferroni@intesasanpaolo.com"/>
    <s v="FABRIANO"/>
    <s v="VIA DON GIUSEPPE RIGANELLI, 36 - 60044 FABRIANO (AN)"/>
    <s v="IT Operator"/>
    <e v="#N/A"/>
    <m/>
    <x v="0"/>
  </r>
  <r>
    <m/>
    <x v="6"/>
    <s v="Sist Base e Sol. Specialistiche"/>
    <s v="FIORILLO"/>
    <s v="LUCA"/>
    <s v="U078507"/>
    <s v="luca.fiorillo@intesasanpaolo.com"/>
    <s v="ROMA"/>
    <s v="VIA VINCENZO LAMARO, 25 - 00173 ROMA (RM)"/>
    <s v="System Administrator"/>
    <s v="System Administrator"/>
    <m/>
    <x v="0"/>
  </r>
  <r>
    <m/>
    <x v="6"/>
    <s v="Servizi Infrastrutturali AP e DB MS"/>
    <s v="FLAUTO"/>
    <s v="SALVATORE"/>
    <s v="U077573"/>
    <s v="salvatore.flauto@intesasanpaolo.com"/>
    <s v="NAPOLI"/>
    <s v="VIA G. MARCONI, 15 - 80125 NAPOLI (NA)"/>
    <s v="Data Base  Administrator"/>
    <s v="Data Base Administrator"/>
    <m/>
    <x v="0"/>
  </r>
  <r>
    <m/>
    <x v="6"/>
    <s v="Presidi Territoriali"/>
    <s v="GABAGLIO"/>
    <s v="SANDRO"/>
    <s v="U033074"/>
    <s v="sandro.gabaglio@intesasanpaolo.com"/>
    <s v="COMO"/>
    <s v="VIA GARIBALDI, 133/135 - 22073 FINO MORNASCO (CO)"/>
    <s v="IT Operator"/>
    <s v="Operator"/>
    <m/>
    <x v="0"/>
  </r>
  <r>
    <m/>
    <x v="6"/>
    <s v="CC Infr Microsoft"/>
    <s v="GALTAROSSA"/>
    <s v="CRISTIANO"/>
    <s v="  "/>
    <s v="cristiano.galtarossa@intesasanpaolo.com"/>
    <s v="MONCALIERI (TO)"/>
    <s v="CORSO SAVONA, 58 - 10024 MONCALIERI (TO)"/>
    <s v="System Administrator"/>
    <e v="#N/A"/>
    <m/>
    <x v="0"/>
  </r>
  <r>
    <m/>
    <x v="6"/>
    <s v="Presidi Territoriali"/>
    <s v="GAMBAZZA"/>
    <s v="ENNIO"/>
    <s v="  "/>
    <s v="ennio.gambazza@intesasanpaolo.com"/>
    <s v="VERBANIA"/>
    <s v="PIAZZA ALDO MORO, 8 - 28921 VERBANIA (VB)"/>
    <s v="IT Operator"/>
    <e v="#N/A"/>
    <m/>
    <x v="0"/>
  </r>
  <r>
    <m/>
    <x v="6"/>
    <s v="Sistemi di Automazione"/>
    <s v="GARAGNANI"/>
    <s v="CLAUDIO"/>
    <s v="U035818"/>
    <s v="claudio.garagnani@intesasanpaolo.com"/>
    <s v="BOLOGNA"/>
    <s v="PIAZZA SAN DOMENICO - 40124 BOLOGNA (BO)"/>
    <s v="System Administrator"/>
    <s v="System Administrator"/>
    <e v="#N/A"/>
    <x v="0"/>
  </r>
  <r>
    <m/>
    <x v="6"/>
    <s v="Gestione progetti e manutenzione"/>
    <s v="GERUSSI"/>
    <s v="MARCO CESARE"/>
    <s v="U085938"/>
    <s v="marco.gerussi@intesasanpaolo.com"/>
    <s v="BISCEGLIE (MI)"/>
    <s v="VIA BISCEGLIE, 120 - 20152 MILANO (MI)"/>
    <s v="IT Operator"/>
    <s v="Operator"/>
    <e v="#N/A"/>
    <x v="0"/>
  </r>
  <r>
    <m/>
    <x v="6"/>
    <s v="Gestione progetti e manutenzione"/>
    <s v="GHERARDI"/>
    <s v="CLAUDIO MASSIMO"/>
    <s v="U085928"/>
    <s v="claudio.gherardi@intesasanpaolo.com"/>
    <s v="BISCEGLIE (MI)"/>
    <s v="VIA BISCEGLIE, 120 - 20152 MILANO (MI)"/>
    <s v="IT Operator"/>
    <s v="Operator"/>
    <e v="#N/A"/>
    <x v="0"/>
  </r>
  <r>
    <m/>
    <x v="6"/>
    <s v="GST IMAC e Beni ICT"/>
    <s v="GHIDINI"/>
    <s v="CARLO"/>
    <s v="U086359"/>
    <s v="carlo.ghidini@intesasanpaolo.com"/>
    <s v="PARMA"/>
    <s v="VIA LANGHIRANO, 1 - PAL. C - 43100 PARMA (PR)"/>
    <s v="IT Operator"/>
    <s v="Operator"/>
    <m/>
    <x v="0"/>
  </r>
  <r>
    <m/>
    <x v="6"/>
    <s v="Presidi Territoriali"/>
    <s v="GHITTI"/>
    <s v="EMILIO"/>
    <s v="U016812"/>
    <s v="emilio.ghitti@intesasanpaolo.com"/>
    <s v="CLERICI (MI)"/>
    <s v="VIA CLERICI, 4 - 20121 MILANO (MI)"/>
    <s v="IT Operator"/>
    <s v="Operator"/>
    <m/>
    <x v="0"/>
  </r>
  <r>
    <m/>
    <x v="6"/>
    <s v="Presidi Territoriali"/>
    <s v="GIACON"/>
    <s v="FEDERICO"/>
    <s v="U035389"/>
    <s v="federico.giacon@intesasanpaolo.com"/>
    <s v="SARMEOLA (PD)"/>
    <s v="VIA ADIGE, 6 - SARMEOLA - 35030 RUBANO (PD)"/>
    <s v="IT Operator"/>
    <s v="Operator"/>
    <e v="#N/A"/>
    <x v="0"/>
  </r>
  <r>
    <m/>
    <x v="6"/>
    <s v="Gestione progetti e manutenzione"/>
    <s v="GIANDOMENICO"/>
    <s v="GIULIO ANTONIO"/>
    <s v="U085940"/>
    <s v="giulio.giandomenico@intesasanpaolo.com"/>
    <s v="BISCEGLIE (MI)"/>
    <s v="VIA BISCEGLIE, 120 - 20152 MILANO (MI)"/>
    <s v="Project Manager "/>
    <s v="Project Manager"/>
    <m/>
    <x v="0"/>
  </r>
  <r>
    <m/>
    <x v="6"/>
    <s v="Gestione progetti e manutenzione"/>
    <s v="GIANNI"/>
    <s v="LUIGI"/>
    <s v="U085941"/>
    <s v="luigi.gianni@intesasanpaolo.com"/>
    <s v="PARMA"/>
    <s v="VIA LANGHIRANO, 1 - PAL. C - 43100 PARMA (PR)"/>
    <s v="IT Operator"/>
    <s v="Operator"/>
    <e v="#N/A"/>
    <x v="0"/>
  </r>
  <r>
    <m/>
    <x v="6"/>
    <s v="Gestione progetti e manutenzione"/>
    <s v="GIUFFRE'"/>
    <s v="ROBERTO"/>
    <s v="U083778"/>
    <s v="roberto.giuffre@intesasanpaolo.com"/>
    <s v="BISCEGLIE (MI)"/>
    <s v="VIA BISCEGLIE, 120 - 20152 MILANO (MI)"/>
    <s v="IT Operator"/>
    <s v="Operator"/>
    <m/>
    <x v="0"/>
  </r>
  <r>
    <m/>
    <x v="6"/>
    <s v="Supporto Specialistico e SWD"/>
    <s v="GIULIANI"/>
    <s v="MAURO"/>
    <s v="U078786"/>
    <s v="mauro.giuliani@intesasanpaolo.com"/>
    <s v="NAPOLI"/>
    <s v="VIA G. MARCONI, 15 - 80125 NAPOLI (NA)"/>
    <s v="System Administrator"/>
    <s v="System Administrator"/>
    <m/>
    <x v="0"/>
  </r>
  <r>
    <m/>
    <x v="6"/>
    <s v="Servizi Infrastrutturali AP e DB MS"/>
    <s v="GRECO"/>
    <s v="FABIO"/>
    <s v="U328880"/>
    <s v="fabio.greco1@intesasanpaolo.com"/>
    <s v="MONCALIERI (TO)"/>
    <s v="CORSO SAVONA, 58 - 10024 MONCALIERI (TO)"/>
    <s v="System Administrator"/>
    <s v="System Administrator"/>
    <m/>
    <x v="0"/>
  </r>
  <r>
    <m/>
    <x v="6"/>
    <s v="Presidi Territoriali"/>
    <s v="GRIGOLATO"/>
    <s v="MARIO"/>
    <s v="U301220"/>
    <s v="mario.grigolato@intesasanpaolo.com"/>
    <s v="C.SO INGHILTERRA (TO)"/>
    <s v="CORSO INGHILTERRA, 3 - 10138 TORINO (TO)"/>
    <s v="IT Operator"/>
    <s v="Operator"/>
    <m/>
    <x v="0"/>
  </r>
  <r>
    <m/>
    <x v="6"/>
    <s v="Sist Base e Sol. Specialistiche"/>
    <s v="INVERARDI"/>
    <s v="IACOPO"/>
    <s v="U085943"/>
    <s v="iacopo.inverardi@intesasanpaolo.com"/>
    <s v="PARMA"/>
    <s v="VIA LANGHIRANO, 1 - PAL. C - 43100 PARMA (PR)"/>
    <s v="System Administrator"/>
    <s v="System Administrator"/>
    <m/>
    <x v="0"/>
  </r>
  <r>
    <m/>
    <x v="6"/>
    <s v="Sist Base e Sol. Specialistiche"/>
    <s v="LANZARA"/>
    <s v="GIANCARLO"/>
    <s v="U085944"/>
    <s v="giancarlo.lanzara@intesasanpaolo.com"/>
    <s v="PARMA"/>
    <s v="VIA LANGHIRANO, 1 - PAL. C - 43100 PARMA (PR)"/>
    <s v="System Administrator"/>
    <s v="System Administrator"/>
    <m/>
    <x v="0"/>
  </r>
  <r>
    <m/>
    <x v="6"/>
    <s v="Presidi Territoriali"/>
    <s v="LAVAGETTO"/>
    <s v="VALTER"/>
    <s v="U013731"/>
    <s v="valter.lavagetto@intesasanpaolo.com"/>
    <s v="GENOVA"/>
    <s v="VIA FIESCHI, 4 - 16121 GENOVA (GE)"/>
    <s v="IT Operator"/>
    <s v="Operator"/>
    <e v="#N/A"/>
    <x v="0"/>
  </r>
  <r>
    <m/>
    <x v="6"/>
    <s v="Supporto Specialistico e SWD"/>
    <s v="LETTIERI"/>
    <s v="MARIO"/>
    <s v="U078509"/>
    <s v="mario.lettieri@intesasanpaolo.com"/>
    <s v="NAPOLI"/>
    <s v="VIA G. MARCONI, 15 - 80125 NAPOLI (NA)"/>
    <s v="System Administrator"/>
    <s v="System Administrator"/>
    <m/>
    <x v="0"/>
  </r>
  <r>
    <m/>
    <x v="6"/>
    <s v="Supporto Specialistico e SWD"/>
    <s v="LIARDO"/>
    <s v="ALFREDO"/>
    <s v="  "/>
    <s v="alfredo.liardo@intesasanpaolo.com"/>
    <s v="NAPOLI"/>
    <s v="VIA G. MARCONI, 15 - 80125 NAPOLI (NA)"/>
    <s v="System Administrator"/>
    <e v="#N/A"/>
    <m/>
    <x v="0"/>
  </r>
  <r>
    <m/>
    <x v="6"/>
    <s v="Supporto Specialistico e SWD"/>
    <s v="LOTITO"/>
    <s v="CARLO"/>
    <s v="U076598"/>
    <s v="carlo.lotito@intesasanpaolo.com"/>
    <s v="NAPOLI"/>
    <s v="VIA G. MARCONI, 15 - 80125 NAPOLI (NA)"/>
    <s v="System Administrator"/>
    <s v="System Administrator"/>
    <m/>
    <x v="0"/>
  </r>
  <r>
    <m/>
    <x v="6"/>
    <s v="Supporto Specialistico e SWD"/>
    <s v="LUCCI"/>
    <s v="LUCIANO"/>
    <s v="U301606"/>
    <s v="luciano.lucci@intesasanpaolo.com"/>
    <s v="ROMA"/>
    <s v="VIA VINCENZO LAMARO, 25 - 00173 ROMA (RM)"/>
    <s v="System Administrator"/>
    <s v="System Administrator"/>
    <m/>
    <x v="0"/>
  </r>
  <r>
    <m/>
    <x v="6"/>
    <s v="CC Infr Microsoft"/>
    <s v="LUCCO BORLERA"/>
    <s v="YURI"/>
    <s v="  "/>
    <s v="yuri.luccoborlera@intesasanpaolo.com"/>
    <s v="MONCALIERI (TO)"/>
    <s v="CORSO SAVONA, 58 - 10024 MONCALIERI (TO)"/>
    <s v="System Administrator"/>
    <e v="#N/A"/>
    <m/>
    <x v="0"/>
  </r>
  <r>
    <m/>
    <x v="6"/>
    <s v="Presidi Territoriali"/>
    <s v="MADRIGALI"/>
    <s v="FRANCO"/>
    <s v="U085939"/>
    <s v="franco.madrigali@intesasanpaolo.com"/>
    <s v="CLERICI (MI)"/>
    <s v="VIA CLERICI, 4 - 20121 MILANO (MI)"/>
    <s v="IT Operator"/>
    <s v="System Administrator"/>
    <m/>
    <x v="0"/>
  </r>
  <r>
    <m/>
    <x v="6"/>
    <s v="Supporto Specialistico e SWD"/>
    <s v="MAFFUCCI"/>
    <s v="MARCO"/>
    <s v="U301224"/>
    <s v="marco.maffucci@intesasanpaolo.com"/>
    <s v="ROMA"/>
    <s v="VIA VINCENZO LAMARO, 25 - 00173 ROMA (RM)"/>
    <s v="System Administrator"/>
    <s v="System Administrator"/>
    <m/>
    <x v="0"/>
  </r>
  <r>
    <m/>
    <x v="6"/>
    <s v="Presidi Territoriali"/>
    <s v="MAGLIONE"/>
    <s v="BIAGIO"/>
    <s v="U077877"/>
    <s v="biagio.maglione@intesasanpaolo.com"/>
    <s v="NAPOLI"/>
    <s v="VIA G. MARCONI, 15 - 80125 NAPOLI (NA)"/>
    <s v="IT Operator"/>
    <s v="Operator"/>
    <e v="#N/A"/>
    <x v="0"/>
  </r>
  <r>
    <m/>
    <x v="6"/>
    <s v="Servizi Infrastrutturali AP e DB MS"/>
    <s v="MALACRINO"/>
    <s v="ENRICO"/>
    <s v="  "/>
    <s v="enrico.malacrino@intesasanpaolo.com"/>
    <s v="MONCALIERI (TO)"/>
    <s v="CORSO SAVONA, 58 - 10024 MONCALIERI (TO)"/>
    <s v="System Administrator"/>
    <e v="#N/A"/>
    <m/>
    <x v="0"/>
  </r>
  <r>
    <m/>
    <x v="6"/>
    <s v="Gestione progetti e manutenzione"/>
    <s v="MANZONI"/>
    <s v="DAMIANO GUIDO"/>
    <s v="U044245"/>
    <s v="damiano.manzoni@intesasanpaolo.com"/>
    <s v="BERGAMO"/>
    <s v="VIA CRISPI, 1 - 24122 BERGAMO (BG)"/>
    <s v="IT Operator"/>
    <s v="Operator"/>
    <m/>
    <x v="0"/>
  </r>
  <r>
    <m/>
    <x v="6"/>
    <s v="GST IMAC e Beni ICT"/>
    <s v="MARCHESI"/>
    <s v="ARMANDO"/>
    <s v="U033857"/>
    <s v="armando.marchesi@intesasanpaolo.com"/>
    <s v="COMO"/>
    <s v="VIA GARIBALDI, 133/135 - 22073 FINO MORNASCO (CO)"/>
    <s v="IT Operator"/>
    <s v="Operator"/>
    <m/>
    <x v="0"/>
  </r>
  <r>
    <m/>
    <x v="6"/>
    <s v="GST IMAC e Beni ICT"/>
    <s v="MARCHESI"/>
    <s v="BARBARA"/>
    <s v="U086287"/>
    <s v="barbara.marchesi@intesasanpaolo.com"/>
    <s v="PARMA"/>
    <s v="VIA LANGHIRANO, 1 - PAL. C - 43100 PARMA (PR)"/>
    <s v="IT Operator"/>
    <s v="Operator"/>
    <m/>
    <x v="0"/>
  </r>
  <r>
    <m/>
    <x v="6"/>
    <s v="Presidi Territoriali"/>
    <s v="MARCHETTI"/>
    <s v="CRISTIANO"/>
    <s v="U085911"/>
    <s v="cristiano.marchetti@intesasanpaolo.com"/>
    <s v="CLERICI (MI)"/>
    <s v="VIA CLERICI, 4 - 20121 MILANO (MI)"/>
    <s v="IT Operator"/>
    <s v="System Administrator"/>
    <m/>
    <x v="0"/>
  </r>
  <r>
    <m/>
    <x v="6"/>
    <s v="Supporto Specialistico e SWD"/>
    <s v="MARGIO"/>
    <s v="ALFREDO"/>
    <s v="U077989"/>
    <s v="alfredo.margio@intesasanpaolo.com"/>
    <s v="NAPOLI"/>
    <s v="VIA G. MARCONI, 15 - 80125 NAPOLI (NA)"/>
    <s v="System Administrator"/>
    <s v="System Administrator"/>
    <m/>
    <x v="0"/>
  </r>
  <r>
    <m/>
    <x v="6"/>
    <s v="Supporto Specialistico e SWD"/>
    <s v="MARINO"/>
    <s v="ERNESTO"/>
    <s v="U073983"/>
    <s v="ernesto.marino@intesasanpaolo.com"/>
    <s v="NAPOLI"/>
    <s v="VIA G. MARCONI, 15 - 80125 NAPOLI (NA)"/>
    <s v="System Administrator"/>
    <s v="System Administrator"/>
    <m/>
    <x v="0"/>
  </r>
  <r>
    <m/>
    <x v="6"/>
    <s v="Presidi Territoriali"/>
    <s v="MARZADURI"/>
    <s v="ROBERTO"/>
    <s v="U035855"/>
    <s v="roberto.marzaduri@intesasanpaolo.com"/>
    <s v="BOLOGNA"/>
    <s v="PIAZZA SAN DOMENICO - 40124 BOLOGNA (BO)"/>
    <s v="IT Operator"/>
    <s v="Operator"/>
    <m/>
    <x v="0"/>
  </r>
  <r>
    <m/>
    <x v="6"/>
    <s v="Supporto Specialistico e SWD"/>
    <s v="MATTA"/>
    <s v="FABIO"/>
    <s v="U301231"/>
    <s v="fabio.matta1@intesasanpaolo.com"/>
    <s v="ROMA"/>
    <s v="VIA VINCENZO LAMARO, 25 - 00173 ROMA (RM)"/>
    <s v="System Administrator"/>
    <s v="System Administrator"/>
    <m/>
    <x v="0"/>
  </r>
  <r>
    <m/>
    <x v="6"/>
    <s v="Presidi Territoriali"/>
    <s v="MEDICI"/>
    <s v="MASSIMILIANO GIULIO"/>
    <s v="  "/>
    <s v="massimiliano.medici@intesasanpaolo.com"/>
    <s v="BARI"/>
    <s v="CSO V. EMANUELE II, 112 - 70122 BARI (BA)"/>
    <s v="IT Operator"/>
    <e v="#N/A"/>
    <m/>
    <x v="0"/>
  </r>
  <r>
    <m/>
    <x v="6"/>
    <s v="Sist Base e Sol. Specialistiche"/>
    <s v="MEO"/>
    <s v="MASSIMO"/>
    <s v="U085963"/>
    <s v="massimo.meo@intesasanpaolo.com"/>
    <s v="BISCEGLIE (MI)"/>
    <s v="VIA BISCEGLIE, 120 - 20152 MILANO (MI)"/>
    <s v="System Administrator"/>
    <s v="System Administrator"/>
    <m/>
    <x v="0"/>
  </r>
  <r>
    <m/>
    <x v="6"/>
    <s v="Supporto Specialistico e SWD"/>
    <s v="MILANO"/>
    <s v="ANTONIO"/>
    <s v="U078511"/>
    <s v="antonio.milano@intesasanpaolo.com"/>
    <s v="NAPOLI"/>
    <s v="VIA G. MARCONI, 15 - 80125 NAPOLI (NA)"/>
    <s v="System Administrator"/>
    <s v="System Administrator"/>
    <m/>
    <x v="0"/>
  </r>
  <r>
    <m/>
    <x v="6"/>
    <s v="GST IMAC e Beni ICT"/>
    <s v="MONTECROCI"/>
    <s v="MARTINA"/>
    <s v="  "/>
    <s v="martina.montecroci@intesasanpaolo.com"/>
    <s v="PARMA"/>
    <s v="VIA LANGHIRANO, 1 - PAL. C - 43100 PARMA (PR)"/>
    <s v="IT Operator"/>
    <e v="#N/A"/>
    <m/>
    <x v="0"/>
  </r>
  <r>
    <m/>
    <x v="6"/>
    <s v="Presidi Territoriali"/>
    <s v="MORESSA"/>
    <s v="ALESSANDRO"/>
    <s v="  "/>
    <s v="alessandro.moressa@intesasanpaolo.com"/>
    <s v="MONTEBELLUNA (TV)"/>
    <s v="VIA FELTRINA SUD, 250 - 31044 MONTEBELLUNA (TV)"/>
    <s v="IT Operator"/>
    <e v="#N/A"/>
    <m/>
    <x v="0"/>
  </r>
  <r>
    <m/>
    <x v="6"/>
    <s v="CC Infr Microsoft"/>
    <s v="MORO"/>
    <s v="DAVIDE"/>
    <s v="  "/>
    <s v="davide.moro@intesasanpaolo.com"/>
    <s v="MONCALIERI (TO)"/>
    <s v="CORSO SAVONA, 58 - 10024 MONCALIERI (TO)"/>
    <s v="System Administrator"/>
    <e v="#N/A"/>
    <m/>
    <x v="0"/>
  </r>
  <r>
    <m/>
    <x v="6"/>
    <s v="Supporto Specialistico e SWD"/>
    <s v="NAPOLITANO"/>
    <s v="VINCENZO"/>
    <s v="U078135"/>
    <s v="vincenzo.napolitano@intesasanpaolo.com"/>
    <s v="NAPOLI"/>
    <s v="VIA G. MARCONI, 15 - 80125 NAPOLI (NA)"/>
    <s v="System Administrator"/>
    <s v="System Administrator"/>
    <m/>
    <x v="0"/>
  </r>
  <r>
    <m/>
    <x v="6"/>
    <s v="GST IMAC e Beni ICT"/>
    <s v="NOCCIOLATI"/>
    <s v="GIORGIO"/>
    <s v="U085913"/>
    <s v="giorgio.nocciolati@intesasanpaolo.com"/>
    <s v="PARMA"/>
    <s v="VIA LANGHIRANO, 1 - PAL. C - 43100 PARMA (PR)"/>
    <s v="IT Operator"/>
    <s v="Operator"/>
    <e v="#N/A"/>
    <x v="0"/>
  </r>
  <r>
    <m/>
    <x v="6"/>
    <s v="Presidi Territoriali"/>
    <s v="OMEGNA"/>
    <s v="FRANCO"/>
    <s v="U044550"/>
    <s v="franco.omegna@intesasanpaolo.com"/>
    <s v="SAN CARLO (MI)"/>
    <s v="PIAZZA SAN CARLO, 156 - 10121 TORINO (TO)"/>
    <s v="IT Operator"/>
    <s v="Operator"/>
    <m/>
    <x v="0"/>
  </r>
  <r>
    <m/>
    <x v="6"/>
    <s v="Presidi Territoriali"/>
    <s v="ONGARO"/>
    <s v="ANTONIO"/>
    <s v="U035386"/>
    <s v="antonio.ongaro@intesasanpaolo.com"/>
    <s v="SARMEOLA (PD)"/>
    <s v="VIA ADIGE, 6 - SARMEOLA - 35030 RUBANO (PD)"/>
    <s v="IT Operator"/>
    <s v="Operator"/>
    <e v="#N/A"/>
    <x v="0"/>
  </r>
  <r>
    <m/>
    <x v="6"/>
    <s v="Sist Base e Sol. Specialistiche"/>
    <s v="ORLANDINI"/>
    <s v="IVO"/>
    <s v="U085915"/>
    <s v="ivo.orlandini@intesasanpaolo.com"/>
    <s v="PARMA"/>
    <s v="VIA LANGHIRANO, 1 - PAL. C - 43100 PARMA (PR)"/>
    <s v="System Administrator"/>
    <s v="System Administrator"/>
    <m/>
    <x v="0"/>
  </r>
  <r>
    <m/>
    <x v="6"/>
    <s v="Presidi Territoriali"/>
    <s v="PALAZZO"/>
    <s v="ORIETTA"/>
    <s v="U011821"/>
    <s v="orietta.palazzo@intesasanpaolo.com"/>
    <s v="GENOVA"/>
    <s v="VIA FIESCHI, 4 - 16121 GENOVA (GE)"/>
    <s v="IT Operator"/>
    <s v="Operator"/>
    <e v="#N/A"/>
    <x v="0"/>
  </r>
  <r>
    <m/>
    <x v="6"/>
    <s v="Sist Base e Sol. Specialistiche"/>
    <s v="PASQUALE"/>
    <s v="PAOLO"/>
    <s v="U083720"/>
    <s v="paolo.pasquale@intesasanpaolo.com"/>
    <s v="BISCEGLIE (MI)"/>
    <s v="VIA BISCEGLIE, 120 - 20152 MILANO (MI)"/>
    <s v="System Administrator"/>
    <s v="System Administrator"/>
    <m/>
    <x v="0"/>
  </r>
  <r>
    <m/>
    <x v="6"/>
    <s v="Presidi Territoriali"/>
    <s v="PASTORINO"/>
    <s v="LUCA"/>
    <s v="U026821"/>
    <s v="luca.pastorino@intesasanpaolo.com"/>
    <s v="BOLOGNA"/>
    <s v="PIAZZA SAN DOMENICO - 40124 BOLOGNA (BO)"/>
    <s v="IT Operator"/>
    <s v="Operator"/>
    <m/>
    <x v="0"/>
  </r>
  <r>
    <m/>
    <x v="6"/>
    <s v="Presidi Territoriali"/>
    <s v="PATRUNO"/>
    <s v="PIERPAOLO"/>
    <s v="  "/>
    <s v="pierpaolo.patruno@intesasanpaolo.com"/>
    <s v="LECCE"/>
    <s v="VIA VERDI, 2 - 73020 CAVALLINO (LE)"/>
    <s v="IT Operator"/>
    <e v="#N/A"/>
    <m/>
    <x v="0"/>
  </r>
  <r>
    <m/>
    <x v="6"/>
    <s v="Presidi Territoriali"/>
    <s v="PEGORIN"/>
    <s v="RENATO"/>
    <s v="  "/>
    <s v="renato.pegorin@intesasanpaolo.com"/>
    <s v="MONTEBELLUNA (TV)"/>
    <s v="VIA FELTRINA SUD, 250 - 31044 MONTEBELLUNA (TV)"/>
    <s v="IT Operator"/>
    <e v="#N/A"/>
    <m/>
    <x v="0"/>
  </r>
  <r>
    <m/>
    <x v="6"/>
    <s v="Supporto Specialistico e SWD"/>
    <s v="PELLEGRINO"/>
    <s v="SIMONE"/>
    <s v="U078355"/>
    <s v="simone.pellegrino@intesasanpaolo.com"/>
    <s v="NAPOLI"/>
    <s v="VIA G. MARCONI, 15 - 80125 NAPOLI (NA)"/>
    <s v="System Administrator"/>
    <s v="System Administrator"/>
    <m/>
    <x v="0"/>
  </r>
  <r>
    <m/>
    <x v="6"/>
    <s v="Presidi Territoriali"/>
    <s v="PEPI"/>
    <s v="ANDREA GIOVANNI"/>
    <s v="U332443"/>
    <s v="andrea.pepi@intesasanpaolo.com"/>
    <s v="CLERICI (MI)"/>
    <s v="VIA CLERICI, 4 - 20121 MILANO (MI)"/>
    <s v="IT Operator"/>
    <s v="Operator"/>
    <m/>
    <x v="0"/>
  </r>
  <r>
    <m/>
    <x v="6"/>
    <s v="Supporto Specialistico e SWD"/>
    <s v="PICARDI"/>
    <s v="ALFREDO"/>
    <s v="U076490"/>
    <s v="alfredo.picardi@intesasanpaolo.com"/>
    <s v="NAPOLI"/>
    <s v="VIA G. MARCONI, 15 - 80125 NAPOLI (NA)"/>
    <s v="System Administrator"/>
    <s v="System Administrator"/>
    <m/>
    <x v="0"/>
  </r>
  <r>
    <m/>
    <x v="6"/>
    <s v="Servizi Infrastrutturali AP e DB MS"/>
    <s v="PIEDEPALUMBO"/>
    <s v="CARLO"/>
    <s v="U078062"/>
    <s v="carlo.piedepalumbo@intesasanpaolo.com"/>
    <s v="NAPOLI"/>
    <s v="VIA G. MARCONI, 15 - 80125 NAPOLI (NA)"/>
    <s v="System Administrator"/>
    <s v="System Administrator"/>
    <m/>
    <x v="0"/>
  </r>
  <r>
    <m/>
    <x v="6"/>
    <s v="Gestione progetti e manutenzione"/>
    <s v="PINCELLI"/>
    <s v="CARLO"/>
    <s v="U085916"/>
    <s v="carlo.pincelli@intesasanpaolo.com"/>
    <s v="BISCEGLIE (MI)"/>
    <s v="VIA BISCEGLIE, 120 - 20152 MILANO (MI)"/>
    <s v="Project Manager "/>
    <s v="Project Manager"/>
    <e v="#N/A"/>
    <x v="0"/>
  </r>
  <r>
    <m/>
    <x v="6"/>
    <s v="GST IMAC e Beni ICT"/>
    <s v="PUCCI"/>
    <s v="ALESSANDRA"/>
    <s v="U085917"/>
    <s v="alessandra.pucci@intesasanpaolo.com"/>
    <s v="PARMA"/>
    <s v="VIA LANGHIRANO, 1 - PAL. C - 43100 PARMA (PR)"/>
    <s v="IT Operator"/>
    <s v="Operator"/>
    <m/>
    <x v="0"/>
  </r>
  <r>
    <m/>
    <x v="6"/>
    <s v="GST IMAC e Beni ICT"/>
    <s v="RABONI"/>
    <s v="MARCO"/>
    <s v="U085927"/>
    <s v="marco.raboni@intesasanpaolo.com"/>
    <s v="PARMA"/>
    <s v="VIA LANGHIRANO, 1 - PAL. C - 43100 PARMA (PR)"/>
    <s v="IT Operator"/>
    <s v="Operator"/>
    <m/>
    <x v="0"/>
  </r>
  <r>
    <m/>
    <x v="6"/>
    <s v="Gestione progetti e manutenzione"/>
    <s v="RAGUSA"/>
    <s v="MARCO"/>
    <s v="U085961"/>
    <s v="marco.ragusa@intesasanpaolo.com"/>
    <s v="BISCEGLIE (MI)"/>
    <s v="VIA BISCEGLIE, 120 - 20152 MILANO (MI)"/>
    <s v="Project Manager "/>
    <s v="Project Manager"/>
    <m/>
    <x v="0"/>
  </r>
  <r>
    <m/>
    <x v="6"/>
    <s v="Presidi Territoriali"/>
    <s v="RE"/>
    <s v="GIUSEPPE"/>
    <s v="  "/>
    <s v="giuseppe.re@intesasanpaolo.com"/>
    <s v="CLERICI (MI)"/>
    <s v="VIA CLERICI, 4 - 20121 MILANO (MI)"/>
    <s v="IT Operator"/>
    <e v="#N/A"/>
    <m/>
    <x v="0"/>
  </r>
  <r>
    <m/>
    <x v="6"/>
    <s v="Presidi Territoriali"/>
    <s v="RINALDI"/>
    <s v="MARCO"/>
    <s v="U309688"/>
    <s v="marco.rinaldi@intesasanpaolo.com"/>
    <s v="FIRENZE"/>
    <s v="VIA CARLO MAGNO, 7 - 50127 FIRENZE (FI)"/>
    <s v="IT Operator"/>
    <s v="Operator"/>
    <m/>
    <x v="0"/>
  </r>
  <r>
    <m/>
    <x v="6"/>
    <s v="Supporto Specialistico e SWD"/>
    <s v="RIPPA"/>
    <s v="FABRIZIO"/>
    <s v="U076108"/>
    <s v="fabrizio.rippa@intesasanpaolo.com"/>
    <s v="NAPOLI"/>
    <s v="VIA G. MARCONI, 15 - 80125 NAPOLI (NA)"/>
    <s v="System Administrator"/>
    <s v="System Administrator"/>
    <m/>
    <x v="0"/>
  </r>
  <r>
    <m/>
    <x v="6"/>
    <s v="CC Infr Microsoft"/>
    <s v="RIZZATI"/>
    <s v="MARTINA"/>
    <s v="  "/>
    <s v="martina.rizzati@intesasanpaolo.com"/>
    <s v="MONCALIERI (TO)"/>
    <s v="CORSO SAVONA, 58 - 10024 MONCALIERI (TO)"/>
    <s v="System Administrator"/>
    <e v="#N/A"/>
    <m/>
    <x v="0"/>
  </r>
  <r>
    <m/>
    <x v="6"/>
    <s v="Supporto Specialistico e SWD"/>
    <s v="RIZZUTO"/>
    <s v="MAURO"/>
    <s v="U078384"/>
    <s v="mauro.rizzuto@intesasanpaolo.com"/>
    <s v="NAPOLI"/>
    <s v="VIA G. MARCONI, 15 - 80125 NAPOLI (NA)"/>
    <s v="System Administrator"/>
    <s v="System Administrator"/>
    <m/>
    <x v="0"/>
  </r>
  <r>
    <m/>
    <x v="6"/>
    <s v="Presidi Territoriali"/>
    <s v="ROLLA"/>
    <s v="BRUNO"/>
    <s v="U014199"/>
    <s v="bruno.rolla@intesasanpaolo.com"/>
    <s v="SAN CARLO (MI)"/>
    <s v="PIAZZA SAN CARLO, 156 - 10121 TORINO (TO)"/>
    <s v="IT Operator"/>
    <s v="Operator"/>
    <m/>
    <x v="0"/>
  </r>
  <r>
    <m/>
    <x v="6"/>
    <s v="Gestione Operativa PR"/>
    <s v="ROSSETTI"/>
    <s v="MARCO"/>
    <s v="U076109"/>
    <s v="marco.rossetti1@intesasanpaolo.com"/>
    <s v="NAPOLI"/>
    <s v="VIA G. MARCONI, 15 - 80125 NAPOLI (NA)"/>
    <s v="System Administrator"/>
    <s v="System Administrator"/>
    <m/>
    <x v="0"/>
  </r>
  <r>
    <m/>
    <x v="6"/>
    <s v="Gestione progetti e manutenzione"/>
    <s v="SALVADORI"/>
    <s v="GIANLUCA"/>
    <s v="U085920"/>
    <s v="gianluca.salvadori@intesasanpaolo.com"/>
    <s v="BISCEGLIE (MI)"/>
    <s v="VIA BISCEGLIE, 120 - 20152 MILANO (MI)"/>
    <s v="Project Manager "/>
    <s v="Project Manager"/>
    <m/>
    <x v="0"/>
  </r>
  <r>
    <m/>
    <x v="6"/>
    <s v="Gestione progetti e manutenzione"/>
    <s v="SAMBRUNA"/>
    <s v="MARCO"/>
    <s v="  "/>
    <s v="marco.sambruna@intesasanpaolo.com"/>
    <s v="BISCEGLIE (MI)"/>
    <s v="VIA BISCEGLIE, 120 - 20152 MILANO (MI)"/>
    <s v="IT Operator"/>
    <e v="#N/A"/>
    <s v="Project Manager "/>
    <x v="1"/>
  </r>
  <r>
    <m/>
    <x v="6"/>
    <s v="Gestione progetti e manutenzione"/>
    <s v="SAMMITO"/>
    <s v="LUCA"/>
    <s v="  "/>
    <s v="luca.sammito@intesasanpaolo.com"/>
    <s v="BISCEGLIE (MI)"/>
    <s v="VIA BISCEGLIE, 120 - 20152 MILANO (MI)"/>
    <s v="IT Operator"/>
    <e v="#N/A"/>
    <m/>
    <x v="0"/>
  </r>
  <r>
    <m/>
    <x v="6"/>
    <s v="Supporto Specialistico e SWD"/>
    <s v="SCOGNAMIGLIO"/>
    <s v="GIUSEPPE"/>
    <s v="U075667"/>
    <s v="giuseppe.scognamiglio@intesasanpaolo.com"/>
    <s v="NAPOLI"/>
    <s v="VIA G. MARCONI, 15 - 80125 NAPOLI (NA)"/>
    <s v="System Administrator"/>
    <s v="System Administrator"/>
    <m/>
    <x v="0"/>
  </r>
  <r>
    <m/>
    <x v="6"/>
    <s v="Supporto Specialistico e SWD"/>
    <s v="SERINO"/>
    <s v="EMMANUELE"/>
    <s v="U076162"/>
    <s v="emmanuele.serino@intesasanpaolo.com"/>
    <s v="NAPOLI"/>
    <s v="VIA G. MARCONI, 15 - 80125 NAPOLI (NA)"/>
    <s v="System Administrator"/>
    <s v="System Administrator"/>
    <m/>
    <x v="0"/>
  </r>
  <r>
    <m/>
    <x v="6"/>
    <s v="CC Infr Microsoft"/>
    <s v="SERRA"/>
    <s v="MARCO"/>
    <s v="U018218"/>
    <s v="marco.serra1@intesasanpaolo.com"/>
    <s v="MONCALIERI (TO)"/>
    <s v="CORSO SAVONA, 58 - 10024 MONCALIERI (TO)"/>
    <s v="System Administrator"/>
    <s v="System Administrator"/>
    <m/>
    <x v="0"/>
  </r>
  <r>
    <m/>
    <x v="6"/>
    <s v="Supporto Specialistico e SWD"/>
    <s v="SIMONETTI"/>
    <s v="ANDREA"/>
    <s v="U301277"/>
    <s v="andrea.simonetti@intesasanpaolo.com"/>
    <s v="ROMA"/>
    <s v="VIA VINCENZO LAMARO, 25 - 00173 ROMA (RM)"/>
    <s v="System Administrator"/>
    <s v="System Administrator"/>
    <m/>
    <x v="0"/>
  </r>
  <r>
    <m/>
    <x v="6"/>
    <s v="Presidi Territoriali"/>
    <s v="SORATO"/>
    <s v="MASSIMILIANO"/>
    <s v="U036040"/>
    <s v="massimiliano.sorato@intesasanpaolo.com"/>
    <s v="SARMEOLA (PD)"/>
    <s v="VIA ADIGE, 6 - SARMEOLA - 35030 RUBANO (PD)"/>
    <s v="IT Operator"/>
    <s v="Operator"/>
    <m/>
    <x v="0"/>
  </r>
  <r>
    <m/>
    <x v="6"/>
    <s v="Gestione progetti e manutenzione"/>
    <s v="SPINA"/>
    <s v="MARTINA"/>
    <s v="  "/>
    <s v="martina.spina@intesasanpaolo.com"/>
    <s v="BISCEGLIE (MI)"/>
    <s v="VIA BISCEGLIE, 120 - 20152 MILANO (MI)"/>
    <s v="IT Operator"/>
    <e v="#N/A"/>
    <s v="Project Manager"/>
    <x v="0"/>
  </r>
  <r>
    <m/>
    <x v="6"/>
    <s v="Servizi Infrastrutturali AP e DB MS"/>
    <s v="STABILE"/>
    <s v="MASSIMO"/>
    <s v="U028143"/>
    <s v="massimo.stabile@intesasanpaolo.com"/>
    <s v="MONCALIERI (TO)"/>
    <s v="CORSO SAVONA, 58 - 10024 MONCALIERI (TO)"/>
    <s v="System Administrator"/>
    <s v="System Administrator"/>
    <m/>
    <x v="0"/>
  </r>
  <r>
    <m/>
    <x v="6"/>
    <s v="Presidi Territoriali"/>
    <s v="STUCCHI"/>
    <s v="LUIGI"/>
    <s v="U083600"/>
    <s v="luigi.stucchi@intesasanpaolo.com"/>
    <s v="CLERICI (MI)"/>
    <s v="VIA CLERICI, 4 - 20121 MILANO (MI)"/>
    <s v="IT Operator"/>
    <s v="Operator"/>
    <m/>
    <x v="0"/>
  </r>
  <r>
    <m/>
    <x v="6"/>
    <s v="Supporto Specialistico e SWD"/>
    <s v="TORRESI"/>
    <s v="SERGIO"/>
    <s v="U301282"/>
    <s v="sergio.torresi@intesasanpaolo.com"/>
    <s v="ROMA"/>
    <s v="VIA VINCENZO LAMARO, 25 - 00173 ROMA (RM)"/>
    <s v="System Administrator"/>
    <s v="System Administrator"/>
    <m/>
    <x v="0"/>
  </r>
  <r>
    <m/>
    <x v="6"/>
    <s v="Sistemi di Automazione"/>
    <s v="TOSI"/>
    <s v="CLAUDIO"/>
    <s v="U035823"/>
    <s v="claudio.tosi@intesasanpaolo.com"/>
    <s v="BOLOGNA"/>
    <s v="PIAZZA SAN DOMENICO - 40124 BOLOGNA (BO)"/>
    <s v="System Administrator"/>
    <s v="Project Manager"/>
    <e v="#N/A"/>
    <x v="0"/>
  </r>
  <r>
    <m/>
    <x v="6"/>
    <s v="Servizi Infrastrutturali AP e DB MS"/>
    <s v="TROMBOTTO"/>
    <s v="ANDREA"/>
    <s v="U024673"/>
    <s v="andrea.trombotto@intesasanpaolo.com"/>
    <s v="MONCALIERI (TO)"/>
    <s v="CORSO SAVONA, 58 - 10024 MONCALIERI (TO)"/>
    <s v="System Administrator"/>
    <s v="System Administrator"/>
    <m/>
    <x v="0"/>
  </r>
  <r>
    <m/>
    <x v="6"/>
    <s v="Gestione progetti e manutenzione"/>
    <s v="TROULLIER"/>
    <s v="SARA"/>
    <s v="U085855"/>
    <s v="sara.troullier@intesasanpaolo.com"/>
    <s v="BISCEGLIE (MI)"/>
    <s v="VIA BISCEGLIE, 120 - 20152 MILANO (MI)"/>
    <s v="IT Operator"/>
    <s v="Operator"/>
    <s v="Project Manager"/>
    <x v="0"/>
  </r>
  <r>
    <m/>
    <x v="6"/>
    <s v="Gestione progetti e manutenzione"/>
    <s v="TUCCI"/>
    <s v="MANUEL"/>
    <s v="  "/>
    <s v="manuel.tucci@intesasanpaolo.com"/>
    <s v="BISCEGLIE (MI)"/>
    <s v="VIA BISCEGLIE, 120 - 20152 MILANO (MI)"/>
    <s v="IT Operator"/>
    <e v="#N/A"/>
    <s v="Project Manager "/>
    <x v="1"/>
  </r>
  <r>
    <m/>
    <x v="6"/>
    <s v="Presidi Territoriali"/>
    <s v="TURI"/>
    <s v="DONATELLA"/>
    <s v="U035462"/>
    <s v="donatella.turi@intesasanpaolo.com"/>
    <s v="SARMEOLA (PD)"/>
    <s v="VIA ADIGE, 6 - SARMEOLA - 35030 RUBANO (PD)"/>
    <s v="IT Operator"/>
    <s v="Operator"/>
    <m/>
    <x v="0"/>
  </r>
  <r>
    <m/>
    <x v="6"/>
    <s v="Gestione progetti e manutenzione"/>
    <s v="VAI"/>
    <s v="CLAUDIA"/>
    <s v="U086139"/>
    <s v="claudia.vai@intesasanpaolo.com"/>
    <s v="BISCEGLIE (MI)"/>
    <s v="VIA BISCEGLIE, 120 - 20152 MILANO (MI)"/>
    <s v="Project Manager "/>
    <s v="Project Manager"/>
    <m/>
    <x v="0"/>
  </r>
  <r>
    <m/>
    <x v="6"/>
    <s v="Servizi Infrastrutturali AP e DB MS"/>
    <s v="VAIR"/>
    <s v="ENRICO"/>
    <s v="U029646"/>
    <s v="enrico.vair@intesasanpaolo.com"/>
    <s v="MONCALIERI (TO)"/>
    <s v="CORSO SAVONA, 58 - 10024 MONCALIERI (TO)"/>
    <s v="System Administrator"/>
    <s v="System Administrator"/>
    <m/>
    <x v="0"/>
  </r>
  <r>
    <m/>
    <x v="6"/>
    <s v="Gestione progetti e manutenzione"/>
    <s v="VALIA"/>
    <s v="ANTONIO"/>
    <s v="U301288"/>
    <s v="antonio.valia@intesasanpaolo.com"/>
    <s v="BISCEGLIE (MI)"/>
    <s v="VIA BISCEGLIE, 120 - 20152 MILANO (MI)"/>
    <s v="IT Operator"/>
    <s v="Operator"/>
    <e v="#N/A"/>
    <x v="0"/>
  </r>
  <r>
    <m/>
    <x v="6"/>
    <s v="Presidi Territoriali"/>
    <s v="VENTURIERO"/>
    <s v="VINCENZO"/>
    <s v="U073750"/>
    <s v="vincenzo.venturiero@intesasanpaolo.com"/>
    <s v="NAPOLI"/>
    <s v="VIA G. MARCONI, 15 - 80125 NAPOLI (NA)"/>
    <s v="IT Operator"/>
    <s v="Operator"/>
    <m/>
    <x v="0"/>
  </r>
  <r>
    <m/>
    <x v="6"/>
    <s v="GST IMAC e Beni ICT"/>
    <s v="VIANI"/>
    <s v="RAFFAELLA"/>
    <s v="U086341"/>
    <s v="raffaella.viani@intesasanpaolo.com"/>
    <s v="PARMA"/>
    <s v="VIA LANGHIRANO, 1 - PAL. C - 43100 PARMA (PR)"/>
    <s v="IT Operator"/>
    <s v="Operator"/>
    <m/>
    <x v="0"/>
  </r>
  <r>
    <m/>
    <x v="6"/>
    <s v="Gestione progetti e manutenzione"/>
    <s v="VILLANO"/>
    <s v="FABRIZIO"/>
    <s v="  "/>
    <s v="fabrizio.villano@intesasanpaolo.com"/>
    <s v="BISCEGLIE (MI)"/>
    <s v="VIA BISCEGLIE, 120 - 20152 MILANO (MI)"/>
    <s v="IT Operator"/>
    <e v="#N/A"/>
    <m/>
    <x v="0"/>
  </r>
  <r>
    <m/>
    <x v="6"/>
    <s v="Supporto Specialistico e SWD"/>
    <s v="VINCI"/>
    <s v="GIANPAOLO"/>
    <s v="U078114"/>
    <s v="gianpaolo.vinci@intesasanpaolo.com"/>
    <s v="NAPOLI"/>
    <s v="VIA G. MARCONI, 15 - 80125 NAPOLI (NA)"/>
    <s v="System Administrator"/>
    <s v="System Administrator"/>
    <m/>
    <x v="0"/>
  </r>
  <r>
    <m/>
    <x v="6"/>
    <s v="Gestione progetti e manutenzione"/>
    <s v="VIOLA"/>
    <s v="PAOLA"/>
    <s v="U301292"/>
    <s v="paola.viola1@intesasanpaolo.com"/>
    <s v="BISCEGLIE (MI)"/>
    <s v="VIA BISCEGLIE, 120 - 20152 MILANO (MI)"/>
    <s v="IT Operator"/>
    <s v="Operator"/>
    <e v="#N/A"/>
    <x v="0"/>
  </r>
  <r>
    <m/>
    <x v="6"/>
    <s v="Sistemi di Automazione"/>
    <s v="VITALE"/>
    <s v="GIUSEPPE"/>
    <s v="U035016"/>
    <s v="giuseppe.vitale1@intesasanpaolo.com"/>
    <s v="BOLOGNA"/>
    <s v="PIAZZA SAN DOMENICO - 40124 BOLOGNA (BO)"/>
    <s v="System Administrator"/>
    <s v="System Administrator"/>
    <m/>
    <x v="0"/>
  </r>
  <r>
    <m/>
    <x v="6"/>
    <s v="Presidi Territoriali"/>
    <s v="VITALINI"/>
    <s v="CLAUDIO"/>
    <s v="U301295"/>
    <s v="claudio.vitalini@intesasanpaolo.com"/>
    <s v="ROMA"/>
    <s v="VIA VINCENZO LAMARO, 25 - 00173 ROMA (RM)"/>
    <s v="IT Operator"/>
    <s v="Operator"/>
    <e v="#N/A"/>
    <x v="0"/>
  </r>
  <r>
    <m/>
    <x v="6"/>
    <s v="Sist Base e Sol. Specialistiche"/>
    <s v="ZAGNI"/>
    <s v="PAOLO"/>
    <s v="U085923"/>
    <s v="paolo.zagni@intesasanpaolo.com"/>
    <s v="PARMA"/>
    <s v="VIA LANGHIRANO, 1 - PAL. C - 43100 PARMA (PR)"/>
    <s v="System Administrator"/>
    <s v="System Administrator"/>
    <m/>
    <x v="0"/>
  </r>
  <r>
    <m/>
    <x v="6"/>
    <s v="Gestione progetti e manutenzione"/>
    <s v="ZUCCHI"/>
    <s v="DAVIDE"/>
    <s v="  "/>
    <s v="davide.zucchi@intesasanpaolo.com"/>
    <s v="BISCEGLIE (MI)"/>
    <s v="VIA BISCEGLIE, 120 - 20152 MILANO (MI)"/>
    <s v="IT Operator"/>
    <e v="#N/A"/>
    <m/>
    <x v="0"/>
  </r>
  <r>
    <s v="CAPO UFFICIO"/>
    <x v="5"/>
    <m/>
    <s v="CARETTI"/>
    <s v="FABRIZIO"/>
    <s v="U093220"/>
    <s v="fabrizio.caretti1@intesasanpaolo.com"/>
    <s v="BISCEGLIE (MI)"/>
    <s v="VIA BISCEGLIE, 120 - 20152 MILANO (MI)"/>
    <s v="IT Coordinator"/>
    <s v="IT Coordinator"/>
    <m/>
    <x v="0"/>
  </r>
  <r>
    <s v="COORDINATORE COA"/>
    <x v="5"/>
    <s v="Prog. Telecomunicazioni"/>
    <s v="BARILLA'"/>
    <s v="ANTONIO"/>
    <s v="U018268"/>
    <s v="antonio.barilla@intesasanpaolo.com"/>
    <s v="MONCALIERI (TO)"/>
    <s v="CORSO SAVONA, 58 - 10024 MONCALIERI (TO)"/>
    <s v="IT Coordinator"/>
    <s v="IT Coordinator"/>
    <m/>
    <x v="0"/>
  </r>
  <r>
    <s v="COORDINATORE COA"/>
    <x v="5"/>
    <s v="Coord. Servizi Presidi TLC"/>
    <s v="COGNI"/>
    <s v="GIAN MARIA"/>
    <s v="U083602"/>
    <s v="gianmaria.cogni@intesasanpaolo.com"/>
    <s v="BISCEGLIE (MI)"/>
    <s v="VIA BISCEGLIE, 120 - 20152 MILANO (MI)"/>
    <s v="IT Coordinator"/>
    <s v="IT Coordinator"/>
    <m/>
    <x v="0"/>
  </r>
  <r>
    <s v="COORDINATORE COA"/>
    <x v="5"/>
    <s v="Supporto Telecomunicazioni"/>
    <s v="ROBERTO"/>
    <s v="GIORGIO"/>
    <s v="U026283"/>
    <s v="giorgio.roberto@intesasanpaolo.com"/>
    <s v="MONCALIERI (TO)"/>
    <s v="CORSO SAVONA, 58 - 10024 MONCALIERI (TO)"/>
    <s v="IT Coordinator"/>
    <s v="IT Coordinator"/>
    <m/>
    <x v="0"/>
  </r>
  <r>
    <s v="COORDINATORE COA"/>
    <x v="5"/>
    <s v="CC Contact Unit"/>
    <s v="SALA"/>
    <s v="DANILO PIETRO"/>
    <s v="U085956"/>
    <s v="danilo.sala@intesasanpaolo.com"/>
    <s v="BISCEGLIE (MI)"/>
    <s v="VIA BISCEGLIE, 120 - 20152 MILANO (MI)"/>
    <s v="IT Coordinator"/>
    <s v="IT Coordinator"/>
    <m/>
    <x v="0"/>
  </r>
  <r>
    <m/>
    <x v="5"/>
    <s v="Coord. Servizi Presidi TLC"/>
    <s v="AMADORI"/>
    <s v="ANDREA"/>
    <s v="U083842"/>
    <s v="andrea.amadori@intesasanpaolo.com"/>
    <s v="BISCEGLIE (MI)"/>
    <s v="VIA BISCEGLIE, 120 - 20152 MILANO (MI)"/>
    <s v="Network Administrator"/>
    <s v="Network Administrator"/>
    <m/>
    <x v="0"/>
  </r>
  <r>
    <m/>
    <x v="5"/>
    <s v="Supporto Telecomunicazioni"/>
    <s v="AMAYEH"/>
    <s v="SOMAYEH"/>
    <s v="  "/>
    <s v="somayeh.amayeh@intesasanpaolo.com"/>
    <s v="MONCALIERI (TO)"/>
    <s v="CORSO SAVONA, 58 - 10024 MONCALIERI (TO)"/>
    <s v="Network Administrator"/>
    <e v="#N/A"/>
    <m/>
    <x v="0"/>
  </r>
  <r>
    <m/>
    <x v="5"/>
    <s v="CC Contact Unit"/>
    <s v="BALDINA"/>
    <s v="PAOLO"/>
    <s v="U081511"/>
    <s v="paolo.baldina@intesasanpaolo.com"/>
    <s v="BISCEGLIE (MI)"/>
    <s v="VIA BISCEGLIE, 120 - 20152 MILANO (MI)"/>
    <s v="Project Manager "/>
    <s v="Network Administrator"/>
    <s v="Project Manager "/>
    <x v="1"/>
  </r>
  <r>
    <m/>
    <x v="5"/>
    <s v="CC Contact Unit"/>
    <s v="BARBIERI"/>
    <s v="ALESSANDRO"/>
    <s v="U028747"/>
    <s v="alessandro.barbieri2@intesasanpaolo.com"/>
    <s v="BOLOGNA"/>
    <s v="PIAZZA SAN DOMENICO - 40124 BOLOGNA (BO)"/>
    <s v="System Administrator"/>
    <s v="System Administrator"/>
    <m/>
    <x v="0"/>
  </r>
  <r>
    <m/>
    <x v="5"/>
    <s v="CC Contact Unit"/>
    <s v="BARLETTA"/>
    <s v="DOMENICO"/>
    <s v="  "/>
    <s v="domenico.barletta@intesasanpaolo.com"/>
    <s v="BISCEGLIE (MI)"/>
    <s v="VIA BISCEGLIE, 120 - 20152 MILANO (MI)"/>
    <s v="Infrastructure Architect"/>
    <e v="#N/A"/>
    <s v="Infrastructure Architect"/>
    <x v="3"/>
  </r>
  <r>
    <m/>
    <x v="5"/>
    <s v="Supporto Telecomunicazioni"/>
    <s v="BATTISTI"/>
    <s v="ELENA"/>
    <s v="  "/>
    <s v="elena.battisti@intesasanpaolo.com"/>
    <s v="MONCALIERI (TO)"/>
    <s v="CORSO SAVONA, 58 - 10024 MONCALIERI (TO)"/>
    <s v="Network Administrator"/>
    <e v="#N/A"/>
    <m/>
    <x v="0"/>
  </r>
  <r>
    <m/>
    <x v="5"/>
    <s v="Supporto Telecomunicazioni"/>
    <s v="BAYAT"/>
    <s v="AHMAD"/>
    <s v="  "/>
    <s v="ahmad.bayat@intesasanpaolo.com"/>
    <s v="MONCALIERI (TO)"/>
    <s v="CORSO SAVONA, 58 - 10024 MONCALIERI (TO)"/>
    <s v="Network Administrator"/>
    <e v="#N/A"/>
    <m/>
    <x v="0"/>
  </r>
  <r>
    <m/>
    <x v="5"/>
    <s v="Prog. Telecomunicazioni"/>
    <s v="BIROLI"/>
    <s v="MICHELE"/>
    <s v="U085967"/>
    <s v="michele.biroli@intesasanpaolo.com"/>
    <s v="BISCEGLIE (MI)"/>
    <s v="VIA BISCEGLIE, 120 - 20152 MILANO (MI)"/>
    <s v="Infrastructure Architect"/>
    <s v="Network Administrator"/>
    <s v="Infrastructure Architect"/>
    <x v="3"/>
  </r>
  <r>
    <m/>
    <x v="5"/>
    <s v="Coord. Servizi Presidi TLC"/>
    <s v="BORLA"/>
    <s v="STEFANO"/>
    <s v="U085976"/>
    <s v="stefano.borla@intesasanpaolo.com"/>
    <s v="BISCEGLIE (MI)"/>
    <s v="VIA BISCEGLIE, 120 - 20152 MILANO (MI)"/>
    <s v="Project Manager "/>
    <s v="Project Manager"/>
    <s v="Project Manager "/>
    <x v="1"/>
  </r>
  <r>
    <m/>
    <x v="5"/>
    <s v="Supporto Telecomunicazioni"/>
    <s v="CARRER"/>
    <s v="RENATO"/>
    <s v="U018266"/>
    <s v="renato.carrer@intesasanpaolo.com"/>
    <s v="MONCALIERI (TO)"/>
    <s v="CORSO SAVONA, 58 - 10024 MONCALIERI (TO)"/>
    <s v="Project Manager "/>
    <s v="Network Administrator"/>
    <s v="Project Manager "/>
    <x v="1"/>
  </r>
  <r>
    <m/>
    <x v="5"/>
    <s v="Coord. Servizi Presidi TLC"/>
    <s v="CASELLI"/>
    <s v="CLAUDIO"/>
    <s v="U083604"/>
    <s v="claudio.caselli@intesasanpaolo.com"/>
    <s v="BISCEGLIE (MI)"/>
    <s v="VIA BISCEGLIE, 120 - 20152 MILANO (MI)"/>
    <s v="Automation Specialist"/>
    <s v="Network Administrator"/>
    <s v="Automation Specialist"/>
    <x v="4"/>
  </r>
  <r>
    <m/>
    <x v="5"/>
    <m/>
    <s v="CASTOLDI"/>
    <s v="MARCO"/>
    <s v="U086153"/>
    <s v="marco.castoldi@intesasanpaolo.com"/>
    <s v="BISCEGLIE (MI)"/>
    <s v="VIA BISCEGLIE, 120 - 20152 MILANO (MI)"/>
    <s v="no def"/>
    <s v="no def"/>
    <s v="N/A"/>
    <x v="0"/>
  </r>
  <r>
    <m/>
    <x v="5"/>
    <s v="Coord. Servizi Presidi TLC"/>
    <s v="CATALANO"/>
    <s v="COSIMO"/>
    <s v="U086313"/>
    <s v="cosimo.catalano@intesasanpaolo.com"/>
    <s v="BISCEGLIE (MI)"/>
    <s v="VIA BISCEGLIE, 120 - 20152 MILANO (MI)"/>
    <s v="IT Process FM Specialist"/>
    <s v="IT Process FM Specialist"/>
    <s v="IT Process FM Specialist"/>
    <x v="0"/>
  </r>
  <r>
    <m/>
    <x v="5"/>
    <s v="CC Contact Unit"/>
    <s v="CELLINI"/>
    <s v="MASSIMO"/>
    <s v="U087608"/>
    <s v="massimo.cellini@intesasanpaolo.com"/>
    <s v="BISCEGLIE (MI)"/>
    <s v="VIA BISCEGLIE, 120 - 20152 MILANO (MI)"/>
    <s v="System Administrator"/>
    <s v="Network Administrator"/>
    <m/>
    <x v="0"/>
  </r>
  <r>
    <m/>
    <x v="5"/>
    <s v="CC Contact Unit"/>
    <s v="CHIAVETTIERI"/>
    <s v="ROBERTO"/>
    <s v="U040114"/>
    <s v="roberto.chiavettieri@intesasanpaolo.com"/>
    <s v="BOLOGNA"/>
    <s v="PIAZZA SAN DOMENICO - 40124 BOLOGNA (BO)"/>
    <s v="System Administrator"/>
    <s v="System Administrator"/>
    <m/>
    <x v="0"/>
  </r>
  <r>
    <m/>
    <x v="5"/>
    <s v="Supporto Telecomunicazioni"/>
    <s v="COMERCI"/>
    <s v="MANJU"/>
    <s v="  "/>
    <s v="manju.comerci@intesasanpaolo.com"/>
    <s v="MONCALIERI (TO)"/>
    <s v="CORSO SAVONA, 58 - 10024 MONCALIERI (TO)"/>
    <s v="Network Administrator"/>
    <e v="#N/A"/>
    <m/>
    <x v="0"/>
  </r>
  <r>
    <m/>
    <x v="5"/>
    <s v="Supporto Telecomunicazioni"/>
    <s v="COSTE"/>
    <s v="ENRICO"/>
    <s v="U015892"/>
    <s v="enrico.coste@intesasanpaolo.com"/>
    <s v="MONCALIERI (TO)"/>
    <s v="CORSO SAVONA, 58 - 10024 MONCALIERI (TO)"/>
    <s v="Problem Manager"/>
    <s v="Network Administrator"/>
    <m/>
    <x v="0"/>
  </r>
  <r>
    <m/>
    <x v="5"/>
    <s v="Coord. Servizi Presidi TLC"/>
    <s v="DELL'ORTO"/>
    <s v="LUCA LORENZO"/>
    <s v="U086373"/>
    <s v="luca.dellorto@intesasanpaolo.com"/>
    <s v="BISCEGLIE (MI)"/>
    <s v="VIA BISCEGLIE, 120 - 20152 MILANO (MI)"/>
    <s v="Infrastructure Architect"/>
    <s v="Operator"/>
    <s v="Infrastructure Architect"/>
    <x v="3"/>
  </r>
  <r>
    <m/>
    <x v="5"/>
    <s v="Prog. Telecomunicazioni"/>
    <s v="DOGLIO"/>
    <s v="FABIO"/>
    <s v="U015436"/>
    <s v="fabio.doglio@intesasanpaolo.com"/>
    <s v="MONCALIERI (TO)"/>
    <s v="CORSO SAVONA, 58 - 10024 MONCALIERI (TO)"/>
    <s v="Infrastructure Architect"/>
    <s v="Network Administrator"/>
    <s v="Infrastructure Architect"/>
    <x v="3"/>
  </r>
  <r>
    <m/>
    <x v="5"/>
    <s v="Prog. Telecomunicazioni"/>
    <s v="FACCHINETTI"/>
    <s v="MASSIMO GIOVANNI"/>
    <s v="U085959"/>
    <s v="massimo.facchinetti@intesasanpaolo.com"/>
    <s v="BISCEGLIE (MI)"/>
    <s v="VIA BISCEGLIE, 120 - 20152 MILANO (MI)"/>
    <s v="Infrastructure Architect"/>
    <s v="Network Administrator"/>
    <s v="Infrastructure Architect"/>
    <x v="3"/>
  </r>
  <r>
    <m/>
    <x v="5"/>
    <s v="Supporto Telecomunicazioni"/>
    <s v="FUDA"/>
    <s v="DANIELE"/>
    <s v="U029643"/>
    <s v="daniele.fuda@intesasanpaolo.com"/>
    <s v="MONCALIERI (TO)"/>
    <s v="CORSO SAVONA, 58 - 10024 MONCALIERI (TO)"/>
    <s v="Infrastructure Architect"/>
    <s v="Network Administrator"/>
    <s v="Infrastructure Architect"/>
    <x v="3"/>
  </r>
  <r>
    <m/>
    <x v="5"/>
    <s v="Coord. Servizi Presidi TLC"/>
    <s v="GATTO"/>
    <s v="LORENZO"/>
    <s v="  "/>
    <s v="lorenzo.gatto@intesasanpaolo.com"/>
    <s v="MONCALIERI (TO)"/>
    <s v="CORSO SAVONA, 58 - 10024 MONCALIERI (TO)"/>
    <s v="Collaboration Specialist"/>
    <e v="#N/A"/>
    <s v="Collaboration Specialist"/>
    <x v="3"/>
  </r>
  <r>
    <m/>
    <x v="5"/>
    <s v="Supporto Telecomunicazioni"/>
    <s v="GELATO"/>
    <s v="PAOLO"/>
    <s v="U017591"/>
    <s v="paolo.gelato@intesasanpaolo.com"/>
    <s v="MONCALIERI (TO)"/>
    <s v="CORSO SAVONA, 58 - 10024 MONCALIERI (TO)"/>
    <s v="Network Administrator"/>
    <s v="Network Administrator"/>
    <m/>
    <x v="0"/>
  </r>
  <r>
    <m/>
    <x v="5"/>
    <s v="Coord. Servizi Presidi TLC"/>
    <s v="GIRIBONO"/>
    <s v="MASSIMO"/>
    <s v="U083843"/>
    <s v="massimo.giribono@intesasanpaolo.com"/>
    <s v="BISCEGLIE (MI)"/>
    <s v="VIA BISCEGLIE, 120 - 20152 MILANO (MI)"/>
    <s v="IT Process FM Specialist"/>
    <s v="IT Process FM Specialist"/>
    <s v="IT Process FM Specialist"/>
    <x v="0"/>
  </r>
  <r>
    <m/>
    <x v="5"/>
    <s v="Supporto Telecomunicazioni"/>
    <s v="GREGORIO"/>
    <s v="MARCO"/>
    <s v="U339489"/>
    <s v="marco.gregorio@intesasanpaolo.com"/>
    <s v="MONCALIERI (TO)"/>
    <s v="CORSO SAVONA, 58 - 10024 MONCALIERI (TO)"/>
    <s v="Infrastructure Architect"/>
    <s v="Network Administrator"/>
    <s v="Infrastructure Architect"/>
    <x v="3"/>
  </r>
  <r>
    <m/>
    <x v="5"/>
    <s v="Supporto Telecomunicazioni"/>
    <s v="MACCARIO"/>
    <s v="BRUNO"/>
    <s v="U016070"/>
    <s v="bruno.maccario@intesasanpaolo.com"/>
    <s v="MONCALIERI (TO)"/>
    <s v="CORSO SAVONA, 58 - 10024 MONCALIERI (TO)"/>
    <s v="Problem Manager"/>
    <s v="Network Administrator"/>
    <m/>
    <x v="0"/>
  </r>
  <r>
    <m/>
    <x v="5"/>
    <s v="Prog. Telecomunicazioni"/>
    <s v="MAGLIANO"/>
    <s v="GIORGIO"/>
    <s v="U020961"/>
    <s v="giorgio.magliano@intesasanpaolo.com"/>
    <s v="MONCALIERI (TO)"/>
    <s v="CORSO SAVONA, 58 - 10024 MONCALIERI (TO)"/>
    <s v="Infrastructure Architect"/>
    <s v="Network Administrator"/>
    <s v="Infrastructure Architect"/>
    <x v="3"/>
  </r>
  <r>
    <m/>
    <x v="5"/>
    <s v="CC Contact Unit"/>
    <s v="MAJERNA"/>
    <s v="STEFANO"/>
    <s v="U087616"/>
    <s v="stefano.majerna@intesasanpaolo.com"/>
    <s v="BISCEGLIE (MI)"/>
    <s v="VIA BISCEGLIE, 120 - 20152 MILANO (MI)"/>
    <s v="Delivery manager"/>
    <s v="Network Administrator"/>
    <s v="Delivery manager"/>
    <x v="4"/>
  </r>
  <r>
    <m/>
    <x v="5"/>
    <s v="Prog. Telecomunicazioni"/>
    <s v="MASTROTI"/>
    <s v="DANIELE"/>
    <s v="U085948"/>
    <s v="daniele.mastroti@intesasanpaolo.com"/>
    <s v="BISCEGLIE (MI)"/>
    <s v="VIA BISCEGLIE, 120 - 20152 MILANO (MI)"/>
    <s v="Infrastructure Architect"/>
    <s v="Network Administrator"/>
    <s v="Infrastructure Architect"/>
    <x v="3"/>
  </r>
  <r>
    <m/>
    <x v="5"/>
    <s v="Supporto Telecomunicazioni"/>
    <s v="MIATELLO"/>
    <s v="CLAUDIO"/>
    <s v="U018262"/>
    <s v="claudio.miatello@intesasanpaolo.com"/>
    <s v="MONCALIERI (TO)"/>
    <s v="CORSO SAVONA, 58 - 10024 MONCALIERI (TO)"/>
    <s v="Network Administrator"/>
    <s v="Network Administrator"/>
    <s v="Network Administrator"/>
    <x v="0"/>
  </r>
  <r>
    <m/>
    <x v="5"/>
    <s v="Coord. Servizi Presidi TLC"/>
    <s v="MONDINO"/>
    <s v="ENRICO"/>
    <s v="U018267"/>
    <s v="enrico.mondino@intesasanpaolo.com"/>
    <s v="MONCALIERI (TO)"/>
    <s v="CORSO SAVONA, 58 - 10024 MONCALIERI (TO)"/>
    <s v="Network Administrator"/>
    <s v="Network Administrator"/>
    <m/>
    <x v="0"/>
  </r>
  <r>
    <m/>
    <x v="5"/>
    <s v="CC Contact Unit"/>
    <s v="NOVI"/>
    <s v="MAURO"/>
    <s v="U040376"/>
    <s v="mauro.novi@intesasanpaolo.com"/>
    <s v="BOLOGNA"/>
    <s v="PIAZZA SAN DOMENICO - 40124 BOLOGNA (BO)"/>
    <s v="Infrastructure Architect"/>
    <s v="System Administrator"/>
    <s v="Infrastructure Architect"/>
    <x v="3"/>
  </r>
  <r>
    <m/>
    <x v="5"/>
    <s v="Coord. Servizi Presidi TLC"/>
    <s v="PARPANESI"/>
    <s v="PAOLO"/>
    <s v="U085952"/>
    <s v="paolo.parpanesi@intesasanpaolo.com"/>
    <s v="BISCEGLIE (MI)"/>
    <s v="VIA BISCEGLIE, 120 - 20152 MILANO (MI)"/>
    <s v="Project Manager "/>
    <s v="Project Manager"/>
    <s v="Project Manager "/>
    <x v="1"/>
  </r>
  <r>
    <m/>
    <x v="5"/>
    <s v="Prog. Telecomunicazioni"/>
    <s v="PEPE"/>
    <s v="ANGELO"/>
    <s v="U024494"/>
    <s v="angelo.pepe@intesasanpaolo.com"/>
    <s v="MONCALIERI (TO)"/>
    <s v="CORSO SAVONA, 58 - 10024 MONCALIERI (TO)"/>
    <s v="Security Infrastructure Specialist"/>
    <s v="Network Administrator"/>
    <s v="Infrastructure Architect"/>
    <x v="3"/>
  </r>
  <r>
    <m/>
    <x v="5"/>
    <s v="CC Contact Unit"/>
    <s v="PERSIANI"/>
    <s v="FEDERICO"/>
    <s v="U028758"/>
    <s v="federico.persiani@intesasanpaolo.com"/>
    <s v="BOLOGNA"/>
    <s v="PIAZZA SAN DOMENICO - 40124 BOLOGNA (BO)"/>
    <s v="System Administrator"/>
    <s v="System Administrator"/>
    <m/>
    <x v="0"/>
  </r>
  <r>
    <m/>
    <x v="5"/>
    <s v="Coord. Servizi Presidi TLC"/>
    <s v="PIETRANGELO"/>
    <s v="MARIANO"/>
    <s v="U014035"/>
    <s v="mariano.pietrangelo@intesasanpaolo.com"/>
    <s v="MONCALIERI (TO)"/>
    <s v="CORSO SAVONA, 58 - 10024 MONCALIERI (TO)"/>
    <s v="Collaboration Specialist"/>
    <s v="System Administrator"/>
    <m/>
    <x v="0"/>
  </r>
  <r>
    <m/>
    <x v="5"/>
    <s v="Coord. Servizi Presidi TLC"/>
    <s v="POGGI"/>
    <s v="GIANMARCO"/>
    <s v="U304274"/>
    <s v="gianmarco.poggi@intesasanpaolo.com"/>
    <s v="BISCEGLIE (MI)"/>
    <s v="VIA BISCEGLIE, 120 - 20152 MILANO (MI)"/>
    <s v="Project Manager "/>
    <s v="Project Manager"/>
    <s v="Project Manager "/>
    <x v="1"/>
  </r>
  <r>
    <m/>
    <x v="5"/>
    <s v="Prog. Telecomunicazioni"/>
    <s v="RADAELLI"/>
    <s v="LUCIO"/>
    <s v="U301258"/>
    <s v="lucio.radaelli@intesasanpaolo.com"/>
    <s v="BISCEGLIE (MI)"/>
    <s v="VIA BISCEGLIE, 120 - 20152 MILANO (MI)"/>
    <s v="Infrastructure Architect"/>
    <s v="Network Administrator"/>
    <s v="Infrastructure Architect"/>
    <x v="3"/>
  </r>
  <r>
    <m/>
    <x v="5"/>
    <s v="Prog. Telecomunicazioni"/>
    <s v="RENDINIELLO"/>
    <s v="DAVIDE"/>
    <s v="U363982"/>
    <s v="davide.rendiniello@intesasanpaolo.com"/>
    <s v="MONCALIERI (TO)"/>
    <s v="CORSO SAVONA, 58 - 10024 MONCALIERI (TO)"/>
    <s v="Software Defined Network  Specialist"/>
    <s v="Network Administrator"/>
    <s v="Software Defined Network  Specialist"/>
    <x v="3"/>
  </r>
  <r>
    <m/>
    <x v="5"/>
    <s v="Prog. Telecomunicazioni"/>
    <s v="RUCI"/>
    <s v="LEDIO"/>
    <s v="  "/>
    <s v="ledio.ruci@intesasanpaolo.com"/>
    <s v="MONCALIERI (TO)"/>
    <s v="CORSO SAVONA, 58 - 10024 MONCALIERI (TO)"/>
    <s v="Automation Specialist"/>
    <e v="#N/A"/>
    <m/>
    <x v="0"/>
  </r>
  <r>
    <m/>
    <x v="5"/>
    <s v="Coord. Servizi Presidi TLC"/>
    <s v="SALVATI"/>
    <s v="DIEGO"/>
    <s v="  "/>
    <s v="diego.salvati@intesasanpaolo.com"/>
    <s v="BISCEGLIE (MI)"/>
    <s v="VIA BISCEGLIE, 120 - 20152 MILANO (MI)"/>
    <s v="Network Administrator"/>
    <e v="#N/A"/>
    <s v="Project Manager "/>
    <x v="1"/>
  </r>
  <r>
    <m/>
    <x v="5"/>
    <s v="Prog. Telecomunicazioni"/>
    <s v="TAGLIABUE"/>
    <s v="MASSIMO"/>
    <s v="U083410"/>
    <s v="massimo.tagliabue@intesasanpaolo.com"/>
    <s v="BISCEGLIE (MI)"/>
    <s v="VIA BISCEGLIE, 120 - 20152 MILANO (MI)"/>
    <s v="Infrastructure Architect"/>
    <s v="Network Administrator"/>
    <s v="Infrastructure Architect"/>
    <x v="3"/>
  </r>
  <r>
    <m/>
    <x v="5"/>
    <s v="Supporto Telecomunicazioni"/>
    <s v="TENACE"/>
    <s v="ANTONELLO"/>
    <s v="U028144"/>
    <s v="antonello.tenace@intesasanpaolo.com"/>
    <s v="MONCALIERI (TO)"/>
    <s v="CORSO SAVONA, 58 - 10024 MONCALIERI (TO)"/>
    <s v="Automation Specialist"/>
    <s v="Network Administrator"/>
    <s v="Automation Specialist"/>
    <x v="4"/>
  </r>
  <r>
    <m/>
    <x v="5"/>
    <s v="Coord. Servizi Presidi TLC"/>
    <s v="TURRA"/>
    <s v="KEVIN"/>
    <s v="  "/>
    <s v="kevin.turra@intesasanpaolo.com"/>
    <s v="BISCEGLIE (MI)"/>
    <s v="VIA BISCEGLIE, 120 - 20152 MILANO (MI)"/>
    <s v="Network Administrator"/>
    <e v="#N/A"/>
    <s v="Project Manager "/>
    <x v="1"/>
  </r>
  <r>
    <m/>
    <x v="5"/>
    <s v="Supporto Telecomunicazioni"/>
    <s v="VALSANIA"/>
    <s v="DAVIDE"/>
    <s v="  "/>
    <s v="davide.valsania@intesasanpaolo.com"/>
    <s v="MONCALIERI (TO)"/>
    <s v="CORSO SAVONA, 58 - 10024 MONCALIERI (TO)"/>
    <s v="Infrastructure Architect"/>
    <e v="#N/A"/>
    <s v="Infrastructure Architect"/>
    <x v="3"/>
  </r>
  <r>
    <m/>
    <x v="5"/>
    <s v="Prog. Telecomunicazioni"/>
    <s v="VARRESE"/>
    <s v="MICHAEL"/>
    <s v="  "/>
    <s v="michael.varrese@intesasanpaolo.com"/>
    <s v="BISCEGLIE (MI)"/>
    <s v="VIA BISCEGLIE, 120 - 20152 MILANO (MI)"/>
    <s v="Network Administrator"/>
    <e v="#N/A"/>
    <m/>
    <x v="0"/>
  </r>
  <r>
    <m/>
    <x v="5"/>
    <s v="Supporto Telecomunicazioni"/>
    <s v="VENTRA"/>
    <s v="NICOLA"/>
    <s v="U034788"/>
    <s v="nicola.ventra@intesasanpaolo.com"/>
    <s v="MONCALIERI (TO)"/>
    <s v="CORSO SAVONA, 58 - 10024 MONCALIERI (TO)"/>
    <s v="Network Administrator"/>
    <s v="Network Administrator"/>
    <s v="Network Administrator"/>
    <x v="0"/>
  </r>
  <r>
    <m/>
    <x v="5"/>
    <s v="Prog. Telecomunicazioni"/>
    <s v="VENTURA"/>
    <s v="CORRADO"/>
    <s v="U028156"/>
    <s v="corrado.ventura@intesasanpaolo.com"/>
    <s v="MONCALIERI (TO)"/>
    <s v="CORSO SAVONA, 58 - 10024 MONCALIERI (TO)"/>
    <s v="Project Manager "/>
    <s v="Network Administrator"/>
    <s v="Project Manager "/>
    <x v="1"/>
  </r>
  <r>
    <m/>
    <x v="5"/>
    <m/>
    <s v="VOLPI"/>
    <s v="PIERPILADE"/>
    <s v="U085957"/>
    <s v="pierpilade.volpi@intesasanpaolo.com"/>
    <s v="BISCEGLIE (MI)"/>
    <s v="VIA BISCEGLIE, 120 - 20152 MILANO (MI)"/>
    <s v="IT Process FM Specialist"/>
    <s v="IT Process FM Specialist"/>
    <s v="IT Process FM Specialist"/>
    <x v="0"/>
  </r>
  <r>
    <s v="CAPO UFFICIO"/>
    <x v="7"/>
    <m/>
    <s v="CARPI"/>
    <s v="MONICA"/>
    <s v="  "/>
    <s v="monica.carpi@intesasanpaolo.com"/>
    <s v="PARMA"/>
    <s v="VIA LANGHIRANO, 1 - PAL. C - 43100 PARMA (PR)"/>
    <s v="  "/>
    <e v="#N/A"/>
    <m/>
    <x v="0"/>
  </r>
  <r>
    <s v="COORDINATORE COA"/>
    <x v="0"/>
    <s v="Procedure Operative SIT"/>
    <s v="BONANDIN"/>
    <s v="PAOLO"/>
    <s v="U020695"/>
    <s v="paolo.bonandin@intesasanpaolo.com"/>
    <s v="MONCALIERI (TO)"/>
    <s v="CORSO SAVONA, 58 - 10024 MONCALIERI (TO)"/>
    <s v="IT Coordinator"/>
    <s v="IT Coordinator"/>
    <s v="--- CONFERMATO AS IS ---"/>
    <x v="2"/>
  </r>
  <r>
    <s v="COORDINATORE COA"/>
    <x v="0"/>
    <s v="Pianificazione e Ottimizzazione Risorse"/>
    <s v="CALABRO'"/>
    <s v="LUDOVICO"/>
    <s v="U017375"/>
    <s v="ludovico.calabro@intesasanpaolo.com"/>
    <s v="MONCALIERI (TO)"/>
    <s v="CORSO SAVONA, 58 - 10024 MONCALIERI (TO)"/>
    <s v="IT Coordinator"/>
    <s v="IT Coordinator"/>
    <s v="--- CONFERMATO AS IS ---"/>
    <x v="2"/>
  </r>
  <r>
    <s v="COORDINATORE COA"/>
    <x v="7"/>
    <s v="Tuning e Performance"/>
    <s v="MEZZOFRANCO"/>
    <s v="FRANCESCO"/>
    <s v="U024473"/>
    <s v="francesco.mezzofranco@intesasanpaolo.com"/>
    <s v="MONCALIERI (TO)"/>
    <s v="CORSO SAVONA, 58 - 10024 MONCALIERI (TO)"/>
    <s v="IT Coordinator"/>
    <s v="System Administrator"/>
    <s v="--- CONFERMATO AS IS ---"/>
    <x v="2"/>
  </r>
  <r>
    <s v="COORDINATORE COA"/>
    <x v="7"/>
    <s v="Change Mgmt e Orchestrazione Servizi"/>
    <s v="PADOVANI"/>
    <s v="GIULIO"/>
    <s v="U086398"/>
    <s v="giulio.padovani@intesasanpaolo.com"/>
    <s v="PARMA"/>
    <s v="VIA LANGHIRANO, 1 - PAL. C - 43100 PARMA (PR)"/>
    <s v="IT Coordinator"/>
    <s v="Project Manager"/>
    <s v="--- CONFERMATO AS IS ---"/>
    <x v="2"/>
  </r>
  <r>
    <m/>
    <x v="7"/>
    <s v="Tuning e Performance"/>
    <s v="ACCARINO"/>
    <s v="ANTONIO"/>
    <s v="U076138"/>
    <s v="antonio.accarino@intesasanpaolo.com"/>
    <s v="NAPOLI"/>
    <s v="VIA G. MARCONI, 15 - 80125 NAPOLI (NA)"/>
    <s v="Capacity &amp; Availability Specialist"/>
    <s v="Data Base Administrator"/>
    <s v="--- CONFERMATO AS IS ---"/>
    <x v="2"/>
  </r>
  <r>
    <m/>
    <x v="0"/>
    <s v="Procedure Operative SIT"/>
    <s v="ALLOCCO"/>
    <s v="GIOVANNI"/>
    <s v="U011258"/>
    <s v="giovanni.allocco@intesasanpaolo.com"/>
    <s v="MONCALIERI (TO)"/>
    <s v="CORSO SAVONA, 58 - 10024 MONCALIERI (TO)"/>
    <s v="IT Process FM Specialist"/>
    <s v="System Administrator"/>
    <s v="--- CONFERMATO AS IS ---"/>
    <x v="2"/>
  </r>
  <r>
    <m/>
    <x v="0"/>
    <s v="Procedure Operative SIT"/>
    <s v="ANDRIONE"/>
    <s v="AGNESE LIDIA"/>
    <s v="U011038"/>
    <s v="agnese.andrione@intesasanpaolo.com"/>
    <s v="MONCALIERI (TO)"/>
    <s v="CORSO SAVONA, 58 - 10024 MONCALIERI (TO)"/>
    <s v="IT Process FM Specialist"/>
    <s v="IT Process FM Specialist"/>
    <s v="--- CONFERMATO AS IS ---"/>
    <x v="2"/>
  </r>
  <r>
    <m/>
    <x v="0"/>
    <s v="Procedure Operative SIT"/>
    <s v="APIS"/>
    <s v="LUCIANA"/>
    <s v="U086147"/>
    <s v="luciana.apis@intesasanpaolo.com"/>
    <s v="BISCEGLIE (MI)"/>
    <s v="VIA BISCEGLIE, 120 - 20152 MILANO (MI)"/>
    <s v="IT Process FM Specialist"/>
    <s v="IT Process FM Specialist"/>
    <s v="--- CONFERMATO AS IS ---"/>
    <x v="2"/>
  </r>
  <r>
    <m/>
    <x v="7"/>
    <s v="Change Mgmt e Orchestrazione Servizi"/>
    <s v="AVANZINI"/>
    <s v="LUCA"/>
    <s v="  "/>
    <s v="luca.avanzini@intesasanpaolo.com"/>
    <s v="PARMA"/>
    <s v="VIA LANGHIRANO, 1 - PAL. C - 43100 PARMA (PR)"/>
    <s v="System Administrator"/>
    <e v="#N/A"/>
    <s v="--- CONFERMATO AS IS ---"/>
    <x v="2"/>
  </r>
  <r>
    <m/>
    <x v="7"/>
    <s v="Tuning e Performance"/>
    <s v="BAGNO"/>
    <s v="LUIGI"/>
    <s v="U074484"/>
    <s v="luigi.bagno@intesasanpaolo.com"/>
    <s v="NAPOLI"/>
    <s v="VIA G. MARCONI, 15 - 80125 NAPOLI (NA)"/>
    <s v="Capacity &amp; Availability Specialist"/>
    <s v="Data Base Administrator"/>
    <s v="--- CONFERMATO AS IS ---"/>
    <x v="2"/>
  </r>
  <r>
    <m/>
    <x v="0"/>
    <s v="Pianificazione e Ottimizzazione Risorse"/>
    <s v="BOARETTO"/>
    <s v="SIMONE"/>
    <s v="  "/>
    <s v="simone.boaretto@intesasanpaolo.com"/>
    <s v="MONCALIERI (TO)"/>
    <s v="CORSO SAVONA, 58 - 10024 MONCALIERI (TO)"/>
    <s v="Capacity &amp; Availability Specialist"/>
    <e v="#N/A"/>
    <m/>
    <x v="0"/>
  </r>
  <r>
    <m/>
    <x v="0"/>
    <s v="Procedure Operative SIT"/>
    <s v="BONI"/>
    <s v="DARIO"/>
    <s v="U086307"/>
    <s v="dario.boni@intesasanpaolo.com"/>
    <s v="PARMA"/>
    <s v="VIA LANGHIRANO, 1 - PAL. C - 43100 PARMA (PR)"/>
    <s v="IT Financial Specialist"/>
    <s v="System Administrator"/>
    <s v="Infastructure Finance Expert"/>
    <x v="1"/>
  </r>
  <r>
    <m/>
    <x v="7"/>
    <s v="Tuning e Performance"/>
    <s v="CAMPANELLA"/>
    <s v="MICHELE"/>
    <s v="U077567"/>
    <s v="michele.campanella@intesasanpaolo.com"/>
    <s v="NAPOLI"/>
    <s v="VIA G. MARCONI, 15 - 80125 NAPOLI (NA)"/>
    <s v="Capacity &amp; Availability Specialist"/>
    <s v="Data Base Administrator"/>
    <s v="--- CONFERMATO AS IS ---"/>
    <x v="2"/>
  </r>
  <r>
    <m/>
    <x v="0"/>
    <s v="Procedure Operative SIT"/>
    <s v="CANGEMI"/>
    <s v="SERGIO"/>
    <s v="U077984"/>
    <s v="sergio.cangemi@intesasanpaolo.com"/>
    <s v="NAPOLI"/>
    <s v="VIA G. MARCONI, 15 - 80125 NAPOLI (NA)"/>
    <s v="IT Process FM Specialist"/>
    <s v="IT Process FM Specialist"/>
    <s v="--- CONFERMATO AS IS ---"/>
    <x v="2"/>
  </r>
  <r>
    <m/>
    <x v="7"/>
    <s v="Change Mgmt e Orchestrazione Servizi"/>
    <s v="CANTARELLI"/>
    <s v="GIAN LUCA"/>
    <s v="U086311"/>
    <s v="gianluca.cantarelli@intesasanpaolo.com"/>
    <s v="PARMA"/>
    <s v="VIA LANGHIRANO, 1 - PAL. C - 43100 PARMA (PR)"/>
    <s v="System Administrator"/>
    <s v="System Administrator"/>
    <s v="--- CONFERMATO AS IS ---"/>
    <x v="2"/>
  </r>
  <r>
    <m/>
    <x v="7"/>
    <s v="Change Mgmt e Orchestrazione Servizi"/>
    <s v="CANTONI"/>
    <s v="PAOLO"/>
    <s v="U086312"/>
    <s v="paolo.cantoni@intesasanpaolo.com"/>
    <s v="PARMA"/>
    <s v="VIA LANGHIRANO, 1 - PAL. C - 43100 PARMA (PR)"/>
    <s v="Automation Specialist"/>
    <s v="System Administrator"/>
    <s v="--- CONFERMATO AS IS ---"/>
    <x v="2"/>
  </r>
  <r>
    <m/>
    <x v="7"/>
    <s v="Change Mgmt e Orchestrazione Servizi"/>
    <s v="CAUTIERO"/>
    <s v="CONCETTA"/>
    <s v="U086173"/>
    <s v="concetta.cautiero@intesasanpaolo.com"/>
    <s v="PARMA"/>
    <s v="VIA LANGHIRANO, 1 - PAL. C - 43100 PARMA (PR)"/>
    <s v="System Administrator"/>
    <s v="System Administrator"/>
    <s v="--- CONFERMATO AS IS ---"/>
    <x v="2"/>
  </r>
  <r>
    <m/>
    <x v="7"/>
    <s v="Change Mgmt e Orchestrazione Servizi"/>
    <s v="CECI"/>
    <s v="FRANCESCO"/>
    <s v="U086327"/>
    <s v="francesco.ceci@intesasanpaolo.com"/>
    <s v="PARMA"/>
    <s v="VIA LANGHIRANO, 1 - PAL. C - 43100 PARMA (PR)"/>
    <s v="System Administrator"/>
    <s v="System Administrator"/>
    <s v="DevOps Specialist"/>
    <x v="6"/>
  </r>
  <r>
    <m/>
    <x v="0"/>
    <s v="Procedure Operative SIT"/>
    <s v="CERETTA"/>
    <s v="DANIELA MARIA"/>
    <s v="U086145"/>
    <s v="daniela.ceretta@intesasanpaolo.com"/>
    <s v="PARMA"/>
    <s v="VIA LANGHIRANO, 1 - PAL. C - 43100 PARMA (PR)"/>
    <s v="IT Financial Specialist"/>
    <s v="IT Financial Specialist"/>
    <s v="Infastructure Finance Expert"/>
    <x v="1"/>
  </r>
  <r>
    <m/>
    <x v="7"/>
    <s v="Tuning e Performance"/>
    <s v="CICCOLELLA"/>
    <s v="IGNAZIO"/>
    <s v="U076142"/>
    <s v="ignazio.ciccolella@intesasanpaolo.com"/>
    <s v="NAPOLI"/>
    <s v="VIA G. MARCONI, 15 - 80125 NAPOLI (NA)"/>
    <s v="Capacity &amp; Availability Specialist"/>
    <s v="Data Base Administrator"/>
    <s v="--- CONFERMATO AS IS ---"/>
    <x v="2"/>
  </r>
  <r>
    <m/>
    <x v="7"/>
    <s v="Tuning e Performance"/>
    <s v="CORTI"/>
    <s v="MARCO"/>
    <s v="U033469"/>
    <s v="marco.corti@intesasanpaolo.com"/>
    <s v="COMO"/>
    <s v="VIA GARIBALDI, 133/135 - 22073 FINO MORNASCO (CO)"/>
    <s v="Capacity &amp; Availability Specialist"/>
    <s v="Data Base Administrator"/>
    <m/>
    <x v="0"/>
  </r>
  <r>
    <m/>
    <x v="7"/>
    <s v="Change Mgmt e Orchestrazione Servizi"/>
    <s v="D'ANGELO"/>
    <s v="VALERIO"/>
    <s v="  "/>
    <s v="valerio.dangelo@intesasanpaolo.com"/>
    <s v="PARMA"/>
    <s v="VIA LANGHIRANO, 1 - PAL. C - 43100 PARMA (PR)"/>
    <s v="DevOps Specialist"/>
    <e v="#N/A"/>
    <s v="--- CONFERMATO AS IS ---"/>
    <x v="2"/>
  </r>
  <r>
    <m/>
    <x v="0"/>
    <s v="Procedure Operative SIT"/>
    <s v="DAVITE"/>
    <s v="VALERIA"/>
    <s v="U010897"/>
    <s v="valeria.davite@intesasanpaolo.com"/>
    <s v="MONCALIERI (TO)"/>
    <s v="CORSO SAVONA, 58 - 10024 MONCALIERI (TO)"/>
    <s v="IT Process FM Specialist"/>
    <s v="IT Process FM Specialist"/>
    <s v="--- CONFERMATO AS IS ---"/>
    <x v="2"/>
  </r>
  <r>
    <m/>
    <x v="7"/>
    <s v="Tuning e Performance"/>
    <s v="DE BARI"/>
    <s v="ANTONIO"/>
    <s v="  "/>
    <s v="antonio.debari@intesasanpaolo.com"/>
    <s v="MONCALIERI (TO)"/>
    <s v="CORSO SAVONA, 58 - 10024 MONCALIERI (TO)"/>
    <s v="System Administrator"/>
    <e v="#N/A"/>
    <s v="--- CONFERMATO AS IS ---"/>
    <x v="2"/>
  </r>
  <r>
    <m/>
    <x v="0"/>
    <s v="Procedure Operative SIT"/>
    <s v="DE CESARE"/>
    <s v="FRANCO"/>
    <s v="U018215"/>
    <s v="franco.decesare@intesasanpaolo.com"/>
    <s v="MONCALIERI (TO)"/>
    <s v="CORSO SAVONA, 58 - 10024 MONCALIERI (TO)"/>
    <s v="IT Process FM Specialist"/>
    <s v="IT Process FM Specialist"/>
    <s v="IT Process FM Specialist"/>
    <x v="0"/>
  </r>
  <r>
    <m/>
    <x v="0"/>
    <s v="Procedure Operative SIT"/>
    <s v="DE LISIO"/>
    <s v="ANTONIO"/>
    <s v="  "/>
    <s v="antonio.delisio@intesasanpaolo.com"/>
    <s v="MONCALIERI (TO)"/>
    <s v="CORSO SAVONA, 58 - 10024 MONCALIERI (TO)"/>
    <s v="IT Process FM Specialist"/>
    <e v="#N/A"/>
    <s v="Infastructure Finance Expert"/>
    <x v="1"/>
  </r>
  <r>
    <m/>
    <x v="7"/>
    <s v="Tuning e Performance"/>
    <s v="DE ROSA"/>
    <s v="MASSIMO"/>
    <s v="U021150"/>
    <s v="massimo.derosa@intesasanpaolo.com"/>
    <s v="MONCALIERI (TO)"/>
    <s v="CORSO SAVONA, 58 - 10024 MONCALIERI (TO)"/>
    <s v="test automation specialist"/>
    <s v="System Administrator"/>
    <s v="--- CONFERMATO AS IS ---"/>
    <x v="2"/>
  </r>
  <r>
    <m/>
    <x v="7"/>
    <s v="Change Mgmt e Orchestrazione Servizi"/>
    <s v="DE SIENA"/>
    <s v="ROCHY"/>
    <s v="U086344"/>
    <s v="rochy.desiena@intesasanpaolo.com"/>
    <s v="PARMA"/>
    <s v="VIA LANGHIRANO, 1 - PAL. C - 43100 PARMA (PR)"/>
    <s v="System Administrator"/>
    <s v="System Administrator"/>
    <s v="DevOps Specialist"/>
    <x v="6"/>
  </r>
  <r>
    <m/>
    <x v="7"/>
    <s v="Change Mgmt e Orchestrazione Servizi"/>
    <s v="D'ERASMO"/>
    <s v="DARIO"/>
    <s v="  "/>
    <s v="dario.derasmo@intesasanpaolo.com"/>
    <s v="PARMA"/>
    <s v="VIA LANGHIRANO, 1 - PAL. C - 43100 PARMA (PR)"/>
    <s v="Automation Specialist"/>
    <e v="#N/A"/>
    <m/>
    <x v="0"/>
  </r>
  <r>
    <m/>
    <x v="7"/>
    <s v="Change Mgmt e Orchestrazione Servizi"/>
    <s v="DUCA"/>
    <s v="LORENZO"/>
    <s v="U083742"/>
    <s v="lorenzo.duca@intesasanpaolo.com"/>
    <s v="PARMA"/>
    <s v="VIA LANGHIRANO, 1 - PAL. C - 43100 PARMA (PR)"/>
    <s v="Integration Platform Specialist"/>
    <s v="System Administrator"/>
    <m/>
    <x v="0"/>
  </r>
  <r>
    <m/>
    <x v="7"/>
    <s v="Tuning e Performance"/>
    <s v="ESPOSITO"/>
    <s v="ALFREDO"/>
    <s v="U077986"/>
    <s v="alfredo.esposito@intesasanpaolo.com"/>
    <s v="NAPOLI"/>
    <s v="VIA G. MARCONI, 15 - 80125 NAPOLI (NA)"/>
    <s v="Capacity &amp; Availability Specialist"/>
    <s v="Data Base Administrator"/>
    <m/>
    <x v="0"/>
  </r>
  <r>
    <m/>
    <x v="7"/>
    <s v="Tuning e Performance"/>
    <s v="FANTINI"/>
    <s v="FEDERICA"/>
    <s v="  "/>
    <s v="federica.fantini@intesasanpaolo.com"/>
    <s v="MONCALIERI (TO)"/>
    <s v="CORSO SAVONA, 58 - 10024 MONCALIERI (TO)"/>
    <s v="test automation specialist"/>
    <e v="#N/A"/>
    <s v="--- CONFERMATO AS IS ---"/>
    <x v="2"/>
  </r>
  <r>
    <m/>
    <x v="7"/>
    <s v="Change Mgmt e Orchestrazione Servizi"/>
    <s v="FERRARI"/>
    <s v="FRANCESCO"/>
    <s v="U086300"/>
    <s v="francesco.ferrari3@intesasanpaolo.com"/>
    <s v="PARMA"/>
    <s v="VIA LANGHIRANO, 1 - PAL. C - 43100 PARMA (PR)"/>
    <s v="Integration Platform Specialist"/>
    <s v="Project Manager"/>
    <s v="DevOps Specialist"/>
    <x v="6"/>
  </r>
  <r>
    <m/>
    <x v="7"/>
    <s v="Change Mgmt e Orchestrazione Servizi"/>
    <s v="FORTINI"/>
    <s v="FEDERICO"/>
    <s v="  "/>
    <s v="federico.fortini@intesasanpaolo.com"/>
    <s v="PARMA"/>
    <s v="VIA LANGHIRANO, 1 - PAL. C - 43100 PARMA (PR)"/>
    <s v="Automation Specialist"/>
    <e v="#N/A"/>
    <s v="DevOps Specialist"/>
    <x v="6"/>
  </r>
  <r>
    <m/>
    <x v="0"/>
    <s v="Procedure Operative SIT"/>
    <s v="FUCCI"/>
    <s v="ENZO"/>
    <s v="U024472"/>
    <s v="enzo.fucci@intesasanpaolo.com"/>
    <s v="MONCALIERI (TO)"/>
    <s v="CORSO SAVONA, 58 - 10024 MONCALIERI (TO)"/>
    <s v="IT Process FM Specialist"/>
    <s v="System Administrator"/>
    <s v="--- CONFERMATO AS IS ---"/>
    <x v="2"/>
  </r>
  <r>
    <m/>
    <x v="7"/>
    <s v="Change Mgmt e Orchestrazione Servizi"/>
    <s v="GANAZZOLI"/>
    <s v="ILARIA"/>
    <s v="U086383"/>
    <s v="ilaria.ganazzoli@intesasanpaolo.com"/>
    <s v="PARMA"/>
    <s v="VIA LANGHIRANO, 1 - PAL. C - 43100 PARMA (PR)"/>
    <s v="System Administrator"/>
    <s v="System Administrator"/>
    <m/>
    <x v="0"/>
  </r>
  <r>
    <m/>
    <x v="0"/>
    <s v="Procedure Operative SIT"/>
    <s v="GARABELLO"/>
    <s v="MONICA"/>
    <s v="U017122"/>
    <s v="monica.garabello@intesasanpaolo.com"/>
    <s v="MONCALIERI (TO)"/>
    <s v="CORSO SAVONA, 58 - 10024 MONCALIERI (TO)"/>
    <s v="Project Manager "/>
    <s v="IT Process FM Specialist"/>
    <s v="Program Manager"/>
    <x v="1"/>
  </r>
  <r>
    <m/>
    <x v="0"/>
    <s v="Procedure Operative SIT"/>
    <s v="GIACALONE"/>
    <s v="GIAMPIERO"/>
    <s v="  "/>
    <s v="giampiero.giacalone@intesasanpaolo.com"/>
    <s v="MONCALIERI (TO)"/>
    <s v="CORSO SAVONA, 58 - 10024 MONCALIERI (TO)"/>
    <s v="IT Process FM Specialist"/>
    <e v="#N/A"/>
    <s v="Software Defined Network  Specialist"/>
    <x v="3"/>
  </r>
  <r>
    <m/>
    <x v="7"/>
    <s v="Tuning e Performance"/>
    <s v="GIORDAN"/>
    <s v="MASSIMO"/>
    <s v="U020479"/>
    <s v="massimo.giordan@intesasanpaolo.com"/>
    <s v="MONCALIERI (TO)"/>
    <s v="CORSO SAVONA, 58 - 10024 MONCALIERI (TO)"/>
    <s v="System Administrator"/>
    <s v="System Administrator"/>
    <m/>
    <x v="0"/>
  </r>
  <r>
    <m/>
    <x v="7"/>
    <s v="Change Mgmt e Orchestrazione Servizi"/>
    <s v="GIOVANNINI"/>
    <s v="LUCIANO"/>
    <s v="U086283"/>
    <s v="luciano.giovannini@intesasanpaolo.com"/>
    <s v="PARMA"/>
    <s v="VIA LANGHIRANO, 1 - PAL. C - 43100 PARMA (PR)"/>
    <s v="System Administrator"/>
    <s v="System Administrator"/>
    <m/>
    <x v="0"/>
  </r>
  <r>
    <m/>
    <x v="7"/>
    <s v="Change Mgmt e Orchestrazione Servizi"/>
    <s v="LANARO"/>
    <s v="ANDREA"/>
    <s v="U086345"/>
    <s v="andrea.lanaro@intesasanpaolo.com"/>
    <s v="PARMA"/>
    <s v="VIA LANGHIRANO, 1 - PAL. C - 43100 PARMA (PR)"/>
    <s v="System Administrator"/>
    <s v="System Administrator"/>
    <m/>
    <x v="0"/>
  </r>
  <r>
    <m/>
    <x v="0"/>
    <s v="Procedure Operative SIT"/>
    <s v="LIETZ"/>
    <s v="GIUSEPPE"/>
    <s v="U074758"/>
    <s v="giuseppe.lietz@intesasanpaolo.com"/>
    <s v="NAPOLI"/>
    <s v="VIA G. MARCONI, 15 - 80125 NAPOLI (NA)"/>
    <s v="IT Process FM Specialist"/>
    <s v="IT Process FM Specialist"/>
    <s v="--- CONFERMATO AS IS ---"/>
    <x v="2"/>
  </r>
  <r>
    <m/>
    <x v="0"/>
    <s v="Procedure Operative SIT"/>
    <s v="MAERO"/>
    <s v="TIZIANA"/>
    <s v="U022899"/>
    <s v="tiziana.maero@intesasanpaolo.com"/>
    <s v="MONCALIERI (TO)"/>
    <s v="CORSO SAVONA, 58 - 10024 MONCALIERI (TO)"/>
    <s v="Project Manager "/>
    <s v="Operator"/>
    <s v="Project Manager "/>
    <x v="1"/>
  </r>
  <r>
    <m/>
    <x v="0"/>
    <s v="Pianificazione e Ottimizzazione Risorse"/>
    <s v="MASERA"/>
    <s v="FRANCO"/>
    <s v="U012140"/>
    <s v="franco.masera@intesasanpaolo.com"/>
    <s v="MONCALIERI (TO)"/>
    <s v="CORSO SAVONA, 58 - 10024 MONCALIERI (TO)"/>
    <s v="Capacity &amp; Availability Specialist"/>
    <s v="System Administrator"/>
    <s v="Capacity &amp; Availability Specialist"/>
    <x v="3"/>
  </r>
  <r>
    <m/>
    <x v="0"/>
    <s v="Pianificazione e Ottimizzazione Risorse"/>
    <s v="MASSERONI"/>
    <s v="GABRIELE"/>
    <s v="  "/>
    <s v="gabriele.masseroni@intesasanpaolo.com"/>
    <s v="MONCALIERI (TO)"/>
    <s v="CORSO SAVONA, 58 - 10024 MONCALIERI (TO)"/>
    <s v="Capacity &amp; Availability Specialist"/>
    <e v="#N/A"/>
    <m/>
    <x v="0"/>
  </r>
  <r>
    <m/>
    <x v="7"/>
    <s v="Change Mgmt e Orchestrazione Servizi"/>
    <s v="MAZZIERI"/>
    <s v="SERENA"/>
    <s v="U086288"/>
    <s v="serena.mazzieri@intesasanpaolo.com"/>
    <s v="PARMA"/>
    <s v="VIA LANGHIRANO, 1 - PAL. C - 43100 PARMA (PR)"/>
    <s v="System Administrator"/>
    <s v="System Administrator"/>
    <m/>
    <x v="0"/>
  </r>
  <r>
    <m/>
    <x v="7"/>
    <s v="Tuning e Performance"/>
    <s v="MICCOLI"/>
    <s v="ALESSIO"/>
    <s v="U017351"/>
    <s v="alessio.miccoli@intesasanpaolo.com"/>
    <s v="MONCALIERI (TO)"/>
    <s v="CORSO SAVONA, 58 - 10024 MONCALIERI (TO)"/>
    <s v="System Administrator"/>
    <s v="System Administrator"/>
    <m/>
    <x v="0"/>
  </r>
  <r>
    <m/>
    <x v="7"/>
    <s v="Tuning e Performance"/>
    <s v="MONFROGLIO"/>
    <s v="ELENA"/>
    <s v="  "/>
    <s v="elena.monfroglio@intesasanpaolo.com"/>
    <s v="MONCALIERI (TO)"/>
    <s v="CORSO SAVONA, 58 - 10024 MONCALIERI (TO)"/>
    <s v="System Administrator"/>
    <e v="#N/A"/>
    <m/>
    <x v="0"/>
  </r>
  <r>
    <m/>
    <x v="0"/>
    <s v="Pianificazione e Ottimizzazione Risorse"/>
    <s v="MONTI"/>
    <s v="FRANCO"/>
    <s v="U011431"/>
    <s v="franco.monti@intesasanpaolo.com"/>
    <s v="MONCALIERI (TO)"/>
    <s v="CORSO SAVONA, 58 - 10024 MONCALIERI (TO)"/>
    <s v="IT Process FM Specialist"/>
    <s v="IT Process FM Specialist"/>
    <s v="Capacity &amp; Availability Specialist"/>
    <x v="3"/>
  </r>
  <r>
    <m/>
    <x v="7"/>
    <s v="Change Mgmt e Orchestrazione Servizi"/>
    <s v="MOSSINI"/>
    <s v="MAURIZIO"/>
    <s v="U086363"/>
    <s v="maurizio.mossini@intesasanpaolo.com"/>
    <s v="PARMA"/>
    <s v="VIA LANGHIRANO, 1 - PAL. C - 43100 PARMA (PR)"/>
    <s v="Automation Specialist"/>
    <s v="System Administrator"/>
    <m/>
    <x v="0"/>
  </r>
  <r>
    <m/>
    <x v="7"/>
    <s v="Change Mgmt e Orchestrazione Servizi"/>
    <s v="PADOVANI"/>
    <s v="SIMONE"/>
    <s v="U086357"/>
    <s v="simone.padovani@intesasanpaolo.com"/>
    <s v="PARMA"/>
    <s v="VIA LANGHIRANO, 1 - PAL. C - 43100 PARMA (PR)"/>
    <s v="Automation Specialist"/>
    <s v="System Administrator"/>
    <s v="DevOps Specialist"/>
    <x v="6"/>
  </r>
  <r>
    <m/>
    <x v="0"/>
    <s v="Pianificazione e Ottimizzazione Risorse"/>
    <s v="PAPARO"/>
    <s v="FABIO"/>
    <s v="U046196"/>
    <s v="fabio.paparo@intesasanpaolo.com"/>
    <s v="MONCALIERI (TO)"/>
    <s v="CORSO SAVONA, 58 - 10024 MONCALIERI (TO)"/>
    <s v="System Administrator"/>
    <s v="System Administrator"/>
    <s v="Capacity &amp; Availability Specialist"/>
    <x v="3"/>
  </r>
  <r>
    <m/>
    <x v="0"/>
    <s v="Procedure Operative SIT"/>
    <s v="PAVAN"/>
    <s v="ROBERTO"/>
    <s v="U018943"/>
    <s v="roberto.pavan@intesasanpaolo.com"/>
    <s v="MONCALIERI (TO)"/>
    <s v="CORSO SAVONA, 58 - 10024 MONCALIERI (TO)"/>
    <s v="IT Financial Specialist"/>
    <s v="IT Financial Specialist"/>
    <s v="Infastructure Finance Expert"/>
    <x v="1"/>
  </r>
  <r>
    <m/>
    <x v="7"/>
    <s v="Change Mgmt e Orchestrazione Servizi"/>
    <s v="PERACCHI"/>
    <s v="ALBERTO"/>
    <s v="U086413"/>
    <s v="alberto.peracchi@intesasanpaolo.com"/>
    <s v="PARMA"/>
    <s v="VIA LANGHIRANO, 1 - PAL. C - 43100 PARMA (PR)"/>
    <s v="System Administrator"/>
    <s v="System Administrator"/>
    <m/>
    <x v="0"/>
  </r>
  <r>
    <m/>
    <x v="0"/>
    <s v="Procedure Operative SIT"/>
    <s v="PERACCHI"/>
    <s v="NADIA"/>
    <s v="U086297"/>
    <s v="nadia.peracchi@intesasanpaolo.com"/>
    <s v="PARMA"/>
    <s v="VIA LANGHIRANO, 1 - PAL. C - 43100 PARMA (PR)"/>
    <s v="IT Process FM Specialist"/>
    <s v="Project Manager"/>
    <s v="--- CONFERMATO AS IS ---"/>
    <x v="2"/>
  </r>
  <r>
    <m/>
    <x v="0"/>
    <s v="Procedure Operative SIT"/>
    <s v="POLLARA"/>
    <s v="NICOLO' MATTIA"/>
    <s v="  "/>
    <s v="nicolo.pollara@intesasanpaolo.com"/>
    <s v="MONCALIERI (TO)"/>
    <s v="CORSO SAVONA, 58 - 10024 MONCALIERI (TO)"/>
    <s v="IT Process FM Specialist"/>
    <e v="#N/A"/>
    <s v="DevOps Specialist"/>
    <x v="6"/>
  </r>
  <r>
    <m/>
    <x v="7"/>
    <s v="Change Mgmt e Orchestrazione Servizi"/>
    <s v="ROMANINI"/>
    <s v="BARBARA"/>
    <s v="U086348"/>
    <s v="barbara.romanini@intesasanpaolo.com"/>
    <s v="PARMA"/>
    <s v="VIA LANGHIRANO, 1 - PAL. C - 43100 PARMA (PR)"/>
    <s v="System Administrator"/>
    <s v="System Administrator"/>
    <m/>
    <x v="0"/>
  </r>
  <r>
    <m/>
    <x v="7"/>
    <s v="Change Mgmt e Orchestrazione Servizi"/>
    <s v="SALVIATI"/>
    <s v="ANTONIO"/>
    <s v="U086305"/>
    <s v="antonio.salviati@intesasanpaolo.com"/>
    <s v="PARMA"/>
    <s v="VIA LANGHIRANO, 1 - PAL. C - 43100 PARMA (PR)"/>
    <s v="System Administrator"/>
    <s v="System Administrator"/>
    <m/>
    <x v="0"/>
  </r>
  <r>
    <m/>
    <x v="0"/>
    <s v="Procedure Operative SIT"/>
    <s v="SANTAGATA"/>
    <s v="DONATELLA"/>
    <s v="  "/>
    <s v="donatella.santagata@intesasanpaolo.com"/>
    <s v="MONCALIERI (TO)"/>
    <s v="CORSO SAVONA, 58 - 10024 MONCALIERI (TO)"/>
    <s v="IT Process FM Specialist"/>
    <e v="#N/A"/>
    <s v="Infrastructure Data Scientist "/>
    <x v="4"/>
  </r>
  <r>
    <m/>
    <x v="7"/>
    <s v="Change Mgmt e Orchestrazione Servizi"/>
    <s v="SARTORI"/>
    <s v="ALESSANDRO"/>
    <s v="U086336"/>
    <s v="alessandro.sartori@intesasanpaolo.com"/>
    <s v="PARMA"/>
    <s v="VIA LANGHIRANO, 1 - PAL. C - 43100 PARMA (PR)"/>
    <s v="DevOps Specialist"/>
    <s v="System Administrator"/>
    <s v="it coordinator"/>
    <x v="0"/>
  </r>
  <r>
    <m/>
    <x v="0"/>
    <s v="Pianificazione e Ottimizzazione Risorse"/>
    <s v="SPINA"/>
    <s v="SERGIO"/>
    <s v="U011441"/>
    <s v="sergio.spina@intesasanpaolo.com"/>
    <s v="MONCALIERI (TO)"/>
    <s v="CORSO SAVONA, 58 - 10024 MONCALIERI (TO)"/>
    <s v="System Administrator"/>
    <s v="System Administrator"/>
    <s v="Capacity &amp; Availability Specialist"/>
    <x v="3"/>
  </r>
  <r>
    <m/>
    <x v="7"/>
    <s v="Change Mgmt e Orchestrazione Servizi"/>
    <s v="STECCONI"/>
    <s v="GIORGIO"/>
    <s v="U085921"/>
    <s v="giorgio.stecconi@intesasanpaolo.com"/>
    <s v="PARMA"/>
    <s v="VIA LANGHIRANO, 1 - PAL. C - 43100 PARMA (PR)"/>
    <s v="System Administrator"/>
    <s v="System Administrator"/>
    <m/>
    <x v="0"/>
  </r>
  <r>
    <m/>
    <x v="0"/>
    <s v="Procedure Operative SIT"/>
    <s v="TALLUTO"/>
    <s v="SALVATORE"/>
    <s v="U013562"/>
    <s v="salvatore.talluto@intesasanpaolo.com"/>
    <s v="MONCALIERI (TO)"/>
    <s v="CORSO SAVONA, 58 - 10024 MONCALIERI (TO)"/>
    <s v="IT Process FM Specialist"/>
    <s v="IT Process FM Specialist"/>
    <s v="--- CONFERMATO AS IS ---"/>
    <x v="2"/>
  </r>
  <r>
    <m/>
    <x v="7"/>
    <s v="Tuning e Performance"/>
    <s v="TERZULLI"/>
    <s v="PIERANGELO"/>
    <s v="  "/>
    <s v="pierangelo.terzulli@intesasanpaolo.com"/>
    <s v="MONCALIERI (TO)"/>
    <s v="CORSO SAVONA, 58 - 10024 MONCALIERI (TO)"/>
    <s v="System Administrator"/>
    <e v="#N/A"/>
    <m/>
    <x v="0"/>
  </r>
  <r>
    <m/>
    <x v="7"/>
    <s v="Tuning e Performance"/>
    <s v="TESTA"/>
    <s v="DANILO LUIGI"/>
    <s v="U016911"/>
    <s v="danilo.testa1@intesasanpaolo.com"/>
    <s v="MONCALIERI (TO)"/>
    <s v="CORSO SAVONA, 58 - 10024 MONCALIERI (TO)"/>
    <s v="test automation specialist"/>
    <s v="System Administrator"/>
    <s v="--- CONFERMATO AS IS ---"/>
    <x v="2"/>
  </r>
  <r>
    <m/>
    <x v="7"/>
    <s v="Change Mgmt e Orchestrazione Servizi"/>
    <s v="TIGNONSINI"/>
    <s v="MICHELE"/>
    <s v="  "/>
    <s v="michele.tignonsini@intesasanpaolo.com"/>
    <s v="PARMA"/>
    <s v="VIA LANGHIRANO, 1 - PAL. C - 43100 PARMA (PR)"/>
    <s v="Integration Platform Specialist"/>
    <e v="#N/A"/>
    <m/>
    <x v="0"/>
  </r>
  <r>
    <m/>
    <x v="7"/>
    <s v="Change Mgmt e Orchestrazione Servizi"/>
    <s v="TREVISAN"/>
    <s v="DANIELA"/>
    <s v="U086339"/>
    <s v="daniela.trevisan@intesasanpaolo.com"/>
    <s v="PARMA"/>
    <s v="VIA LANGHIRANO, 1 - PAL. C - 43100 PARMA (PR)"/>
    <s v="IT Process FM Specialist"/>
    <s v="System Administrator"/>
    <m/>
    <x v="0"/>
  </r>
  <r>
    <m/>
    <x v="7"/>
    <s v="Change Mgmt e Orchestrazione Servizi"/>
    <s v="VILLA"/>
    <s v="SERGIO"/>
    <s v="U086333"/>
    <s v="sergio.villa@intesasanpaolo.com"/>
    <s v="PARMA"/>
    <s v="VIA LANGHIRANO, 1 - PAL. C - 43100 PARMA (PR)"/>
    <s v="System Administrator"/>
    <s v="System Administrator"/>
    <m/>
    <x v="0"/>
  </r>
  <r>
    <s v="CAPO UFFICIO"/>
    <x v="4"/>
    <m/>
    <s v="BATTILANI"/>
    <s v="ALESSANDRO"/>
    <s v="  "/>
    <s v="alessandro.battilani@intesasanpaolo.com"/>
    <s v="PARMA"/>
    <s v="VIA LANGHIRANO, 1 - PAL. C - 43100 PARMA (PR)"/>
    <s v="  "/>
    <e v="#N/A"/>
    <m/>
    <x v="0"/>
  </r>
  <r>
    <s v="COORDINATORE COA"/>
    <x v="4"/>
    <s v="Gestione Operativa PR"/>
    <s v="BOTTIONI"/>
    <s v="NICOLA"/>
    <s v="U086165"/>
    <s v="nicola.bottioni@intesasanpaolo.com"/>
    <s v="PARMA"/>
    <s v="VIA LANGHIRANO, 1 - PAL. B - 43100 PARMA (PR)"/>
    <s v="IT Coordinator"/>
    <s v="IT Coordinator"/>
    <m/>
    <x v="0"/>
  </r>
  <r>
    <s v="COORDINATORE COA"/>
    <x v="7"/>
    <s v="Schedulazioni"/>
    <s v="FRANCESCHINIS"/>
    <s v="MARCO"/>
    <s v="U017352"/>
    <s v="marco.franceschinis@intesasanpaolo.com"/>
    <s v="MONCALIERI (TO)"/>
    <s v="CORSO SAVONA, 58 - 10024 MONCALIERI (TO)"/>
    <s v="IT Coordinator"/>
    <s v="IT Process FM Specialist"/>
    <s v="--- CONFERMATO AS IS ---"/>
    <x v="2"/>
  </r>
  <r>
    <s v="COORDINATORE COA"/>
    <x v="7"/>
    <s v="Gestione Ambienti di Test"/>
    <s v="GARBELLINI"/>
    <s v="MASSIMO"/>
    <s v="U035423"/>
    <s v="massimo.garbellini@intesasanpaolo.com"/>
    <s v="SARMEOLA (PD)"/>
    <s v="VIA ADIGE, 6 - SARMEOLA - 35030 RUBANO (PD)"/>
    <s v="IT Coordinator"/>
    <s v="IT Coordinator"/>
    <m/>
    <x v="0"/>
  </r>
  <r>
    <s v="COORDINATORE COA"/>
    <x v="4"/>
    <s v="Gestione Operativa TO"/>
    <s v="MORINO"/>
    <s v="MARIO"/>
    <s v="U009171"/>
    <s v="mario.morino@intesasanpaolo.com"/>
    <s v="MONCALIERI (TO)"/>
    <s v="CORSO SAVONA, 58 - 10024 MONCALIERI (TO)"/>
    <s v="IT Coordinator"/>
    <s v="IT Coordinator"/>
    <m/>
    <x v="0"/>
  </r>
  <r>
    <s v="COORDINATORE COA"/>
    <x v="4"/>
    <s v="Monitoraggio Tec e Controllo Servizi"/>
    <s v="TINAGLIA"/>
    <s v="CLAUDIO"/>
    <s v="U086407"/>
    <s v="claudio.tinaglia@intesasanpaolo.com"/>
    <s v="PARMA"/>
    <s v="VIA LANGHIRANO, 1 - PAL. B - 43100 PARMA (PR)"/>
    <s v="IT Coordinator"/>
    <s v="System Administrator"/>
    <m/>
    <x v="0"/>
  </r>
  <r>
    <s v="COORDINATORE COA"/>
    <x v="7"/>
    <s v="Metodi e processi operativi di schedulazione"/>
    <s v="ZILLI"/>
    <s v="MICHELE"/>
    <s v="U083741"/>
    <s v="michele.zilli@intesasanpaolo.com"/>
    <s v="PARMA"/>
    <s v="VIA LANGHIRANO, 1 - PAL. B - 43100 PARMA (PR)"/>
    <s v="IT Coordinator"/>
    <s v="IT Coordinator"/>
    <s v="it coordinator"/>
    <x v="0"/>
  </r>
  <r>
    <m/>
    <x v="4"/>
    <s v="Gestione Operativa TO"/>
    <s v="ALLINORO"/>
    <s v="NICOLA"/>
    <s v="U017378"/>
    <s v="nicola.allinoro@intesasanpaolo.com"/>
    <s v="MONCALIERI (TO)"/>
    <s v="CORSO SAVONA, 58 - 10024 MONCALIERI (TO)"/>
    <s v="System Administrator"/>
    <s v="System Administrator"/>
    <m/>
    <x v="0"/>
  </r>
  <r>
    <m/>
    <x v="4"/>
    <s v="Monitoraggio Tec e Controllo Servizi"/>
    <s v="ANDRIOLI"/>
    <s v="STEFANO"/>
    <s v="U028457"/>
    <s v="stefano.andrioli@intesasanpaolo.com"/>
    <s v="MONCALIERI (TO)"/>
    <s v="CORSO SAVONA, 58 - 10024 MONCALIERI (TO)"/>
    <s v="Monitoring Infrastructure engineer"/>
    <s v="System Administrator"/>
    <m/>
    <x v="0"/>
  </r>
  <r>
    <m/>
    <x v="7"/>
    <s v="Schedulazioni"/>
    <s v="AXINTE"/>
    <s v="SERGIU ANDREI"/>
    <s v="  "/>
    <s v="sergiu.axinte@intesasanpaolo.com"/>
    <s v="MONCALIERI (TO)"/>
    <s v="CORSO SAVONA, 58 - 10024 MONCALIERI (TO)"/>
    <s v="  "/>
    <e v="#N/A"/>
    <m/>
    <x v="0"/>
  </r>
  <r>
    <m/>
    <x v="4"/>
    <s v="Gestione Operativa PR"/>
    <s v="AZZALI"/>
    <s v="MASSIMO"/>
    <s v="U086201"/>
    <s v="massimo.azzali@intesasanpaolo.com"/>
    <s v="PARMA"/>
    <s v="VIA LANGHIRANO, 1 - PAL. B - 43100 PARMA (PR)"/>
    <s v="System Administrator"/>
    <s v="System Administrator"/>
    <m/>
    <x v="0"/>
  </r>
  <r>
    <m/>
    <x v="4"/>
    <s v="Gestione Operativa PR"/>
    <s v="BALZANO"/>
    <s v="FABIO"/>
    <s v="  "/>
    <s v="fabio.balzano@intesasanpaolo.com"/>
    <s v="PARMA"/>
    <s v="VIA LANGHIRANO, 1 - PAL. B - 43100 PARMA (PR)"/>
    <s v="IT Operator"/>
    <e v="#N/A"/>
    <m/>
    <x v="0"/>
  </r>
  <r>
    <m/>
    <x v="4"/>
    <s v="Gestione Operativa TO"/>
    <s v="BARDELLA"/>
    <s v="GIOVANNI"/>
    <s v="U019703"/>
    <s v="giovanni.bardella@intesasanpaolo.com"/>
    <s v="MONCALIERI (TO)"/>
    <s v="CORSO SAVONA, 58 - 10024 MONCALIERI (TO)"/>
    <s v="IT Operator"/>
    <s v="Operator"/>
    <m/>
    <x v="0"/>
  </r>
  <r>
    <m/>
    <x v="7"/>
    <s v="Schedulazioni"/>
    <s v="BARTOLI"/>
    <s v="FRANCESCO"/>
    <s v="U301161"/>
    <s v="francesco.bartoli@intesasanpaolo.com"/>
    <s v="ROMA"/>
    <s v="VIA VINCENZO LAMARO, 25 - 00173 ROMA (RM)"/>
    <s v="Scheduling Specialist"/>
    <s v="System Administrator"/>
    <m/>
    <x v="0"/>
  </r>
  <r>
    <m/>
    <x v="7"/>
    <s v="Gestione Ambienti di Test"/>
    <s v="BASSO"/>
    <s v="ENRICO MARIA"/>
    <s v="  "/>
    <s v="enrico.basso@intesasanpaolo.com"/>
    <s v="SARMEOLA (PD)"/>
    <s v="VIA ADIGE, 6 - SARMEOLA - 35030 RUBANO (PD)"/>
    <s v="System Administrator"/>
    <e v="#N/A"/>
    <m/>
    <x v="0"/>
  </r>
  <r>
    <m/>
    <x v="4"/>
    <s v="Gestione Operativa PR"/>
    <s v="BATTILOCCHI"/>
    <s v="TIZIANO"/>
    <s v="U086194"/>
    <s v="tiziano.battilocchi@intesasanpaolo.com"/>
    <s v="PARMA"/>
    <s v="VIA LANGHIRANO, 1 - PAL. B - 43100 PARMA (PR)"/>
    <s v="IT Operator"/>
    <s v="Operator"/>
    <m/>
    <x v="0"/>
  </r>
  <r>
    <m/>
    <x v="7"/>
    <s v="Schedulazioni"/>
    <s v="BAUDUCCO"/>
    <s v="MICHELA"/>
    <s v="U028056"/>
    <s v="michela.bauducco@intesasanpaolo.com"/>
    <s v="MONCALIERI (TO)"/>
    <s v="CORSO SAVONA, 58 - 10024 MONCALIERI (TO)"/>
    <s v="Scheduling Specialist"/>
    <s v="System Administrator"/>
    <m/>
    <x v="0"/>
  </r>
  <r>
    <m/>
    <x v="7"/>
    <s v="Gestione Ambienti di Test"/>
    <s v="BELLE"/>
    <s v="LORENZO"/>
    <s v="U035495"/>
    <s v="lorenzo.belle@intesasanpaolo.com"/>
    <s v="SARMEOLA (PD)"/>
    <s v="VIA ADIGE, 6 - SARMEOLA - 35030 RUBANO (PD)"/>
    <s v="System Administrator"/>
    <s v="System Administrator"/>
    <m/>
    <x v="0"/>
  </r>
  <r>
    <m/>
    <x v="4"/>
    <s v="Gestione Operativa TO"/>
    <s v="BERNARDELLI"/>
    <s v="CLAUDIO"/>
    <s v="U017349"/>
    <s v="claudio.bernardelli@intesasanpaolo.com"/>
    <s v="MONCALIERI (TO)"/>
    <s v="CORSO SAVONA, 58 - 10024 MONCALIERI (TO)"/>
    <s v="System Administrator"/>
    <s v="System Administrator"/>
    <m/>
    <x v="0"/>
  </r>
  <r>
    <m/>
    <x v="4"/>
    <s v="Monitoraggio Tec e Controllo Servizi"/>
    <s v="BERTI"/>
    <s v="BRUNO"/>
    <s v="U035876"/>
    <s v="bruno.berti@intesasanpaolo.com"/>
    <s v="SARMEOLA (PD)"/>
    <s v="VIA ADIGE, 6 - SARMEOLA - 35030 RUBANO (PD)"/>
    <s v="Monitoring Infrastructure engineer"/>
    <s v="System Administrator"/>
    <m/>
    <x v="0"/>
  </r>
  <r>
    <m/>
    <x v="7"/>
    <s v="Gestione Ambienti di Test"/>
    <s v="BETTIN"/>
    <s v="ANDREA"/>
    <s v="U035878"/>
    <s v="andrea.bettin@intesasanpaolo.com"/>
    <s v="SARMEOLA (PD)"/>
    <s v="VIA ADIGE, 6 - SARMEOLA - 35030 RUBANO (PD)"/>
    <s v="System Administrator"/>
    <s v="System Administrator"/>
    <m/>
    <x v="0"/>
  </r>
  <r>
    <m/>
    <x v="4"/>
    <s v="Gestione Operativa TO"/>
    <s v="BISCUOLA"/>
    <s v="DIEGO"/>
    <s v="U030107"/>
    <s v="diego.biscuola@intesasanpaolo.com"/>
    <s v="MONCALIERI (TO)"/>
    <s v="CORSO SAVONA, 58 - 10024 MONCALIERI (TO)"/>
    <s v="IT Operator"/>
    <s v="Operator"/>
    <m/>
    <x v="0"/>
  </r>
  <r>
    <m/>
    <x v="4"/>
    <s v="Gestione Operativa TO"/>
    <s v="BOCCHIO"/>
    <s v="PAOLO"/>
    <s v="U016443"/>
    <s v="paolo.bocchio@intesasanpaolo.com"/>
    <s v="MONCALIERI (TO)"/>
    <s v="CORSO SAVONA, 58 - 10024 MONCALIERI (TO)"/>
    <s v="System Administrator"/>
    <s v="System Administrator"/>
    <m/>
    <x v="0"/>
  </r>
  <r>
    <m/>
    <x v="7"/>
    <s v="Metodi e processi operativi di schedulazione"/>
    <s v="BORRINI"/>
    <s v="MASSIMO"/>
    <s v="U086163"/>
    <s v="massimo.borrini@intesasanpaolo.com"/>
    <s v="PARMA"/>
    <s v="VIA LANGHIRANO, 1 - PAL. B - 43100 PARMA (PR)"/>
    <s v="System Administrator"/>
    <s v="System Administrator"/>
    <m/>
    <x v="0"/>
  </r>
  <r>
    <m/>
    <x v="4"/>
    <s v="Gestione Operativa PR"/>
    <s v="BRUSEGHINI"/>
    <s v="LUCA"/>
    <s v="  "/>
    <s v="luca.bruseghini@intesasanpaolo.com"/>
    <s v="PARMA"/>
    <s v="VIA LANGHIRANO, 1 - PAL. B - 43100 PARMA (PR)"/>
    <s v="IT Operator"/>
    <e v="#N/A"/>
    <m/>
    <x v="0"/>
  </r>
  <r>
    <m/>
    <x v="7"/>
    <s v="Metodi e processi operativi di schedulazione"/>
    <s v="CALABRESE"/>
    <s v="BRUNO"/>
    <s v="U073515"/>
    <s v="bruno.calabrese@intesasanpaolo.com"/>
    <s v="NAPOLI"/>
    <s v="VIA G. MARCONI, 15 - 80125 NAPOLI (NA)"/>
    <s v="System Administrator"/>
    <s v="System Administrator"/>
    <m/>
    <x v="0"/>
  </r>
  <r>
    <m/>
    <x v="4"/>
    <s v="Gestione Operativa PR"/>
    <s v="CAPUANO"/>
    <s v="CRESCENZO"/>
    <s v="  "/>
    <s v="crescenzo.capuano@intesasanpaolo.com"/>
    <s v="PARMA"/>
    <s v="VIA LANGHIRANO, 1 - PAL. B - 43100 PARMA (PR)"/>
    <s v="IT Operator"/>
    <e v="#N/A"/>
    <m/>
    <x v="0"/>
  </r>
  <r>
    <m/>
    <x v="7"/>
    <s v="Metodi e processi operativi di schedulazione"/>
    <s v="CATALLO"/>
    <s v="GIOVANNI"/>
    <s v="  "/>
    <s v="giovanni.catallo@intesasanpaolo.com"/>
    <s v="FIRENZE"/>
    <s v="VIA CARLO MAGNO, 7 - 50127 FIRENZE (FI)"/>
    <s v="IT Operator"/>
    <e v="#N/A"/>
    <m/>
    <x v="0"/>
  </r>
  <r>
    <m/>
    <x v="4"/>
    <s v="Gestione Operativa PR"/>
    <s v="CAVALCA"/>
    <s v="DAVIDE"/>
    <s v="U086174"/>
    <s v="davide.cavalca@intesasanpaolo.com"/>
    <s v="PARMA"/>
    <s v="VIA LANGHIRANO, 1 - PAL. B - 43100 PARMA (PR)"/>
    <s v="IT Operator"/>
    <s v="Operator"/>
    <m/>
    <x v="0"/>
  </r>
  <r>
    <m/>
    <x v="7"/>
    <s v="Metodi e processi operativi di schedulazione"/>
    <s v="CAVALLI"/>
    <s v="LUCIANO"/>
    <s v="U086176"/>
    <s v="luciano.cavalli@intesasanpaolo.com"/>
    <s v="PARMA"/>
    <s v="VIA LANGHIRANO, 1 - PAL. B - 43100 PARMA (PR)"/>
    <s v="IT Operator"/>
    <s v="Operator"/>
    <m/>
    <x v="0"/>
  </r>
  <r>
    <m/>
    <x v="7"/>
    <s v="Gestione Ambienti di Test"/>
    <s v="CENTENARO"/>
    <s v="PIERGIORGIO"/>
    <s v="U035902"/>
    <s v="piergiorgio.centenaro@intesasanpaolo.com"/>
    <s v="SARMEOLA (PD)"/>
    <s v="VIA ADIGE, 6 - SARMEOLA - 35030 RUBANO (PD)"/>
    <s v="System Administrator"/>
    <s v="System Administrator"/>
    <m/>
    <x v="0"/>
  </r>
  <r>
    <m/>
    <x v="7"/>
    <s v="Schedulazioni"/>
    <s v="CHIARELLA"/>
    <s v="LUCA"/>
    <s v="  "/>
    <s v="luca.chiarella@intesasanpaolo.com"/>
    <s v="MONCALIERI (TO)"/>
    <s v="CORSO SAVONA, 58 - 10024 MONCALIERI (TO)"/>
    <s v="IT Operator"/>
    <e v="#N/A"/>
    <m/>
    <x v="0"/>
  </r>
  <r>
    <m/>
    <x v="7"/>
    <s v="Gestione Ambienti di Test"/>
    <s v="CIRIELLO"/>
    <s v="STEFANO"/>
    <s v="U035910"/>
    <s v="stefano.ciriello@intesasanpaolo.com"/>
    <s v="SARMEOLA (PD)"/>
    <s v="VIA ADIGE, 6 - SARMEOLA - 35030 RUBANO (PD)"/>
    <s v="System Administrator"/>
    <s v="System Administrator"/>
    <m/>
    <x v="0"/>
  </r>
  <r>
    <m/>
    <x v="4"/>
    <s v="Gestione Operativa PR"/>
    <s v="COMELLI"/>
    <s v="ANDREA"/>
    <s v="U086278"/>
    <s v="andrea.comelli@intesasanpaolo.com"/>
    <s v="PARMA"/>
    <s v="VIA LANGHIRANO, 1 - PAL. B - 43100 PARMA (PR)"/>
    <s v="System Administrator"/>
    <s v="System Administrator"/>
    <m/>
    <x v="0"/>
  </r>
  <r>
    <m/>
    <x v="4"/>
    <s v="Gestione Operativa TO"/>
    <s v="DE MARTINO"/>
    <s v="EMILIO"/>
    <s v="  "/>
    <s v="emilio.demartino@intesasanpaolo.com"/>
    <s v="MONCALIERI (TO)"/>
    <s v="CORSO SAVONA, 58 - 10024 MONCALIERI (TO)"/>
    <s v="IT Operator"/>
    <e v="#N/A"/>
    <m/>
    <x v="0"/>
  </r>
  <r>
    <m/>
    <x v="7"/>
    <s v="Schedulazioni"/>
    <s v="DE MARTINO"/>
    <s v="FRANCESCO"/>
    <s v="  "/>
    <s v="francesco.demartino1@intesasanpaolo.com"/>
    <s v="MONCALIERI (TO)"/>
    <s v="CORSO SAVONA, 58 - 10024 MONCALIERI (TO)"/>
    <s v="Scheduling Specialist"/>
    <e v="#N/A"/>
    <m/>
    <x v="0"/>
  </r>
  <r>
    <m/>
    <x v="7"/>
    <s v="Metodi e processi operativi di schedulazione"/>
    <s v="DELFINI"/>
    <s v="DANIELE"/>
    <s v="U086371"/>
    <s v="daniele.delfini@intesasanpaolo.com"/>
    <s v="PARMA"/>
    <s v="VIA LANGHIRANO, 1 - PAL. B - 43100 PARMA (PR)"/>
    <s v="Automation Specialist"/>
    <s v="Project Manager"/>
    <m/>
    <x v="0"/>
  </r>
  <r>
    <m/>
    <x v="7"/>
    <s v="Gestione Ambienti di Test"/>
    <s v="DELLA BELLA"/>
    <s v="ARMANDO"/>
    <s v="U086374"/>
    <s v="armando.dellabella@intesasanpaolo.com"/>
    <s v="SARMEOLA (PD)"/>
    <s v="VIA ADIGE, 6 - SARMEOLA - 35030 RUBANO (PD)"/>
    <s v="no def"/>
    <s v="no def"/>
    <m/>
    <x v="0"/>
  </r>
  <r>
    <m/>
    <x v="7"/>
    <s v="Schedulazioni"/>
    <s v="DI GIROLAMO"/>
    <s v="LUIGI"/>
    <s v="U301196"/>
    <s v="luigi.digirolamo@intesasanpaolo.com"/>
    <s v="ROMA"/>
    <s v="VIA VINCENZO LAMARO, 25 - 00173 ROMA (RM)"/>
    <s v="Scheduling Specialist"/>
    <s v="Operator"/>
    <m/>
    <x v="0"/>
  </r>
  <r>
    <m/>
    <x v="7"/>
    <s v="Metodi e processi operativi di schedulazione"/>
    <s v="DI MAIO"/>
    <s v="ROBERTO"/>
    <s v="U075440"/>
    <s v="roberto.dimaio@intesasanpaolo.com"/>
    <s v="NAPOLI"/>
    <s v="VIA G. MARCONI, 15 - 80125 NAPOLI (NA)"/>
    <s v="Project Manager "/>
    <s v="System Administrator"/>
    <m/>
    <x v="0"/>
  </r>
  <r>
    <m/>
    <x v="7"/>
    <s v="Gestione Ambienti di Test"/>
    <s v="DI MEO"/>
    <s v="STEFANO"/>
    <s v="U035922"/>
    <s v="stefano.dimeo@intesasanpaolo.com"/>
    <s v="SARMEOLA (PD)"/>
    <s v="VIA ADIGE, 6 - SARMEOLA - 35030 RUBANO (PD)"/>
    <s v="System Administrator"/>
    <s v="System Administrator"/>
    <m/>
    <x v="0"/>
  </r>
  <r>
    <m/>
    <x v="4"/>
    <s v="Gestione Operativa TO"/>
    <s v="DIMONTE"/>
    <s v="ALESSANDRO"/>
    <s v="U024529"/>
    <s v="alessandro.dimonte@intesasanpaolo.com"/>
    <s v="MONCALIERI (TO)"/>
    <s v="CORSO SAVONA, 58 - 10024 MONCALIERI (TO)"/>
    <s v="IT Operator"/>
    <s v="Operator"/>
    <m/>
    <x v="0"/>
  </r>
  <r>
    <m/>
    <x v="7"/>
    <s v="Schedulazioni"/>
    <s v="DRAGOS"/>
    <s v="GEORGE ANDREAS"/>
    <s v="  "/>
    <s v="george.dragos@intesasanpaolo.com"/>
    <s v="MONCALIERI (TO)"/>
    <s v="CORSO SAVONA, 58 - 10024 MONCALIERI (TO)"/>
    <s v="IT Operator"/>
    <e v="#N/A"/>
    <m/>
    <x v="0"/>
  </r>
  <r>
    <m/>
    <x v="4"/>
    <s v="Monitoraggio Tec e Controllo Servizi"/>
    <s v="ESTIENNE"/>
    <s v="LORENZO"/>
    <s v="  "/>
    <s v="lorenzo.estienne@intesasanpaolo.com"/>
    <s v="MONCALIERI (TO)"/>
    <s v="CORSO SAVONA, 58 - 10024 MONCALIERI (TO)"/>
    <s v="Monitoring Infrastructure engineer"/>
    <e v="#N/A"/>
    <m/>
    <x v="0"/>
  </r>
  <r>
    <m/>
    <x v="4"/>
    <s v="Gestione Operativa TO"/>
    <s v="FALBO"/>
    <s v="FRANCESCO"/>
    <s v="U029425"/>
    <s v="francesco.falbo@intesasanpaolo.com"/>
    <s v="MONCALIERI (TO)"/>
    <s v="CORSO SAVONA, 58 - 10024 MONCALIERI (TO)"/>
    <s v="System Administrator"/>
    <s v="System Administrator"/>
    <m/>
    <x v="0"/>
  </r>
  <r>
    <m/>
    <x v="7"/>
    <s v="Gestione Ambienti di Test"/>
    <s v="FORNER"/>
    <s v="DANIELE"/>
    <s v="U035935"/>
    <s v="daniele.forner@intesasanpaolo.com"/>
    <s v="SARMEOLA (PD)"/>
    <s v="VIA ADIGE, 6 - SARMEOLA - 35030 RUBANO (PD)"/>
    <s v="Data Base Administrator"/>
    <s v="Data Base Administrator"/>
    <m/>
    <x v="0"/>
  </r>
  <r>
    <m/>
    <x v="7"/>
    <s v="Schedulazioni"/>
    <s v="FULLI"/>
    <s v="WALTER"/>
    <s v="U301211"/>
    <s v="walter.fulli@intesasanpaolo.com"/>
    <s v="ROMA"/>
    <s v="VIA VINCENZO LAMARO, 25 - 00173 ROMA (RM)"/>
    <s v="Scheduling Specialist"/>
    <s v="Operator"/>
    <m/>
    <x v="0"/>
  </r>
  <r>
    <m/>
    <x v="4"/>
    <s v="Gestione Operativa PR"/>
    <s v="GALEOTTI"/>
    <s v="SIMONE"/>
    <s v="  "/>
    <s v="simone.galeotti@intesasanpaolo.com"/>
    <s v="PARMA"/>
    <s v="VIA LANGHIRANO, 1 - PAL. B - 43100 PARMA (PR)"/>
    <s v="IT Operator"/>
    <e v="#N/A"/>
    <m/>
    <x v="0"/>
  </r>
  <r>
    <m/>
    <x v="4"/>
    <s v="Gestione Operativa PR"/>
    <s v="GAVARINI"/>
    <s v="PIERGIORGIO"/>
    <s v="U086386"/>
    <s v="piergiorgio.gavarini@intesasanpaolo.com"/>
    <s v="PARMA"/>
    <s v="VIA LANGHIRANO, 1 - PAL. B - 43100 PARMA (PR)"/>
    <s v="IT Operator"/>
    <s v="Operator"/>
    <m/>
    <x v="0"/>
  </r>
  <r>
    <m/>
    <x v="4"/>
    <s v="Gestione Operativa PR"/>
    <s v="GHINELLI"/>
    <s v="GIORGIO"/>
    <s v="U086380"/>
    <s v="giorgio.ghinelli@intesasanpaolo.com"/>
    <s v="PARMA"/>
    <s v="VIA LANGHIRANO, 1 - PAL. B - 43100 PARMA (PR)"/>
    <s v="System Administrator"/>
    <s v="System Administrator"/>
    <m/>
    <x v="0"/>
  </r>
  <r>
    <m/>
    <x v="4"/>
    <s v="Gestione Operativa TO"/>
    <s v="GIAIMO"/>
    <s v="DANIELE"/>
    <s v="  "/>
    <s v="daniele.giaimo@intesasanpaolo.com"/>
    <s v="MONCALIERI (TO)"/>
    <s v="CORSO SAVONA, 58 - 10024 MONCALIERI (TO)"/>
    <s v="IT Operator"/>
    <e v="#N/A"/>
    <m/>
    <x v="0"/>
  </r>
  <r>
    <m/>
    <x v="7"/>
    <s v="Schedulazioni"/>
    <s v="GIARDINI"/>
    <s v="LUCIANO"/>
    <s v="U301215"/>
    <s v="luciano.giardini@intesasanpaolo.com"/>
    <s v="ROMA"/>
    <s v="VIA VINCENZO LAMARO, 25 - 00173 ROMA (RM)"/>
    <s v="IT Operator"/>
    <s v="System Administrator"/>
    <m/>
    <x v="0"/>
  </r>
  <r>
    <m/>
    <x v="7"/>
    <s v="Gestione Ambienti di Test"/>
    <s v="GIARETTA"/>
    <s v="MARIO"/>
    <s v="  "/>
    <s v="mario.giaretta@intesasanpaolo.com"/>
    <s v="SARMEOLA (PD)"/>
    <s v="VIA ADIGE, 6 - SARMEOLA - 35030 RUBANO (PD)"/>
    <s v="System Administrator"/>
    <e v="#N/A"/>
    <m/>
    <x v="0"/>
  </r>
  <r>
    <m/>
    <x v="7"/>
    <s v="Schedulazioni"/>
    <s v="GIBILISCO"/>
    <s v="SEBASTIANO"/>
    <s v="  "/>
    <s v="sebastiano.gibilisco@intesasanpaolo.com"/>
    <s v="MONCALIERI (TO)"/>
    <s v="CORSO SAVONA, 58 - 10024 MONCALIERI (TO)"/>
    <s v="IT Operator"/>
    <e v="#N/A"/>
    <m/>
    <x v="0"/>
  </r>
  <r>
    <m/>
    <x v="7"/>
    <s v="Schedulazioni"/>
    <s v="GORI"/>
    <s v="MARCO"/>
    <s v="U301217"/>
    <s v="marco.gori@intesasanpaolo.com"/>
    <s v="ROMA"/>
    <s v="VIA VINCENZO LAMARO, 25 - 00173 ROMA (RM)"/>
    <s v="Scheduling Specialist"/>
    <s v="Operator"/>
    <m/>
    <x v="0"/>
  </r>
  <r>
    <m/>
    <x v="4"/>
    <s v="Gestione Operativa PR"/>
    <s v="GORLA"/>
    <s v="DARIO"/>
    <s v="U086402"/>
    <s v="dario.gorla@intesasanpaolo.com"/>
    <s v="PARMA"/>
    <s v="VIA LANGHIRANO, 1 - PAL. B - 43100 PARMA (PR)"/>
    <s v="IT Operator"/>
    <s v="Operator"/>
    <m/>
    <x v="0"/>
  </r>
  <r>
    <m/>
    <x v="7"/>
    <s v="Metodi e processi operativi di schedulazione"/>
    <s v="GRASSI"/>
    <s v="GIULIANO"/>
    <s v="U076716"/>
    <s v="giuliano.grassi@intesasanpaolo.com"/>
    <s v="NAPOLI"/>
    <s v="VIA G. MARCONI, 15 - 80125 NAPOLI (NA)"/>
    <s v="IT Operator"/>
    <s v="Operator"/>
    <m/>
    <x v="0"/>
  </r>
  <r>
    <m/>
    <x v="7"/>
    <s v="Gestione Ambienti di Test"/>
    <s v="GUGLIELMI"/>
    <s v="LINTER"/>
    <s v="U035516"/>
    <s v="linter.guglielmi@intesasanpaolo.com"/>
    <s v="SARMEOLA (PD)"/>
    <s v="VIA ADIGE, 6 - SARMEOLA - 35030 RUBANO (PD)"/>
    <s v="System Administrator"/>
    <s v="System Administrator"/>
    <m/>
    <x v="0"/>
  </r>
  <r>
    <m/>
    <x v="7"/>
    <s v="Metodi e processi operativi di schedulazione"/>
    <s v="GUIDA"/>
    <s v="ANDREA VINCENZO"/>
    <s v="  "/>
    <s v="andrea.guida@intesasanpaolo.com"/>
    <s v="PARMA"/>
    <s v="VIA LANGHIRANO, 1 - PAL. B - 43100 PARMA (PR)"/>
    <s v="System Administrator"/>
    <e v="#N/A"/>
    <s v="Automation Specialist"/>
    <x v="4"/>
  </r>
  <r>
    <m/>
    <x v="4"/>
    <s v="Gestione Operativa PR"/>
    <s v="IACONO"/>
    <s v="ROBERTO"/>
    <s v="  "/>
    <s v="roberto.iacono@intesasanpaolo.com"/>
    <s v="PARMA"/>
    <s v="VIA LANGHIRANO, 1 - PAL. B - 43100 PARMA (PR)"/>
    <s v="IT Operator"/>
    <e v="#N/A"/>
    <m/>
    <x v="0"/>
  </r>
  <r>
    <m/>
    <x v="4"/>
    <s v="Gestione Operativa PR"/>
    <s v="IANNUZZI"/>
    <s v="TOMMASO"/>
    <s v="  "/>
    <s v="tommaso.iannuzzi@intesasanpaolo.com"/>
    <s v="PARMA"/>
    <s v="VIA LANGHIRANO, 1 - PAL. B - 43100 PARMA (PR)"/>
    <s v="IT Operator"/>
    <e v="#N/A"/>
    <m/>
    <x v="0"/>
  </r>
  <r>
    <m/>
    <x v="4"/>
    <s v="Monitoraggio Tec e Controllo Servizi"/>
    <s v="KUNTSYAK"/>
    <s v="YURIY"/>
    <s v="  "/>
    <s v="yuriy.kuntsyak@intesasanpaolo.com"/>
    <s v="PARMA"/>
    <s v="VIA LANGHIRANO, 1 - PAL. B - 43100 PARMA (PR)"/>
    <s v="Monitoring Infrastructure engineer"/>
    <e v="#N/A"/>
    <m/>
    <x v="0"/>
  </r>
  <r>
    <m/>
    <x v="4"/>
    <s v="Gestione Operativa PR"/>
    <s v="LOI"/>
    <s v="RUGGERO"/>
    <s v="U086403"/>
    <s v="ruggero.loi@intesasanpaolo.com"/>
    <s v="PARMA"/>
    <s v="VIA LANGHIRANO, 1 - PAL. B - 43100 PARMA (PR)"/>
    <s v="IT Operator"/>
    <s v="Operator"/>
    <m/>
    <x v="0"/>
  </r>
  <r>
    <m/>
    <x v="7"/>
    <s v="Gestione Ambienti di Test"/>
    <s v="LOREGGIAN"/>
    <s v="ANTONIO"/>
    <s v="U035492"/>
    <s v="antonio.loreggian@intesasanpaolo.com"/>
    <s v="SARMEOLA (PD)"/>
    <s v="VIA ADIGE, 6 - SARMEOLA - 35030 RUBANO (PD)"/>
    <s v="System Administrator"/>
    <s v="System Administrator"/>
    <m/>
    <x v="0"/>
  </r>
  <r>
    <m/>
    <x v="4"/>
    <s v="Gestione Operativa TO"/>
    <s v="LUCCO NAVEI"/>
    <s v="DONATO"/>
    <s v="U014154"/>
    <s v="donato.lucconavei@intesasanpaolo.com"/>
    <s v="MONCALIERI (TO)"/>
    <s v="CORSO SAVONA, 58 - 10024 MONCALIERI (TO)"/>
    <s v="IT Operator"/>
    <s v="Operator"/>
    <m/>
    <x v="0"/>
  </r>
  <r>
    <m/>
    <x v="4"/>
    <s v="Gestione Operativa PR"/>
    <s v="LUPI"/>
    <s v="GIACOMO"/>
    <s v="  "/>
    <s v="giacomo.lupi@intesasanpaolo.com"/>
    <s v="PARMA"/>
    <s v="VIA LANGHIRANO, 1 - PAL. B - 43100 PARMA (PR)"/>
    <s v="IT Operator"/>
    <e v="#N/A"/>
    <m/>
    <x v="0"/>
  </r>
  <r>
    <m/>
    <x v="7"/>
    <s v="Schedulazioni"/>
    <s v="MAIA"/>
    <s v="ALESSANDRO"/>
    <s v="U019266"/>
    <s v="alessandro.maia@intesasanpaolo.com"/>
    <s v="MONCALIERI (TO)"/>
    <s v="CORSO SAVONA, 58 - 10024 MONCALIERI (TO)"/>
    <s v="Scheduling Specialist"/>
    <s v="Operator"/>
    <m/>
    <x v="0"/>
  </r>
  <r>
    <m/>
    <x v="4"/>
    <s v="Gestione Operativa PR"/>
    <s v="MAINI"/>
    <s v="ALESSANDRO"/>
    <s v="  "/>
    <s v="alessandro.maini@intesasanpaolo.com"/>
    <s v="PARMA"/>
    <s v="VIA LANGHIRANO, 1 - PAL. B - 43100 PARMA (PR)"/>
    <s v="IT Operator"/>
    <e v="#N/A"/>
    <m/>
    <x v="0"/>
  </r>
  <r>
    <m/>
    <x v="4"/>
    <s v="Gestione Operativa PR"/>
    <s v="MARANZONI"/>
    <s v="PAOLO"/>
    <s v="U086356"/>
    <s v="paolo.maranzoni@intesasanpaolo.com"/>
    <s v="PARMA"/>
    <s v="VIA LANGHIRANO, 1 - PAL. B - 43100 PARMA (PR)"/>
    <s v="System Administrator"/>
    <s v="System Administrator"/>
    <m/>
    <x v="0"/>
  </r>
  <r>
    <m/>
    <x v="4"/>
    <s v="Gestione Operativa TO"/>
    <s v="MARI"/>
    <s v="VALTER"/>
    <s v="U013614"/>
    <s v="valter.mari@intesasanpaolo.com"/>
    <s v="MONCALIERI (TO)"/>
    <s v="CORSO SAVONA, 58 - 10024 MONCALIERI (TO)"/>
    <s v="System Administrator"/>
    <s v="System Administrator"/>
    <m/>
    <x v="0"/>
  </r>
  <r>
    <m/>
    <x v="7"/>
    <s v="Gestione Ambienti di Test"/>
    <s v="MARIN"/>
    <s v="MARCO"/>
    <s v="U035504"/>
    <s v="marco.marin@intesasanpaolo.com"/>
    <s v="SARMEOLA (PD)"/>
    <s v="VIA ADIGE, 6 - SARMEOLA - 35030 RUBANO (PD)"/>
    <s v="System Administrator"/>
    <s v="System Administrator"/>
    <m/>
    <x v="0"/>
  </r>
  <r>
    <m/>
    <x v="7"/>
    <s v="Schedulazioni"/>
    <s v="MARTINA"/>
    <s v="FABIO"/>
    <s v="  "/>
    <s v="fabio.martina@intesasanpaolo.com"/>
    <s v="MONCALIERI (TO)"/>
    <s v="CORSO SAVONA, 58 - 10024 MONCALIERI (TO)"/>
    <s v="IT Operator"/>
    <e v="#N/A"/>
    <m/>
    <x v="0"/>
  </r>
  <r>
    <m/>
    <x v="4"/>
    <s v="Gestione Operativa PR"/>
    <s v="MILARDI"/>
    <s v="ANGELO"/>
    <s v="  "/>
    <s v="angelo.milardi@intesasanpaolo.com"/>
    <s v="PARMA"/>
    <s v="VIA LANGHIRANO, 1 - PAL. B - 43100 PARMA (PR)"/>
    <s v="IT Operator"/>
    <e v="#N/A"/>
    <m/>
    <x v="0"/>
  </r>
  <r>
    <m/>
    <x v="7"/>
    <s v="Schedulazioni"/>
    <s v="MITTICA"/>
    <s v="GIUSEPPE"/>
    <s v="U015440"/>
    <s v="giuseppe.mittica@intesasanpaolo.com"/>
    <s v="MONCALIERI (TO)"/>
    <s v="CORSO SAVONA, 58 - 10024 MONCALIERI (TO)"/>
    <s v="Scheduling Specialist"/>
    <s v="Operator"/>
    <m/>
    <x v="0"/>
  </r>
  <r>
    <m/>
    <x v="7"/>
    <s v="Schedulazioni"/>
    <s v="MORANDO"/>
    <s v="ROBERTO"/>
    <s v="U013003"/>
    <s v="roberto.morando@intesasanpaolo.com"/>
    <s v="MONCALIERI (TO)"/>
    <s v="CORSO SAVONA, 58 - 10024 MONCALIERI (TO)"/>
    <s v="Scheduling Specialist"/>
    <s v="Operator"/>
    <m/>
    <x v="0"/>
  </r>
  <r>
    <m/>
    <x v="4"/>
    <s v="Gestione Operativa PR"/>
    <s v="MURGIA"/>
    <s v="FABIO"/>
    <s v="  "/>
    <s v="fabio.murgia@intesasanpaolo.com"/>
    <s v="PARMA"/>
    <s v="VIA LANGHIRANO, 1 - PAL. B - 43100 PARMA (PR)"/>
    <s v="IT Operator"/>
    <e v="#N/A"/>
    <m/>
    <x v="0"/>
  </r>
  <r>
    <m/>
    <x v="4"/>
    <s v="Gestione Operativa TO"/>
    <s v="MUSELLA"/>
    <s v="LIVIO"/>
    <s v="U015936"/>
    <s v="livio.musella@intesasanpaolo.com"/>
    <s v="MONCALIERI (TO)"/>
    <s v="CORSO SAVONA, 58 - 10024 MONCALIERI (TO)"/>
    <s v="IT Operator"/>
    <s v="Operator"/>
    <m/>
    <x v="0"/>
  </r>
  <r>
    <m/>
    <x v="7"/>
    <s v="Metodi e processi operativi di schedulazione"/>
    <s v="NARDUCCI"/>
    <s v="MAURO"/>
    <s v="U078582"/>
    <s v="mauro.narducci@intesasanpaolo.com"/>
    <s v="NAPOLI"/>
    <s v="VIA G. MARCONI, 15 - 80125 NAPOLI (NA)"/>
    <s v="IT Operator"/>
    <s v="Operator"/>
    <m/>
    <x v="0"/>
  </r>
  <r>
    <m/>
    <x v="4"/>
    <s v="Monitoraggio Tec e Controllo Servizi"/>
    <s v="PAGAN"/>
    <s v="RICCARDO"/>
    <s v="U036001"/>
    <s v="riccardo.pagan@intesasanpaolo.com"/>
    <s v="SARMEOLA (PD)"/>
    <s v="VIA ADIGE, 6 - SARMEOLA - 35030 RUBANO (PD)"/>
    <s v="Monitoring Infrastructure engineer"/>
    <s v="System Administrator"/>
    <m/>
    <x v="0"/>
  </r>
  <r>
    <m/>
    <x v="4"/>
    <s v="Gestione Operativa PR"/>
    <s v="PARODI"/>
    <s v="MASSIMO TOMASO"/>
    <s v="U086390"/>
    <s v="massimo.parodi@intesasanpaolo.com"/>
    <s v="PARMA"/>
    <s v="VIA LANGHIRANO, 1 - PAL. B - 43100 PARMA (PR)"/>
    <s v="IT Operator"/>
    <s v="Operator"/>
    <m/>
    <x v="0"/>
  </r>
  <r>
    <m/>
    <x v="4"/>
    <s v="Gestione Operativa PR"/>
    <s v="PELLERZI"/>
    <s v="MATTEO"/>
    <s v="U086412"/>
    <s v="matteo.pellerzi@intesasanpaolo.com"/>
    <s v="PARMA"/>
    <s v="VIA LANGHIRANO, 1 - PAL. B - 43100 PARMA (PR)"/>
    <s v="IT Operator"/>
    <s v="Operator"/>
    <m/>
    <x v="0"/>
  </r>
  <r>
    <m/>
    <x v="4"/>
    <s v="Monitoraggio Tec e Controllo Servizi"/>
    <s v="PIANTONI"/>
    <s v="LUCIANO"/>
    <s v="U017373"/>
    <s v="luciano.piantoni@intesasanpaolo.com"/>
    <s v="MONCALIERI (TO)"/>
    <s v="CORSO SAVONA, 58 - 10024 MONCALIERI (TO)"/>
    <s v="N/A"/>
    <s v="Operator"/>
    <m/>
    <x v="0"/>
  </r>
  <r>
    <m/>
    <x v="4"/>
    <s v="Gestione Operativa TO"/>
    <s v="PIAZZA"/>
    <s v="ALDO"/>
    <s v="U017376"/>
    <s v="aldo.piazza@intesasanpaolo.com"/>
    <s v="MONCALIERI (TO)"/>
    <s v="CORSO SAVONA, 58 - 10024 MONCALIERI (TO)"/>
    <s v="System Administrator"/>
    <s v="System Administrator"/>
    <m/>
    <x v="0"/>
  </r>
  <r>
    <m/>
    <x v="4"/>
    <s v="Monitoraggio Tec e Controllo Servizi"/>
    <s v="PIAZZA"/>
    <s v="MIRKO"/>
    <s v="  "/>
    <s v="mirko.piazza@intesasanpaolo.com"/>
    <s v="PARMA"/>
    <s v="VIA LANGHIRANO, 1 - PAL. B - 43100 PARMA (PR)"/>
    <s v="Monitoring Infrastructure engineer"/>
    <e v="#N/A"/>
    <m/>
    <x v="0"/>
  </r>
  <r>
    <m/>
    <x v="7"/>
    <s v="Schedulazioni"/>
    <s v="PIZZIGATI"/>
    <s v="MARCO"/>
    <s v="U020437"/>
    <s v="marco.pizzigati@intesasanpaolo.com"/>
    <s v="MONCALIERI (TO)"/>
    <s v="CORSO SAVONA, 58 - 10024 MONCALIERI (TO)"/>
    <s v="Scheduling Specialist"/>
    <s v="System Administrator"/>
    <m/>
    <x v="0"/>
  </r>
  <r>
    <m/>
    <x v="7"/>
    <s v="Schedulazioni"/>
    <s v="POMPONI"/>
    <s v="MARCO"/>
    <s v="U301253"/>
    <s v="marco.pomponi@intesasanpaolo.com"/>
    <s v="ROMA"/>
    <s v="VIA VINCENZO LAMARO, 25 - 00173 ROMA (RM)"/>
    <s v="Scheduling Specialist"/>
    <s v="System Administrator"/>
    <m/>
    <x v="0"/>
  </r>
  <r>
    <m/>
    <x v="4"/>
    <s v="Gestione Operativa PR"/>
    <s v="PONZI"/>
    <s v="FABIO"/>
    <s v="U093155"/>
    <s v="fabio.ponzi@intesasanpaolo.com"/>
    <s v="PARMA"/>
    <s v="VIA LANGHIRANO, 1 - PAL. B - 43100 PARMA (PR)"/>
    <s v="System Administrator"/>
    <s v="System Administrator"/>
    <m/>
    <x v="0"/>
  </r>
  <r>
    <m/>
    <x v="4"/>
    <s v="Gestione Operativa TO"/>
    <s v="QUATTROCOLO"/>
    <s v="CARLO"/>
    <s v="  "/>
    <s v="carlo.quattrocolo@intesasanpaolo.com"/>
    <s v="MONCALIERI (TO)"/>
    <s v="CORSO SAVONA, 58 - 10024 MONCALIERI (TO)"/>
    <s v="IT Operator"/>
    <e v="#N/A"/>
    <m/>
    <x v="0"/>
  </r>
  <r>
    <m/>
    <x v="4"/>
    <s v="Gestione Operativa TO"/>
    <s v="RACITI"/>
    <s v="ORAZIO"/>
    <s v="U028466"/>
    <s v="orazio.raciti@intesasanpaolo.com"/>
    <s v="MONCALIERI (TO)"/>
    <s v="CORSO SAVONA, 58 - 10024 MONCALIERI (TO)"/>
    <s v="IT Operator"/>
    <s v="Operator"/>
    <m/>
    <x v="0"/>
  </r>
  <r>
    <m/>
    <x v="4"/>
    <s v="Gestione Operativa PR"/>
    <s v="RAITERI"/>
    <s v="DANIELE"/>
    <s v="U086401"/>
    <s v="daniele.raiteri@intesasanpaolo.com"/>
    <s v="PARMA"/>
    <s v="VIA LANGHIRANO, 1 - PAL. B - 43100 PARMA (PR)"/>
    <s v="System Administrator"/>
    <s v="System Administrator"/>
    <m/>
    <x v="0"/>
  </r>
  <r>
    <m/>
    <x v="4"/>
    <s v="Monitoraggio Tec e Controllo Servizi"/>
    <s v="RAPITI"/>
    <s v="DENIS CHRISTIAN"/>
    <s v="  "/>
    <s v="denis.rapiti@intesasanpaolo.com"/>
    <s v="PARMA"/>
    <s v="VIA LANGHIRANO, 1 - PAL. B - 43100 PARMA (PR)"/>
    <s v="Monitoring Infrastructure engineer"/>
    <e v="#N/A"/>
    <m/>
    <x v="0"/>
  </r>
  <r>
    <m/>
    <x v="4"/>
    <s v="Gestione Operativa TO"/>
    <s v="RAVASIO"/>
    <s v="FABRIZIO"/>
    <s v="U023764"/>
    <s v="fabrizio.ravasio@intesasanpaolo.com"/>
    <s v="MONCALIERI (TO)"/>
    <s v="CORSO SAVONA, 58 - 10024 MONCALIERI (TO)"/>
    <s v="IT Operator"/>
    <s v="Operator"/>
    <m/>
    <x v="0"/>
  </r>
  <r>
    <m/>
    <x v="4"/>
    <s v="Gestione Operativa PR"/>
    <s v="ROBUSCHI"/>
    <s v="MARCO"/>
    <s v="U086422"/>
    <s v="marco.robuschi@intesasanpaolo.com"/>
    <s v="PARMA"/>
    <s v="VIA LANGHIRANO, 1 - PAL. B - 43100 PARMA (PR)"/>
    <s v="System Administrator"/>
    <s v="System Administrator"/>
    <m/>
    <x v="0"/>
  </r>
  <r>
    <m/>
    <x v="7"/>
    <s v="Metodi e processi operativi di schedulazione"/>
    <s v="ROCCA"/>
    <s v="PAOLO"/>
    <s v="U086294"/>
    <s v="paolo.rocca1@intesasanpaolo.com"/>
    <s v="PARMA"/>
    <s v="VIA LANGHIRANO, 1 - PAL. B - 43100 PARMA (PR)"/>
    <s v="System Administrator"/>
    <s v="System Administrator"/>
    <m/>
    <x v="0"/>
  </r>
  <r>
    <m/>
    <x v="4"/>
    <s v="Gestione Operativa TO"/>
    <s v="ROMEO"/>
    <s v="GABRIELE"/>
    <s v="U025470"/>
    <s v="gabriele.romeo@intesasanpaolo.com"/>
    <s v="MONCALIERI (TO)"/>
    <s v="CORSO SAVONA, 58 - 10024 MONCALIERI (TO)"/>
    <s v="System Administrator"/>
    <s v="System Administrator"/>
    <m/>
    <x v="0"/>
  </r>
  <r>
    <m/>
    <x v="4"/>
    <s v="Gestione Operativa PR"/>
    <s v="ROSSETTI"/>
    <s v="MARCO"/>
    <s v="U086424"/>
    <s v="marco.rossetti@intesasanpaolo.com"/>
    <s v="PARMA"/>
    <s v="VIA LANGHIRANO, 1 - PAL. B - 43100 PARMA (PR)"/>
    <s v="System Administrator"/>
    <s v="System Administrator"/>
    <m/>
    <x v="0"/>
  </r>
  <r>
    <m/>
    <x v="4"/>
    <s v="Gestione Operativa PR"/>
    <s v="ROTELLI"/>
    <s v="MARCELLO"/>
    <s v="U086425"/>
    <s v="marcello.rotelli@intesasanpaolo.com"/>
    <s v="PARMA"/>
    <s v="VIA LANGHIRANO, 1 - PAL. B - 43100 PARMA (PR)"/>
    <s v="System Administrator"/>
    <s v="System Administrator"/>
    <m/>
    <x v="0"/>
  </r>
  <r>
    <m/>
    <x v="4"/>
    <s v="Gestione Operativa TO"/>
    <s v="RUSSO"/>
    <s v="MAURO"/>
    <s v="U017350"/>
    <s v="mauro.russo@intesasanpaolo.com"/>
    <s v="MONCALIERI (TO)"/>
    <s v="CORSO SAVONA, 58 - 10024 MONCALIERI (TO)"/>
    <s v="System Administrator"/>
    <s v="System Administrator"/>
    <m/>
    <x v="0"/>
  </r>
  <r>
    <m/>
    <x v="4"/>
    <s v="Gestione Operativa TO"/>
    <s v="SALVINI"/>
    <s v="LUCA"/>
    <s v="U028001"/>
    <s v="luca.salvini@intesasanpaolo.com"/>
    <s v="MONCALIERI (TO)"/>
    <s v="CORSO SAVONA, 58 - 10024 MONCALIERI (TO)"/>
    <s v="IT Operator"/>
    <s v="Operator"/>
    <m/>
    <x v="0"/>
  </r>
  <r>
    <m/>
    <x v="4"/>
    <s v="Gestione Operativa TO"/>
    <s v="SAMPIETRO"/>
    <s v="LEONARDO"/>
    <s v="U010815"/>
    <s v="leonardo.sampietro@intesasanpaolo.com"/>
    <s v="MONCALIERI (TO)"/>
    <s v="CORSO SAVONA, 58 - 10024 MONCALIERI (TO)"/>
    <s v="IT Operator"/>
    <s v="Operator"/>
    <m/>
    <x v="0"/>
  </r>
  <r>
    <m/>
    <x v="7"/>
    <s v="Schedulazioni"/>
    <s v="SARDO"/>
    <s v="ANDREA"/>
    <s v="U301271"/>
    <s v="andrea.sardo@intesasanpaolo.com"/>
    <s v="ROMA"/>
    <s v="VIA VINCENZO LAMARO, 25 - 00173 ROMA (RM)"/>
    <s v="IT Operator"/>
    <s v="System Administrator"/>
    <m/>
    <x v="0"/>
  </r>
  <r>
    <m/>
    <x v="7"/>
    <s v="Metodi e processi operativi di schedulazione"/>
    <s v="SAVANI"/>
    <s v="PIERLUIGI"/>
    <s v="U083740"/>
    <s v="pierluigi.savani@intesasanpaolo.com"/>
    <s v="PARMA"/>
    <s v="VIA LANGHIRANO, 1 - PAL. B - 43100 PARMA (PR)"/>
    <s v="Automation Specialist"/>
    <s v="System Administrator"/>
    <m/>
    <x v="0"/>
  </r>
  <r>
    <m/>
    <x v="4"/>
    <s v="Gestione Operativa PR"/>
    <s v="SCACCAGLIA"/>
    <s v="LUCA"/>
    <s v="U086428"/>
    <s v="luca.scaccaglia@intesasanpaolo.com"/>
    <s v="PARMA"/>
    <s v="VIA LANGHIRANO, 1 - PAL. B - 43100 PARMA (PR)"/>
    <s v="IT Operator"/>
    <s v="Operator"/>
    <m/>
    <x v="0"/>
  </r>
  <r>
    <m/>
    <x v="4"/>
    <s v="Monitoraggio Tec e Controllo Servizi"/>
    <s v="SCARICA"/>
    <s v="EUGENIO"/>
    <s v="  "/>
    <s v="eugenio.scarica@intesasanpaolo.com"/>
    <s v="PARMA"/>
    <s v="VIA LANGHIRANO, 1 - PAL. B - 43100 PARMA (PR)"/>
    <s v="Monitoring Infrastructure engineer"/>
    <e v="#N/A"/>
    <m/>
    <x v="0"/>
  </r>
  <r>
    <m/>
    <x v="7"/>
    <s v="Schedulazioni"/>
    <s v="SCHEMBRI"/>
    <s v="ANGELO"/>
    <s v="U301273"/>
    <s v="angelo.schembri@intesasanpaolo.com"/>
    <s v="ROMA"/>
    <s v="VIA VINCENZO LAMARO, 25 - 00173 ROMA (RM)"/>
    <s v="Scheduling Specialist"/>
    <s v="Operator"/>
    <m/>
    <x v="0"/>
  </r>
  <r>
    <m/>
    <x v="7"/>
    <s v="Gestione Ambienti di Test"/>
    <s v="SCIACOVELLI"/>
    <s v="MICHELE"/>
    <s v="U035629"/>
    <s v="michele.sciacovelli@intesasanpaolo.com"/>
    <s v="SARMEOLA (PD)"/>
    <s v="VIA ADIGE, 6 - SARMEOLA - 35030 RUBANO (PD)"/>
    <s v="System Administrator"/>
    <s v="System Administrator"/>
    <m/>
    <x v="0"/>
  </r>
  <r>
    <m/>
    <x v="7"/>
    <s v="Gestione Ambienti di Test"/>
    <s v="SECCHIERO"/>
    <s v="DAMIANO"/>
    <s v="U035493"/>
    <s v="damiano.secchiero@intesasanpaolo.com"/>
    <s v="SARMEOLA (PD)"/>
    <s v="VIA ADIGE, 6 - SARMEOLA - 35030 RUBANO (PD)"/>
    <s v="System Administrator"/>
    <s v="System Administrator"/>
    <m/>
    <x v="0"/>
  </r>
  <r>
    <m/>
    <x v="4"/>
    <s v="Monitoraggio Tec e Controllo Servizi"/>
    <s v="SIMIONATO"/>
    <s v="ALESSANDRO"/>
    <s v="  "/>
    <s v="alessandro.simionato@intesasanpaolo.com"/>
    <s v="SARMEOLA (PD)"/>
    <s v="VIA ADIGE, 6 - SARMEOLA - 35030 RUBANO (PD)"/>
    <s v="Project Manager "/>
    <e v="#N/A"/>
    <m/>
    <x v="0"/>
  </r>
  <r>
    <m/>
    <x v="4"/>
    <s v="Gestione Operativa TO"/>
    <s v="SOCCI"/>
    <s v="ALBERTO"/>
    <s v="U013066"/>
    <s v="alberto.socci@intesasanpaolo.com"/>
    <s v="MONCALIERI (TO)"/>
    <s v="CORSO SAVONA, 58 - 10024 MONCALIERI (TO)"/>
    <s v="IT Operator"/>
    <s v="Operator"/>
    <m/>
    <x v="0"/>
  </r>
  <r>
    <m/>
    <x v="7"/>
    <s v="Metodi e processi operativi di schedulazione"/>
    <s v="SOMMA"/>
    <s v="ALFREDO"/>
    <s v="U073732"/>
    <s v="alfredo.somma@intesasanpaolo.com"/>
    <s v="NAPOLI"/>
    <s v="VIA G. MARCONI, 15 - 80125 NAPOLI (NA)"/>
    <s v="IT Operator"/>
    <s v="Operator"/>
    <m/>
    <x v="0"/>
  </r>
  <r>
    <m/>
    <x v="7"/>
    <s v="Schedulazioni"/>
    <s v="TEMPO"/>
    <s v="DANIELE"/>
    <s v="  "/>
    <s v="daniele.tempo@intesasanpaolo.com"/>
    <s v="MONCALIERI (TO)"/>
    <s v="CORSO SAVONA, 58 - 10024 MONCALIERI (TO)"/>
    <s v="IT Operator"/>
    <e v="#N/A"/>
    <m/>
    <x v="0"/>
  </r>
  <r>
    <m/>
    <x v="4"/>
    <s v="Gestione Operativa TO"/>
    <s v="TOLVE"/>
    <s v="OTTAVIO"/>
    <s v="U015149"/>
    <s v="ottavio.tolve@intesasanpaolo.com"/>
    <s v="MONCALIERI (TO)"/>
    <s v="CORSO SAVONA, 58 - 10024 MONCALIERI (TO)"/>
    <s v="IT Operator"/>
    <s v="Operator"/>
    <m/>
    <x v="0"/>
  </r>
  <r>
    <m/>
    <x v="4"/>
    <s v="Gestione Operativa TO"/>
    <s v="TONELLO"/>
    <s v="ALESSIO"/>
    <s v="  "/>
    <s v="alessio.tonello@intesasanpaolo.com"/>
    <s v="MONCALIERI (TO)"/>
    <s v="CORSO SAVONA, 58 - 10024 MONCALIERI (TO)"/>
    <s v="IT Operator"/>
    <e v="#N/A"/>
    <m/>
    <x v="0"/>
  </r>
  <r>
    <m/>
    <x v="4"/>
    <s v="Gestione Operativa TO"/>
    <s v="TRAFICANTE"/>
    <s v="MICHELE"/>
    <s v="U025659"/>
    <s v="michele.traficante@intesasanpaolo.com"/>
    <s v="MONCALIERI (TO)"/>
    <s v="CORSO SAVONA, 58 - 10024 MONCALIERI (TO)"/>
    <s v="IT Operator"/>
    <s v="Operator"/>
    <m/>
    <x v="0"/>
  </r>
  <r>
    <m/>
    <x v="4"/>
    <s v="Gestione Operativa PR"/>
    <s v="UBALDI"/>
    <s v="LEONARDO"/>
    <s v="U086391"/>
    <s v="leonardo.ubaldi@intesasanpaolo.com"/>
    <s v="PARMA"/>
    <s v="VIA LANGHIRANO, 1 - PAL. B - 43100 PARMA (PR)"/>
    <s v="N/A"/>
    <s v="Operator"/>
    <m/>
    <x v="0"/>
  </r>
  <r>
    <m/>
    <x v="7"/>
    <s v="Metodi e processi operativi di schedulazione"/>
    <s v="UBALDINI"/>
    <s v="LUIGI"/>
    <s v="U077880"/>
    <s v="luigi.ubaldini@intesasanpaolo.com"/>
    <s v="NAPOLI"/>
    <s v="VIA G. MARCONI, 15 - 80125 NAPOLI (NA)"/>
    <s v="System Administrator"/>
    <s v="Operator"/>
    <m/>
    <x v="0"/>
  </r>
  <r>
    <m/>
    <x v="4"/>
    <s v="Gestione Operativa TO"/>
    <s v="VALPREDA"/>
    <s v="PAOLO"/>
    <s v="  "/>
    <s v="paolo.valpreda@intesasanpaolo.com"/>
    <s v="MONCALIERI (TO)"/>
    <s v="CORSO SAVONA, 58 - 10024 MONCALIERI (TO)"/>
    <s v="IT Operator"/>
    <e v="#N/A"/>
    <m/>
    <x v="0"/>
  </r>
  <r>
    <m/>
    <x v="4"/>
    <s v="Gestione Operativa TO"/>
    <s v="VERNERO"/>
    <s v="BRUNO"/>
    <s v="U019481"/>
    <s v="bruno.vernero@intesasanpaolo.com"/>
    <s v="MONCALIERI (TO)"/>
    <s v="CORSO SAVONA, 58 - 10024 MONCALIERI (TO)"/>
    <s v="IT Operator"/>
    <s v="Operator"/>
    <m/>
    <x v="0"/>
  </r>
  <r>
    <m/>
    <x v="4"/>
    <s v="Gestione Operativa PR"/>
    <s v="VERONA"/>
    <s v="ANDREA"/>
    <s v="  "/>
    <s v="andrea.verona@intesasanpaolo.com"/>
    <s v="PARMA"/>
    <s v="VIA LANGHIRANO, 1 - PAL. B - 43100 PARMA (PR)"/>
    <s v="IT Operator"/>
    <e v="#N/A"/>
    <m/>
    <x v="0"/>
  </r>
  <r>
    <m/>
    <x v="7"/>
    <s v="Gestione Ambienti di Test"/>
    <s v="VILLA"/>
    <s v="DANIELE"/>
    <s v="U035457"/>
    <s v="daniele.villa@intesasanpaolo.com"/>
    <s v="SARMEOLA (PD)"/>
    <s v="VIA ADIGE, 6 - SARMEOLA - 35030 RUBANO (PD)"/>
    <s v="System Administrator"/>
    <s v="System Administrator"/>
    <m/>
    <x v="0"/>
  </r>
  <r>
    <m/>
    <x v="7"/>
    <s v="Schedulazioni"/>
    <s v="VINTUR"/>
    <s v="ABEL"/>
    <s v="  "/>
    <s v="abel.vintur@intesasanpaolo.com"/>
    <s v="MONCALIERI (TO)"/>
    <s v="CORSO SAVONA, 58 - 10024 MONCALIERI (TO)"/>
    <s v="IT Operator"/>
    <e v="#N/A"/>
    <m/>
    <x v="0"/>
  </r>
  <r>
    <m/>
    <x v="7"/>
    <s v="Schedulazioni"/>
    <s v="VISCUSO"/>
    <s v="ROBERTO"/>
    <s v="U301294"/>
    <s v="roberto.viscuso@intesasanpaolo.com"/>
    <s v="ROMA"/>
    <s v="VIA VINCENZO LAMARO, 25 - 00173 ROMA (RM)"/>
    <s v="Scheduling Specialist"/>
    <s v="Operator"/>
    <m/>
    <x v="0"/>
  </r>
  <r>
    <m/>
    <x v="7"/>
    <s v="Gestione Ambienti di Test"/>
    <s v="ZAMPIERI"/>
    <s v="MARIA GABRIELLA"/>
    <s v="U035353"/>
    <s v="maria.zampieri@intesasanpaolo.com"/>
    <s v="SARMEOLA (PD)"/>
    <s v="VIA ADIGE, 6 - SARMEOLA - 35030 RUBANO (PD)"/>
    <s v="System Administrator"/>
    <s v="System Administrator"/>
    <m/>
    <x v="0"/>
  </r>
  <r>
    <m/>
    <x v="7"/>
    <s v="Gestione Ambienti di Test"/>
    <s v="ZEN"/>
    <s v="ANTONIO"/>
    <s v="U035403"/>
    <s v="antonio.zen@intesasanpaolo.com"/>
    <s v="SARMEOLA (PD)"/>
    <s v="VIA ADIGE, 6 - SARMEOLA - 35030 RUBANO (PD)"/>
    <s v="System Administrator"/>
    <s v="System Administrator"/>
    <m/>
    <x v="0"/>
  </r>
  <r>
    <m/>
    <x v="7"/>
    <s v="Schedulazioni"/>
    <s v="ZOVKO"/>
    <s v="JURE"/>
    <s v="  "/>
    <s v="jure.zovko@intesasanpaolo.com"/>
    <s v="MONCALIERI (TO)"/>
    <s v="CORSO SAVONA, 58 - 10024 MONCALIERI (TO)"/>
    <s v="IT Operator"/>
    <e v="#N/A"/>
    <m/>
    <x v="0"/>
  </r>
  <r>
    <s v="CAPO UFFICIO"/>
    <x v="8"/>
    <m/>
    <s v="CAROTTI"/>
    <s v="NICOLA"/>
    <s v="U023866"/>
    <s v="nicola.carotti@intesasanpaolo.com"/>
    <s v="MONCALIERI (TO)"/>
    <s v="CORSO SAVONA, 58 - 10024 MONCALIERI (TO)"/>
    <s v="IT Coordinator"/>
    <s v="IT Coordinator"/>
    <m/>
    <x v="0"/>
  </r>
  <r>
    <s v="COORDINATORE COA"/>
    <x v="8"/>
    <s v="Servizi Cloud"/>
    <s v="BRUNO"/>
    <s v="ALESSANDRO"/>
    <s v="U363857"/>
    <s v="alessandro.bruno2@intesasanpaolo.com"/>
    <s v="MONCALIERI (TO)"/>
    <s v="CORSO SAVONA, 58 - 10024 MONCALIERI (TO)"/>
    <s v="Project Manager "/>
    <s v="Project Manager"/>
    <m/>
    <x v="0"/>
  </r>
  <r>
    <s v="COORDINATORE COA"/>
    <x v="8"/>
    <s v="Collaboration"/>
    <s v="CREA"/>
    <s v="ANDREA"/>
    <s v="U018270"/>
    <s v="andrea.crea@intesasanpaolo.com"/>
    <s v="MONCALIERI (TO)"/>
    <s v="CORSO SAVONA, 58 - 10024 MONCALIERI (TO)"/>
    <s v="IT Coordinator"/>
    <s v="IT Coordinator"/>
    <m/>
    <x v="0"/>
  </r>
  <r>
    <s v="COORDINATORE COA"/>
    <x v="8"/>
    <s v="Strumenti Gestionali SIT"/>
    <s v="PAQUOLA"/>
    <s v="GABRIELE"/>
    <s v="U018942"/>
    <s v="gabriele.paquola@intesasanpaolo.com"/>
    <s v="MONCALIERI (TO)"/>
    <s v="CORSO SAVONA, 58 - 10024 MONCALIERI (TO)"/>
    <s v="IT Coordinator"/>
    <s v="IT Coordinator"/>
    <m/>
    <x v="0"/>
  </r>
  <r>
    <m/>
    <x v="8"/>
    <s v="Collaboration"/>
    <s v="ANDREANI"/>
    <s v="RINO"/>
    <s v="U052308"/>
    <s v="rino.andreani@intesasanpaolo.com"/>
    <s v="MONCALIERI (TO)"/>
    <s v="CORSO SAVONA, 58 - 10024 MONCALIERI (TO)"/>
    <s v="Collaboration Specialist"/>
    <s v="System Administrator"/>
    <m/>
    <x v="0"/>
  </r>
  <r>
    <m/>
    <x v="8"/>
    <s v="Collaboration"/>
    <s v="BONTEMPO"/>
    <s v="ROBERTO"/>
    <s v="  "/>
    <s v="roberto.bontempo@intesasanpaolo.com"/>
    <s v="MONTEBELLUNA (TV)"/>
    <s v="VIA FELTRINA SUD, 250 - 31044 MONTEBELLUNA (TV)"/>
    <s v="IT Coordinator"/>
    <e v="#N/A"/>
    <m/>
    <x v="0"/>
  </r>
  <r>
    <m/>
    <x v="8"/>
    <s v="Collaboration"/>
    <s v="CALTAGIRONE"/>
    <s v="MARCO"/>
    <s v="  "/>
    <s v="marco.caltagirone@intesasanpaolo.com"/>
    <s v="MONCALIERI (TO)"/>
    <s v="CORSO SAVONA, 58 - 10024 MONCALIERI (TO)"/>
    <s v="Collaboration Specialist"/>
    <e v="#N/A"/>
    <m/>
    <x v="0"/>
  </r>
  <r>
    <m/>
    <x v="8"/>
    <s v="Strumenti Gestionali SIT"/>
    <s v="CATALANOTTO"/>
    <s v="SALVATORE"/>
    <s v="U015891"/>
    <s v="salvatore.catalanotto@intesasanpaolo.com"/>
    <s v="MONCALIERI (TO)"/>
    <s v="CORSO SAVONA, 58 - 10024 MONCALIERI (TO)"/>
    <s v="Infrastructure Data Scientist "/>
    <s v="System Administrator"/>
    <m/>
    <x v="0"/>
  </r>
  <r>
    <m/>
    <x v="8"/>
    <s v="Collaboration"/>
    <s v="CULCASI"/>
    <s v="ANTONIO"/>
    <s v="  "/>
    <s v="antonio.culcasi@intesasanpaolo.com"/>
    <s v="MONCALIERI (TO)"/>
    <s v="CORSO SAVONA, 58 - 10024 MONCALIERI (TO)"/>
    <s v="Collaboration Specialist"/>
    <e v="#N/A"/>
    <m/>
    <x v="0"/>
  </r>
  <r>
    <m/>
    <x v="8"/>
    <s v="Strumenti Gestionali SIT"/>
    <s v="D'ABROSCA"/>
    <s v="ANGELO"/>
    <s v="U028060"/>
    <s v="angelo.dabrosca@intesasanpaolo.com"/>
    <s v="MONCALIERI (TO)"/>
    <s v="CORSO SAVONA, 58 - 10024 MONCALIERI (TO)"/>
    <s v="System Administrator"/>
    <s v="System Administrator"/>
    <m/>
    <x v="0"/>
  </r>
  <r>
    <m/>
    <x v="8"/>
    <s v="Servizi Cloud"/>
    <s v="DE DOMENICO"/>
    <s v="SAMUELE"/>
    <s v="  "/>
    <s v="samuele.dedomenico@intesasanpaolo.com"/>
    <s v="MONCALIERI (TO)"/>
    <s v="CORSO SAVONA, 58 - 10024 MONCALIERI (TO)"/>
    <s v="Cloud Service Broker specialist"/>
    <e v="#N/A"/>
    <m/>
    <x v="0"/>
  </r>
  <r>
    <m/>
    <x v="8"/>
    <s v="Strumenti Gestionali SIT"/>
    <s v="FIORAVAZZI"/>
    <s v="MARTA"/>
    <s v="  "/>
    <s v="marta.fioravazzi@intesasanpaolo.com"/>
    <s v="MONCALIERI (TO)"/>
    <s v="CORSO SAVONA, 58 - 10024 MONCALIERI (TO)"/>
    <s v="DevOps Specialist"/>
    <e v="#N/A"/>
    <m/>
    <x v="0"/>
  </r>
  <r>
    <m/>
    <x v="8"/>
    <s v="Collaboration"/>
    <s v="FORNASIER"/>
    <s v="SANDRO"/>
    <s v="  "/>
    <s v="sandro.fornasier@intesasanpaolo.com"/>
    <s v="MONTEBELLUNA (TV)"/>
    <s v="VIA FELTRINA SUD, 250 - 31044 MONTEBELLUNA (TV)"/>
    <s v="Collaboration Specialist"/>
    <e v="#N/A"/>
    <m/>
    <x v="0"/>
  </r>
  <r>
    <m/>
    <x v="8"/>
    <s v="Collaboration"/>
    <s v="FRATELLO"/>
    <s v="YOSHIKA SERENA"/>
    <s v="  "/>
    <s v="yoshika.fratello@intesasanpaolo.com"/>
    <s v="MONCALIERI (TO)"/>
    <s v="CORSO SAVONA, 58 - 10024 MONCALIERI (TO)"/>
    <s v="Collaboration Specialist"/>
    <e v="#N/A"/>
    <m/>
    <x v="0"/>
  </r>
  <r>
    <m/>
    <x v="8"/>
    <s v="Collaboration"/>
    <s v="FUSARO"/>
    <s v="DAVIDE"/>
    <s v="  "/>
    <s v="davide.fusaro@intesasanpaolo.com"/>
    <s v="MONCALIERI (TO)"/>
    <s v="CORSO SAVONA, 58 - 10024 MONCALIERI (TO)"/>
    <s v="N/A"/>
    <e v="#N/A"/>
    <m/>
    <x v="0"/>
  </r>
  <r>
    <m/>
    <x v="8"/>
    <s v="Strumenti Gestionali SIT"/>
    <s v="GIACONE GRIVA"/>
    <s v="LUCIANO"/>
    <s v="U020735"/>
    <s v="luciano.giaconegriva@intesasanpaolo.com"/>
    <s v="MONCALIERI (TO)"/>
    <s v="CORSO SAVONA, 58 - 10024 MONCALIERI (TO)"/>
    <s v="System Administrator"/>
    <s v="System Administrator"/>
    <m/>
    <x v="0"/>
  </r>
  <r>
    <m/>
    <x v="8"/>
    <s v="Servizi Cloud"/>
    <s v="GIOMMONI"/>
    <s v="LUCA"/>
    <s v="  "/>
    <s v="luca.giommoni@intesasanpaolo.com"/>
    <s v="MONCALIERI (TO)"/>
    <s v="CORSO SAVONA, 58 - 10024 MONCALIERI (TO)"/>
    <s v="Cloud Service Broker specialist"/>
    <e v="#N/A"/>
    <m/>
    <x v="0"/>
  </r>
  <r>
    <m/>
    <x v="8"/>
    <s v="Collaboration"/>
    <s v="GIRARDI"/>
    <s v="NICOLA"/>
    <s v="  "/>
    <s v="nicola.girardi@intesasanpaolo.com"/>
    <s v="MONTEBELLUNA (TV)"/>
    <s v="VIA FELTRINA SUD, 250 - 31044 MONTEBELLUNA (TV)"/>
    <s v="Collaboration Specialist"/>
    <e v="#N/A"/>
    <m/>
    <x v="0"/>
  </r>
  <r>
    <m/>
    <x v="8"/>
    <s v="Collaboration"/>
    <s v="GRASSO"/>
    <s v="ENRICO GIUSEPPE"/>
    <s v="  "/>
    <s v="enrico.grasso@intesasanpaolo.com"/>
    <s v="MONCALIERI (TO)"/>
    <s v="CORSO SAVONA, 58 - 10024 MONCALIERI (TO)"/>
    <s v="Service Owner"/>
    <e v="#N/A"/>
    <m/>
    <x v="0"/>
  </r>
  <r>
    <m/>
    <x v="8"/>
    <s v="Strumenti Gestionali SIT"/>
    <s v="KHAN"/>
    <s v="SHARJEEL HAYAT"/>
    <s v="  "/>
    <s v="sharjeel.khan@intesasanpaolo.com"/>
    <s v="MONCALIERI (TO)"/>
    <s v="CORSO SAVONA, 58 - 10024 MONCALIERI (TO)"/>
    <s v="System Administrator"/>
    <e v="#N/A"/>
    <m/>
    <x v="0"/>
  </r>
  <r>
    <m/>
    <x v="8"/>
    <s v="Collaboration"/>
    <s v="LUISE"/>
    <s v="MARCO"/>
    <s v="  "/>
    <s v="marco.luise@intesasanpaolo.com"/>
    <s v="MONTEBELLUNA (TV)"/>
    <s v="VIA FELTRINA SUD, 250 - 31044 MONTEBELLUNA (TV)"/>
    <s v="Collaboration Specialist"/>
    <e v="#N/A"/>
    <m/>
    <x v="0"/>
  </r>
  <r>
    <m/>
    <x v="8"/>
    <s v="Strumenti Gestionali SIT"/>
    <s v="MAROCCO"/>
    <s v="SILVIA"/>
    <s v="  "/>
    <s v="silvia.marocco@intesasanpaolo.com"/>
    <s v="MONCALIERI (TO)"/>
    <s v="CORSO SAVONA, 58 - 10024 MONCALIERI (TO)"/>
    <s v="PaaS &amp; Container Specialist"/>
    <e v="#N/A"/>
    <m/>
    <x v="0"/>
  </r>
  <r>
    <m/>
    <x v="8"/>
    <s v="Strumenti Gestionali SIT"/>
    <s v="MARRA"/>
    <s v="FEDERICA"/>
    <s v="  "/>
    <s v="federica.marra@intesasanpaolo.com"/>
    <s v="MONCALIERI (TO)"/>
    <s v="CORSO SAVONA, 58 - 10024 MONCALIERI (TO)"/>
    <s v="PaaS &amp; Container Specialist"/>
    <e v="#N/A"/>
    <m/>
    <x v="0"/>
  </r>
  <r>
    <m/>
    <x v="8"/>
    <s v="Collaboration"/>
    <s v="MARSIGLIA"/>
    <s v="FULVIO"/>
    <s v="  "/>
    <s v="fulvio.marsiglia@intesasanpaolo.com"/>
    <s v="MONCALIERI (TO)"/>
    <s v="CORSO SAVONA, 58 - 10024 MONCALIERI (TO)"/>
    <s v="Collaboration Specialist"/>
    <e v="#N/A"/>
    <m/>
    <x v="0"/>
  </r>
  <r>
    <m/>
    <x v="8"/>
    <s v="Strumenti Gestionali SIT"/>
    <s v="MARTINETTO"/>
    <s v="ROBERTO"/>
    <s v="U015820"/>
    <s v="roberto.martinetto@intesasanpaolo.com"/>
    <s v="MONCALIERI (TO)"/>
    <s v="CORSO SAVONA, 58 - 10024 MONCALIERI (TO)"/>
    <s v="Infrastructure Architect"/>
    <s v="System Administrator"/>
    <m/>
    <x v="0"/>
  </r>
  <r>
    <m/>
    <x v="8"/>
    <s v="Collaboration"/>
    <s v="MASULLO"/>
    <s v="MARIANO"/>
    <s v="  "/>
    <s v="mariano.masullo@intesasanpaolo.com"/>
    <s v="MONTEBELLUNA (TV)"/>
    <s v="VIA FELTRINA SUD, 250 - 31044 MONTEBELLUNA (TV)"/>
    <s v="Service Owner"/>
    <e v="#N/A"/>
    <m/>
    <x v="0"/>
  </r>
  <r>
    <m/>
    <x v="8"/>
    <s v="Strumenti Gestionali SIT"/>
    <s v="MENCHETTI"/>
    <s v="FRANCESCO"/>
    <s v="  "/>
    <s v="francesco.menchetti@intesasanpaolo.com"/>
    <s v="MONCALIERI (TO)"/>
    <s v="CORSO SAVONA, 58 - 10024 MONCALIERI (TO)"/>
    <s v="DevOps Specialist"/>
    <e v="#N/A"/>
    <m/>
    <x v="0"/>
  </r>
  <r>
    <m/>
    <x v="8"/>
    <s v="Collaboration"/>
    <s v="MILANESIO"/>
    <s v="ENZO"/>
    <s v="  "/>
    <s v="enzo.milanesio@intesasanpaolo.com"/>
    <s v="MONCALIERI (TO)"/>
    <s v="CORSO SAVONA, 58 - 10024 MONCALIERI (TO)"/>
    <s v="N/A"/>
    <e v="#N/A"/>
    <m/>
    <x v="0"/>
  </r>
  <r>
    <m/>
    <x v="8"/>
    <s v="Collaboration"/>
    <s v="NICOLATI"/>
    <s v="ALESSANDRO"/>
    <s v="  "/>
    <s v="alessandro.nicolati@intesasanpaolo.com"/>
    <s v="MONTEBELLUNA (TV)"/>
    <s v="VIA FELTRINA SUD, 250 - 31044 MONTEBELLUNA (TV)"/>
    <s v="Collaboration Specialist"/>
    <e v="#N/A"/>
    <m/>
    <x v="0"/>
  </r>
  <r>
    <m/>
    <x v="8"/>
    <s v="Collaboration"/>
    <s v="OLIVIERO"/>
    <s v="ANDREA"/>
    <s v="U015889"/>
    <s v="andrea.oliviero@intesasanpaolo.com"/>
    <s v="MONCALIERI (TO)"/>
    <s v="CORSO SAVONA, 58 - 10024 MONCALIERI (TO)"/>
    <s v="Collaboration Specialist"/>
    <s v="System Administrator"/>
    <m/>
    <x v="0"/>
  </r>
  <r>
    <m/>
    <x v="8"/>
    <s v="Collaboration"/>
    <s v="PAVAN"/>
    <s v="FRANCESCO"/>
    <s v="  "/>
    <s v="francesco.pavan@intesasanpaolo.com"/>
    <s v="MONTEBELLUNA (TV)"/>
    <s v="VIA FELTRINA SUD, 250 - 31044 MONTEBELLUNA (TV)"/>
    <s v="Collaboration Specialist"/>
    <e v="#N/A"/>
    <m/>
    <x v="0"/>
  </r>
  <r>
    <m/>
    <x v="8"/>
    <s v="Strumenti Gestionali SIT"/>
    <s v="PECA"/>
    <s v="MARCO"/>
    <s v="U023960"/>
    <s v="marco.peca@intesasanpaolo.com"/>
    <s v="MONCALIERI (TO)"/>
    <s v="CORSO SAVONA, 58 - 10024 MONCALIERI (TO)"/>
    <s v="Service Owner"/>
    <s v="System Administrator"/>
    <m/>
    <x v="0"/>
  </r>
  <r>
    <m/>
    <x v="8"/>
    <s v="Strumenti Gestionali SIT"/>
    <s v="PUCCIO"/>
    <s v="LEANDRO"/>
    <s v="U026403"/>
    <s v="leandro.puccio@intesasanpaolo.com"/>
    <s v="MONCALIERI (TO)"/>
    <s v="CORSO SAVONA, 58 - 10024 MONCALIERI (TO)"/>
    <s v="Project Manager "/>
    <s v="System Administrator"/>
    <m/>
    <x v="0"/>
  </r>
  <r>
    <m/>
    <x v="8"/>
    <s v="Strumenti Gestionali SIT"/>
    <s v="RICHIARDI"/>
    <s v="ANDREA"/>
    <s v="  "/>
    <s v="andrea.richiardi@intesasanpaolo.com"/>
    <s v="MONCALIERI (TO)"/>
    <s v="CORSO SAVONA, 58 - 10024 MONCALIERI (TO)"/>
    <s v="Collaboration Specialist"/>
    <e v="#N/A"/>
    <m/>
    <x v="0"/>
  </r>
  <r>
    <m/>
    <x v="8"/>
    <s v="Collaboration"/>
    <s v="RUBINI"/>
    <s v="ALESSIO"/>
    <s v="  "/>
    <s v="alessio.rubini@intesasanpaolo.com"/>
    <s v="MONCALIERI (TO)"/>
    <s v="CORSO SAVONA, 58 - 10024 MONCALIERI (TO)"/>
    <s v="Collaboration Specialist"/>
    <e v="#N/A"/>
    <m/>
    <x v="0"/>
  </r>
  <r>
    <m/>
    <x v="8"/>
    <s v="Collaboration"/>
    <s v="SCIALPI"/>
    <s v="GREGORIO"/>
    <s v="U024477"/>
    <s v="gregorio.scialpi@intesasanpaolo.com"/>
    <s v="MONCALIERI (TO)"/>
    <s v="CORSO SAVONA, 58 - 10024 MONCALIERI (TO)"/>
    <s v="Infrastructure Architect"/>
    <s v="System Administrator"/>
    <m/>
    <x v="0"/>
  </r>
  <r>
    <m/>
    <x v="8"/>
    <s v="Collaboration"/>
    <s v="SUMA"/>
    <s v="ALESSIA"/>
    <s v="  "/>
    <s v="alessia.suma@intesasanpaolo.com"/>
    <s v="MONCALIERI (TO)"/>
    <s v="CORSO SAVONA, 58 - 10024 MONCALIERI (TO)"/>
    <s v="Service Owner"/>
    <e v="#N/A"/>
    <m/>
    <x v="0"/>
  </r>
  <r>
    <m/>
    <x v="8"/>
    <s v="Strumenti Gestionali SIT"/>
    <s v="VARVELLI"/>
    <s v="LORENZO"/>
    <s v="  "/>
    <s v="lorenzo.varvelli@intesasanpaolo.com"/>
    <s v="MONCALIERI (TO)"/>
    <s v="CORSO SAVONA, 58 - 10024 MONCALIERI (TO)"/>
    <s v="Infrastructure Data Scientist "/>
    <e v="#N/A"/>
    <m/>
    <x v="0"/>
  </r>
  <r>
    <m/>
    <x v="8"/>
    <s v="Servizi Cloud"/>
    <s v="VIBRATI"/>
    <s v="FEDERICO"/>
    <s v="  "/>
    <s v="federico.vibrati@intesasanpaolo.com"/>
    <s v="MONCALIERI (TO)"/>
    <s v="CORSO SAVONA, 58 - 10024 MONCALIERI (TO)"/>
    <s v="Cloud Service Broker specialist"/>
    <e v="#N/A"/>
    <m/>
    <x v="0"/>
  </r>
  <r>
    <m/>
    <x v="8"/>
    <s v="Servizi Cloud"/>
    <s v="VILLARI"/>
    <s v="GIUSEPPE"/>
    <s v="  "/>
    <s v="giuseppe.villari@intesasanpaolo.com"/>
    <s v="MONCALIERI (TO)"/>
    <s v="CORSO SAVONA, 58 - 10024 MONCALIERI (TO)"/>
    <s v="Cloud Service Broker specialist"/>
    <e v="#N/A"/>
    <m/>
    <x v="0"/>
  </r>
  <r>
    <m/>
    <x v="8"/>
    <s v="Collaboration"/>
    <s v="VINCELLI"/>
    <s v="LUCA"/>
    <s v="  "/>
    <s v="luca.vincelli@intesasanpaolo.com"/>
    <s v="MONCALIERI (TO)"/>
    <s v="CORSO SAVONA, 58 - 10024 MONCALIERI (TO)"/>
    <s v="Collaboration Specialist"/>
    <e v="#N/A"/>
    <m/>
    <x v="0"/>
  </r>
  <r>
    <m/>
    <x v="8"/>
    <s v="Strumenti Gestionali SIT"/>
    <s v="VITTONE"/>
    <s v="DAMIANO"/>
    <s v="  "/>
    <s v="damiano.vittone@intesasanpaolo.com"/>
    <s v="MONCALIERI (TO)"/>
    <s v="CORSO SAVONA, 58 - 10024 MONCALIERI (TO)"/>
    <s v="DevOps Specialist"/>
    <e v="#N/A"/>
    <m/>
    <x v="0"/>
  </r>
  <r>
    <m/>
    <x v="8"/>
    <s v="Collaboration"/>
    <s v="ZAMPINO"/>
    <s v="GIUSEPPE"/>
    <s v="  "/>
    <s v="giuseppe.zampino@intesasanpaolo.com"/>
    <s v="MONTEBELLUNA (TV)"/>
    <s v="VIA FELTRINA SUD, 250 - 31044 MONTEBELLUNA (TV)"/>
    <s v="Collaboration Specialist"/>
    <e v="#N/A"/>
    <m/>
    <x v="0"/>
  </r>
</pivotCacheRecords>
</file>

<file path=xl/pivotCache/pivotCacheRecords3.xml><?xml version="1.0" encoding="utf-8"?>
<pivotCacheRecords xmlns="http://schemas.openxmlformats.org/spreadsheetml/2006/main" xmlns:r="http://schemas.openxmlformats.org/officeDocument/2006/relationships" count="62">
  <r>
    <x v="0"/>
    <x v="0"/>
    <s v="Non applicabile_x000a_Dimissionario_x000a_Esodo/Pensionando"/>
    <m/>
    <x v="0"/>
    <x v="0"/>
  </r>
  <r>
    <x v="1"/>
    <x v="1"/>
    <s v="non in ambito"/>
    <s v="non in ambito SIT"/>
    <x v="1"/>
    <x v="1"/>
  </r>
  <r>
    <x v="1"/>
    <x v="2"/>
    <s v="non in ambito"/>
    <s v="non in ambito SIT"/>
    <x v="1"/>
    <x v="1"/>
  </r>
  <r>
    <x v="2"/>
    <x v="3"/>
    <s v="-Responsible for technical design and implementation of System integrations / API Gateway_x000a_-Troubleshooting includes working with debuggers, flow analyzers and configuration tools._x000a_-Provides guidance and implementation support to both the technical and business application teams on systems interfacing with integration platform._x000a_-Architecting and developing with SOAP and REST web services, open API and/or SOA concepts_x000a_-Lead/coordinate between onshore and offshore delivery teams"/>
    <s v="Ok da Gribaudo il 17/10/18"/>
    <x v="2"/>
    <x v="2"/>
  </r>
  <r>
    <x v="3"/>
    <x v="4"/>
    <s v="Designs, builds and maintains intelligent agents and applies them to create artificial intelligence projects, machine learning models, knowledge-based systems, probabilistic models, decision making functions and more._x000a_Understand and master the concepts and principles of machine learning, including its mathematical and heuristic aspects._x000a_Implements deep learning algorithms and interprets their results._x000a_Has expertise in neural networks and multilevel data abstraction, enabling data to be analysed and used "/>
    <m/>
    <x v="2"/>
    <x v="2"/>
  </r>
  <r>
    <x v="4"/>
    <x v="5"/>
    <s v="Design and develop solutions for increasing automation levels_x000a_Role with Ability to identify needed operational metrics. Ability to produce, develop and or deliver the capability to obtain the operational metrics leveraging automation, scripting, API’s etc."/>
    <s v="Concordato con Busnelli."/>
    <x v="3"/>
    <x v="3"/>
  </r>
  <r>
    <x v="5"/>
    <x v="6"/>
    <s v="Da esplicitare"/>
    <s v="Concordato con Busnelli."/>
    <x v="2"/>
    <x v="2"/>
  </r>
  <r>
    <x v="5"/>
    <x v="7"/>
    <s v="Da esplicitare"/>
    <s v="Concordato con Busnelli."/>
    <x v="2"/>
    <x v="2"/>
  </r>
  <r>
    <x v="5"/>
    <x v="8"/>
    <s v="Da esplicitare"/>
    <s v="Concordato con Busnelli."/>
    <x v="2"/>
    <x v="2"/>
  </r>
  <r>
    <x v="6"/>
    <x v="9"/>
    <s v="- Designing and implementing modern, scalable data architectures leveraging Hadoop, NoSQL, Apache open source and emerging technologies, covering on-premise and cloud-based deployment patterns_x000a_- Modernising analytics environments leveraging Cloud based platforms, big data technologies, including integration with existing data and analytics platforms and tools (EDWs, data integration, BI platforms etc.)_x000a_- Defining, designing and implementing data access patterns for multiple analytical and operational workloads, across on-premise and Cloud based platforms_x000a_- Creating data management solutions covering data security, data privacy, metadata management, multi-tenancy and mixed workload management across Hadoop and NoSQL platforms, spanning on-premise and Cloud based deployments"/>
    <m/>
    <x v="3"/>
    <x v="2"/>
  </r>
  <r>
    <x v="3"/>
    <x v="10"/>
    <s v="- He is responsible for working with development teams to design blockchain-based infrastructures._x000a_- Maintain the environments in which blockchain solutions can be implemented, including development, testing, and manufacturing environments; _x000a_- Maintain a continuous integration pipeline for application development and testing;_x000a_- Educate customers and internal development teams to use the elements of the designed blockchain stack._x000a_- Analyze and improve the efficiency, scalability, and stability of various system resources;"/>
    <m/>
    <x v="2"/>
    <x v="2"/>
  </r>
  <r>
    <x v="7"/>
    <x v="11"/>
    <s v="Ensure the level of service capacity and availability matches or exceeds the current and future agreed needs of the business"/>
    <m/>
    <x v="3"/>
    <x v="3"/>
  </r>
  <r>
    <x v="2"/>
    <x v="12"/>
    <s v="Referente Infrastrutturale Agile_x000a_Responsible for the management of one or more Services during all phases of the Service life cycle, including the definition of SLA targets to be agreed with the Customer(s). It also guarantees a strategy of development/maintenance of the Services in line with the Customer's needs."/>
    <s v="Ok da Pecchia, che permette anche di eliminare il ruolo &quot;Demand Manager&quot; … e informato Einaudi 17/10/18"/>
    <x v="2"/>
    <x v="2"/>
  </r>
  <r>
    <x v="8"/>
    <x v="13"/>
    <s v="- A specialist in using platforms to support the management of public, private, and hybrid cloud environments that incorporate self-service interfaces, provisioning, metering, and billing system images, and provide a degree of workload optimization through established policies._x000a_- It evaluate IT options from an economic perspective: Serve as an expert resource on the financial modeling of IT infrastructures."/>
    <m/>
    <x v="2"/>
    <x v="2"/>
  </r>
  <r>
    <x v="8"/>
    <x v="14"/>
    <s v="Cloud service broker specialists  are responsible for understanding  integration requirements between cloud services and on-premise solutions and/or other cloud services. This role is responsible for the architecture and implementation design of these integrations."/>
    <m/>
    <x v="2"/>
    <x v="2"/>
  </r>
  <r>
    <x v="9"/>
    <x v="15"/>
    <s v="Explore collaboration channels which go beyond traditional channels and enable employees to engage effectively and share ideas and knowledge_x000a_Enable innovation by empowering employees and other technology ecosystem partners and engaging them through social media and other online collaboration tools_x000a_Provide support for the establishment, nurturing and promotion of communities of practice, collaboration tools such as “activity rooms” to facilitate sharing of ideas and work among internal teams and external partners, workshops, one on one coaching, knowledge networks, etc."/>
    <m/>
    <x v="2"/>
    <x v="2"/>
  </r>
  <r>
    <x v="10"/>
    <x v="16"/>
    <s v="Management of data flows exchanged between departmental and mainframe platforms in production environments"/>
    <s v="Esplicitare maggiormente e adeguatamente la descrizione"/>
    <x v="3"/>
    <x v="2"/>
  </r>
  <r>
    <x v="10"/>
    <x v="17"/>
    <s v="Design of infrastructures and solution for data flows exchanged between departmental and mainframe platforms in production environments_x000a_Study and activation of new connections with external counterparts / companies."/>
    <s v="Esplicitare maggiormente e adeguatamente la descrizione… "/>
    <x v="3"/>
    <x v="2"/>
  </r>
  <r>
    <x v="6"/>
    <x v="18"/>
    <s v="Specialized in architectural design and engineering of Data Base products."/>
    <s v="Esplicitare maggiormente e adeguatamente la descrizione… "/>
    <x v="3"/>
    <x v="2"/>
  </r>
  <r>
    <x v="6"/>
    <x v="19"/>
    <s v="Specialized Manager of Data Base products"/>
    <s v="Concordato con Busnelli"/>
    <x v="3"/>
    <x v="2"/>
  </r>
  <r>
    <x v="11"/>
    <x v="20"/>
    <s v="Monitors delivery requests, governs service levels, assigns or negotiates priorities, contributes to the maintenance of the Delivery Services Catalogue (Ipad Portals, Cloud) plans and coordinates routine maintenance, identifies and coordinates risk management, and escalates."/>
    <m/>
    <x v="2"/>
    <x v="2"/>
  </r>
  <r>
    <x v="2"/>
    <x v="21"/>
    <s v="DevOps specialist provide skills and experience with the interdependencies of software development and IT operations, including communication, collaboration and integration between software developers and information technology professionals, to help rapidly produce software products and services."/>
    <m/>
    <x v="2"/>
    <x v="2"/>
  </r>
  <r>
    <x v="2"/>
    <x v="22"/>
    <s v="Also Release Coordinator,  new role in IT companies, whose job is to coordinate releases in pre-production (test) environments. The need for this figure comes from:_x000a_The need to reduce the &quot;gap&quot; between development and management._x000a_Increased complexity of the infrastructure, such as multiplatform applications_x000a_Increase of the frequency of releases, for example due to the use of the agile methodology_x000a_Delocalized groups, as in the case of the use of external resources or in different locations_x000a_The role of the release coordinator (also referred to as an integration coordinator) is similar to that of a flight controller who must coordinate in real time the activities of different groups to achieve a goal (landings and take-offs safely) using shared resources (space plane, flight paths, tracks and terminals)._x000a_This coordination should not be confused with the release management, which is focused on the planning of software changes with a view to their application directly on production, while the release coordinator takes care of the systematic and technical work related to the creation and release of software in the various environments."/>
    <s v="Nuovo da Busnelli"/>
    <x v="2"/>
    <x v="2"/>
  </r>
  <r>
    <x v="12"/>
    <x v="23"/>
    <s v="Da esplicitare"/>
    <s v="Nuovo da Busnelli"/>
    <x v="3"/>
    <x v="3"/>
  </r>
  <r>
    <x v="12"/>
    <x v="24"/>
    <s v="Responsible for maintaining the Disaster Recovery and Business Continuity provision, developing BC/DR plans and scenarios"/>
    <m/>
    <x v="3"/>
    <x v="3"/>
  </r>
  <r>
    <x v="2"/>
    <x v="25"/>
    <s v="Specialized in architectural design and management of Test Management tools"/>
    <s v="Nessun ruolo selezioanto nel glossario"/>
    <x v="2"/>
    <x v="2"/>
  </r>
  <r>
    <x v="11"/>
    <x v="26"/>
    <s v="To determine the logical design and information management strategies necessary to store, move and manage data in a new target state"/>
    <s v="ex Technical Architecture "/>
    <x v="2"/>
    <x v="2"/>
  </r>
  <r>
    <x v="6"/>
    <x v="27"/>
    <s v="Gather, analyze and model infrastructure data, key performance indicators,  using a broad set of analytical tools and techniques to  improve decision-making."/>
    <m/>
    <x v="3"/>
    <x v="2"/>
  </r>
  <r>
    <x v="13"/>
    <x v="28"/>
    <s v="Oversee and manage financial accounting, billing, reporting, transaction processing and control activities across IT finances_x000a_Presidiano gli aspetti economici dei principali contratti con fornitori tecnologici"/>
    <s v="Concordato con Busnelli"/>
    <x v="3"/>
    <x v="3"/>
  </r>
  <r>
    <x v="13"/>
    <x v="29"/>
    <s v="Da esplicitare"/>
    <s v="Nuovo da Busnelli"/>
    <x v="3"/>
    <x v="3"/>
  </r>
  <r>
    <x v="3"/>
    <x v="30"/>
    <s v="Has the task of designing and developing architectures and applications different from the more traditional ones, with skills in management and monitoring of services based on connected objects. "/>
    <m/>
    <x v="2"/>
    <x v="2"/>
  </r>
  <r>
    <x v="0"/>
    <x v="31"/>
    <s v="Addetto al coordinamento con estese competenze e conoscenze tecnologiche"/>
    <s v="Da esplicitare bene"/>
    <x v="0"/>
    <x v="0"/>
  </r>
  <r>
    <x v="14"/>
    <x v="32"/>
    <s v="Is responsible for the execution of all processes and operational procedures, ensuring that all services and IT infrastructures meet operational objectives. It performs and monitors the components of the infrastructure and often is specialized by platform or application"/>
    <s v="Ex IT Operator_x000a_E' un ruolo da valutare bene in quanto ci sono 139 presenze tr varie attività (UTD, TLC, ecc…)._x000a_Concordato con Busnelli"/>
    <x v="3"/>
    <x v="3"/>
  </r>
  <r>
    <x v="14"/>
    <x v="33"/>
    <s v="Da esplicitare"/>
    <s v="Concordato con Busnelli"/>
    <x v="3"/>
    <x v="3"/>
  </r>
  <r>
    <x v="11"/>
    <x v="34"/>
    <s v="Process analysis in the infrastructural field that oversees the evolution of the infrastructural operating models in terms of: infrastructural services, technological processes, matrices, RACI, risks, KPI, SLA / OLA, operational controls, reporting. They deal with declinating the guidelines or methodologies in the tools used for technological infrastructures."/>
    <s v="Concordato con Busnelli."/>
    <x v="2"/>
    <x v="2"/>
  </r>
  <r>
    <x v="11"/>
    <x v="35"/>
    <s v="Manage relationship with existing suppliers on a day to day basis including contract changes, issue and/or dispute resolution and contract termination"/>
    <m/>
    <x v="2"/>
    <x v="2"/>
  </r>
  <r>
    <x v="11"/>
    <x v="36"/>
    <s v="Design, deliver and maintain the organisation knowledge management strategy, processes and procedures to ensure relevant information is collated, recorded, organised and shared across all enterprise IT."/>
    <m/>
    <x v="2"/>
    <x v="2"/>
  </r>
  <r>
    <x v="2"/>
    <x v="37"/>
    <s v="It deals with the way mobile apps evolve (traditional apps, hybrids, instant apps) and related technologies."/>
    <s v="Da esplicitare bene"/>
    <x v="2"/>
    <x v="2"/>
  </r>
  <r>
    <x v="15"/>
    <x v="38"/>
    <s v="Responsible for infrastructure monitoring solutions design and implementation. Manage and maintain the infrastructure monitoring for environments on a day-to-day basis."/>
    <m/>
    <x v="3"/>
    <x v="3"/>
  </r>
  <r>
    <x v="11"/>
    <x v="39"/>
    <s v="Expert in all the issues of open source adoption (infrastructures, methodologies ...)"/>
    <m/>
    <x v="2"/>
    <x v="2"/>
  </r>
  <r>
    <x v="2"/>
    <x v="40"/>
    <s v="PaaS &amp; Container Specialist provides expertise in the design and implementation of PaaS solutions to extend and integrate with SaaS solutions .Architects in this role are well versed and have expertise in cloud technologies available on  Public Cloud. Responsibilities include technology assistance and coordination with other teams, ensuring that all technologies work effectively together."/>
    <m/>
    <x v="2"/>
    <x v="2"/>
  </r>
  <r>
    <x v="2"/>
    <x v="41"/>
    <s v="Test and evaluates software performances under a particular load figure._x000a_Performance testing compare test measures with benchmarks and standards with the goal of providiong to developers information useful to eliminate bottlenecks."/>
    <s v=" "/>
    <x v="2"/>
    <x v="2"/>
  </r>
  <r>
    <x v="8"/>
    <x v="42"/>
    <s v="-Serves as Cloud Solution Architect across multi domain and Technologies tower : DC/Cloud – including HA and DR topics, Network, Security, Service Management _x000a_-Defines a Cloud architecture – either for Private or Hybrid or Public Cloud based solutions - to support specific requirements and be a part of the end-to-end solution development team_x000a_-Understands how to integrate Public Cloud Providers services (IaaS/PaaS) into the overall solution framework_x000a_Partners with other solution architects to assess solution alignment to the overall architectural blueprint – E.A. including application - and drive proposal writing, solution direction, pricing and costing_x000a_-Helps define the performance goals and metrics for the proposed solution_x000a_-Understands the Total Cost of Ownership (TCO) for the solution"/>
    <m/>
    <x v="2"/>
    <x v="2"/>
  </r>
  <r>
    <x v="16"/>
    <x v="43"/>
    <s v="Identify root causes of problems (that affect IT service) and determine fix required to prevent recurrence of incidents_x000a_Minimise the impact of recurring incidents (problems that cannot be prevented)"/>
    <m/>
    <x v="3"/>
    <x v="3"/>
  </r>
  <r>
    <x v="11"/>
    <x v="44"/>
    <s v="Establish and manage a programmes across multiple areas of the organisation to deliver all activities within agreed constraints of time and quality._x000a_Contribute to accelerate the Transformation Programme_x000a_To monitor the Program performance and overall coordination_x000a_Transversal support to Transition activity, ensuring the program sustainability_x000a_Consolidation of the Programme Monitoring and Control Tools_x000a_Drafting of documentation in support of internal and external communication events."/>
    <s v="Concordato con Busnelli"/>
    <x v="2"/>
    <x v="2"/>
  </r>
  <r>
    <x v="11"/>
    <x v="45"/>
    <s v="Lead the delivery of internal and outsourced projects from project initiation to transition to operations so as to deliver projects on time and within budget and to meet the desired business objectives"/>
    <m/>
    <x v="2"/>
    <x v="2"/>
  </r>
  <r>
    <x v="14"/>
    <x v="46"/>
    <s v="Implementation, monitor and management of batch scheduling both on Host and Departmental environments._x000a_Support troubleshooting activity and evolution of instruments for batch government"/>
    <m/>
    <x v="3"/>
    <x v="3"/>
  </r>
  <r>
    <x v="17"/>
    <x v="47"/>
    <s v="Cross-cutting figure at the level of the SIT2020 programme through which to manage the issues of Security/Privacy/Legal, support for projects / construction sites of an &quot;operational&quot; type. _x000a_It will maintain contacts towards Security for the themes that will emerge within the programme and will have as main aim the change with an impact on the methodology and the approach towards the themes of Security."/>
    <m/>
    <x v="3"/>
    <x v="3"/>
  </r>
  <r>
    <x v="16"/>
    <x v="48"/>
    <s v="Provide and maintain a single source of consistent information on all IT services delivered to business_x000a_It is responsible for maintaining accurate and up-to-date information on all Services in operation within the Infrastructure and Technology Services Catalog, including the approved/issued Services ready for deployment."/>
    <s v="Ok da Busnelli"/>
    <x v="3"/>
    <x v="3"/>
  </r>
  <r>
    <x v="16"/>
    <x v="49"/>
    <s v="Each service must have a specific service owner. _x000a_The service owner is responsible for the provision of a specific IT service and is accountable to the customer for the initiation, implementation, maintenance and support of that service. _x000a_This figure is the sponsor of the execution plans, regardless of the number of groups involved in providing the service, and is responsible for ensuring that the service is delivered within the time limits and/or costs provided. _x000a_The service manager is generally not involved in the execution of individual service requests."/>
    <m/>
    <x v="3"/>
    <x v="3"/>
  </r>
  <r>
    <x v="18"/>
    <x v="50"/>
    <s v="Design built and maintain datacenter infrastructure based on Server, Storage, Network virtulization"/>
    <m/>
    <x v="2"/>
    <x v="2"/>
  </r>
  <r>
    <x v="18"/>
    <x v="51"/>
    <s v="Role specialized in virtualization of network infrastructures through main Software defined Network platform such as Cisco ACI, VmWare NSX, Brocade SDN."/>
    <m/>
    <x v="2"/>
    <x v="2"/>
  </r>
  <r>
    <x v="18"/>
    <x v="52"/>
    <s v="Infrastructure storage engineer with capabilities focus on architecting and/or deploying SDS solutions such as Dell EMC ScaleIO, Dell EMC, VxRail, NetApp Solidfire and ONTAP Select, VMware VSAN, Maxta, Hedvig, Elastifile, etc.  "/>
    <m/>
    <x v="2"/>
    <x v="2"/>
  </r>
  <r>
    <x v="14"/>
    <x v="53"/>
    <s v="Design and implement centralized infrastructures ensuring the adequacy of the technological architecture (hardware and software) to the application services, compliance with the requirements of Security, Disaster Recovery and Business Continuity, data integrity and consistency._x000a_Ensure the continuous updating of hardware and software products consistently with the technological evolution of infrastructures_x000a_Define and publish the relevant Infrastructural Strategies and Architectures_x000a_Ensure the alignment of infrastructural processes and services to the needs of the Disaster Recovery service"/>
    <s v="ex System Administrator"/>
    <x v="3"/>
    <x v="3"/>
  </r>
  <r>
    <x v="4"/>
    <x v="54"/>
    <s v="Design and architecture of network environments and telecommunication services_x000a_Scouting of products and choice of solutions/acquisition of technologies_x000a_Analysis of problem on network infrastructure malfunctions "/>
    <s v="ex System Administrator"/>
    <x v="3"/>
    <x v="3"/>
  </r>
  <r>
    <x v="19"/>
    <x v="55"/>
    <s v="Develops, maintains and implements distributed technology environments and platforms_x000a_He is responsible for evaluating new hardware / software devices and for basic distributed services_x000a_Guide the Capacity Planning processes of distributed environments_x000a_Develops, maintains and implements the Deployment infrastructure of the end user's personal endowments"/>
    <s v="ex System Administrator"/>
    <x v="3"/>
    <x v="3"/>
  </r>
  <r>
    <x v="19"/>
    <x v="56"/>
    <s v="It manages and controls the Group's technological assets and IT equipment inventories_x000a_Operatively supports the &quot;End User Operation  Specialist&quot;_x000a_Understand the user needs, evaluate solutions compatible with the company policies."/>
    <s v="Nuovo ruolo - Attuale IMAC UTD (Zatti) ex System Administrator"/>
    <x v="3"/>
    <x v="3"/>
  </r>
  <r>
    <x v="19"/>
    <x v="57"/>
    <s v="It interprets the needs of the end user, and directs them in compliance with company directives and policies._x000a_It guarantees the correct planning and execution of the activities in the territory relative to the projects of competence"/>
    <s v="Nuovo ruolo - Attuali Presidi UTD (Leoni) ex System Administrator"/>
    <x v="3"/>
    <x v="3"/>
  </r>
  <r>
    <x v="3"/>
    <x v="58"/>
    <s v="To execute the Innovation strategy of the firm and align it to the business strategy, focus the Innovation efforts in firm and make sure that the tools, people and processes are in place to drive innovation"/>
    <m/>
    <x v="2"/>
    <x v="2"/>
  </r>
  <r>
    <x v="2"/>
    <x v="59"/>
    <s v="Validate that the solutions meet quality, performance, architectural and functional requirements_x000a_Ensure that every test effort is effectively planned, monitored and executed and the core activities required by the Testing Framework are completed in a structured and consistent manner"/>
    <m/>
    <x v="2"/>
    <x v="2"/>
  </r>
  <r>
    <x v="2"/>
    <x v="60"/>
    <s v="Also release engineer,  designs and projects the infrastructural architecture concerned with the compilation, assembly, and delivery of source code into finished products or other software components. Associated with the software release life cycle,  release engineering is to software engineering as manufacturing is to an industrial process.Release engineering is the difference between manufacturing software in small teams or startups and manufacturing software in an industrial way that is repeatable, gives predictable results, and scales well. These industrial style practices not only contribute to the growth of a company but also are key factors in enabling growth. "/>
    <s v="Concordati con Carpi"/>
    <x v="2"/>
    <x v="2"/>
  </r>
  <r>
    <x v="2"/>
    <x v="61"/>
    <s v="Provides support  on the infrastructure and the tools concerned with the compilation, assembly, and delivery of source code into finished products or other software components. Associated with the software release life cycle,  release engineering is to software engineering as manufacturing is to an industrial process.Release engineering is the difference between manufacturing software in small teams or startups and manufacturing software in an industrial way that is repeatable, gives predictable results, and scales well. These industrial style practices not only contribute to the growth of a company but also are key factors in enabling growth. "/>
    <s v="Concordati con Carpi"/>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4:B14" firstHeaderRow="1" firstDataRow="1" firstDataCol="1"/>
  <pivotFields count="13">
    <pivotField compact="0" outline="0" subtotalTop="0" showAll="0"/>
    <pivotField axis="axisRow" compact="0" outline="0" subtotalTop="0" showAll="0">
      <items count="10">
        <item x="7"/>
        <item x="0"/>
        <item x="1"/>
        <item x="2"/>
        <item x="3"/>
        <item x="4"/>
        <item x="8"/>
        <item x="6"/>
        <item x="5"/>
        <item t="default"/>
      </items>
    </pivotField>
    <pivotField compact="0" outline="0" subtotalTop="0" showAll="0"/>
    <pivotField dataField="1"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howAll="0"/>
    <pivotField compact="0" outline="0" showAll="0"/>
    <pivotField compact="0" outline="0" showAll="0"/>
    <pivotField compact="0" outline="0" subtotalTop="0" showAll="0"/>
  </pivotFields>
  <rowFields count="1">
    <field x="1"/>
  </rowFields>
  <rowItems count="10">
    <i>
      <x/>
    </i>
    <i>
      <x v="1"/>
    </i>
    <i>
      <x v="2"/>
    </i>
    <i>
      <x v="3"/>
    </i>
    <i>
      <x v="4"/>
    </i>
    <i>
      <x v="5"/>
    </i>
    <i>
      <x v="6"/>
    </i>
    <i>
      <x v="7"/>
    </i>
    <i>
      <x v="8"/>
    </i>
    <i t="grand">
      <x/>
    </i>
  </rowItems>
  <colItems count="1">
    <i/>
  </colItems>
  <dataFields count="1">
    <dataField name="Count of Cogno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A4:AB12" firstHeaderRow="1" firstDataRow="1" firstDataCol="1"/>
  <pivotFields count="13">
    <pivotField subtotalTop="0" showAll="0"/>
    <pivotField subtotalTop="0" showAll="0"/>
    <pivotField subtotalTop="0" showAll="0"/>
    <pivotField dataField="1" subtotalTop="0" showAll="0"/>
    <pivotField subtotalTop="0" showAll="0"/>
    <pivotField subtotalTop="0" showAll="0"/>
    <pivotField subtotalTop="0" showAll="0"/>
    <pivotField subtotalTop="0" showAll="0"/>
    <pivotField subtotalTop="0" showAll="0"/>
    <pivotField showAll="0"/>
    <pivotField showAll="0"/>
    <pivotField showAll="0"/>
    <pivotField axis="axisRow" subtotalTop="0" showAll="0">
      <items count="9">
        <item x="3"/>
        <item m="1" x="7"/>
        <item x="6"/>
        <item x="0"/>
        <item x="1"/>
        <item x="2"/>
        <item x="4"/>
        <item x="5"/>
        <item t="default"/>
      </items>
    </pivotField>
  </pivotFields>
  <rowFields count="1">
    <field x="12"/>
  </rowFields>
  <rowItems count="8">
    <i>
      <x/>
    </i>
    <i>
      <x v="2"/>
    </i>
    <i>
      <x v="3"/>
    </i>
    <i>
      <x v="4"/>
    </i>
    <i>
      <x v="5"/>
    </i>
    <i>
      <x v="6"/>
    </i>
    <i>
      <x v="7"/>
    </i>
    <i t="grand">
      <x/>
    </i>
  </rowItems>
  <colItems count="1">
    <i/>
  </colItems>
  <dataFields count="1">
    <dataField name="Count of Cogno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ella pivot1" cacheId="4" applyNumberFormats="0" applyBorderFormats="0" applyFontFormats="0" applyPatternFormats="0" applyAlignmentFormats="0" applyWidthHeightFormats="1" dataCaption="Valori" updatedVersion="6" minRefreshableVersion="3" showDrill="0" useAutoFormatting="1" rowGrandTotals="0" colGrandTotals="0" itemPrintTitles="1" createdVersion="6" indent="0" compact="0" compactData="0" gridDropZones="1" multipleFieldFilters="0">
  <location ref="A3:J66" firstHeaderRow="2" firstDataRow="2" firstDataCol="4"/>
  <pivotFields count="6">
    <pivotField axis="axisRow" compact="0" outline="0" subtotalTop="0" showAll="0" defaultSubtotal="0">
      <items count="20">
        <item x="7"/>
        <item x="8"/>
        <item x="9"/>
        <item x="10"/>
        <item x="6"/>
        <item x="14"/>
        <item x="2"/>
        <item x="12"/>
        <item x="19"/>
        <item x="5"/>
        <item x="13"/>
        <item x="3"/>
        <item x="15"/>
        <item x="16"/>
        <item x="11"/>
        <item x="4"/>
        <item x="1"/>
        <item x="17"/>
        <item x="18"/>
        <item x="0"/>
      </items>
    </pivotField>
    <pivotField axis="axisRow" compact="0" outline="0" subtotalTop="0" showAll="0" defaultSubtotal="0">
      <items count="62">
        <item x="1"/>
        <item x="2"/>
        <item x="3"/>
        <item x="4"/>
        <item x="10"/>
        <item x="60"/>
        <item x="61"/>
        <item x="11"/>
        <item x="13"/>
        <item x="14"/>
        <item x="15"/>
        <item x="18"/>
        <item x="32"/>
        <item x="53"/>
        <item x="33"/>
        <item x="17"/>
        <item x="16"/>
        <item x="19"/>
        <item x="9"/>
        <item x="20"/>
        <item x="22"/>
        <item x="21"/>
        <item x="23"/>
        <item x="24"/>
        <item x="56"/>
        <item x="57"/>
        <item x="55"/>
        <item x="25"/>
        <item x="29"/>
        <item x="27"/>
        <item x="28"/>
        <item x="12"/>
        <item x="30"/>
        <item x="31"/>
        <item x="35"/>
        <item x="34"/>
        <item x="36"/>
        <item x="37"/>
        <item x="38"/>
        <item x="0"/>
        <item x="54"/>
        <item x="39"/>
        <item x="40"/>
        <item x="41"/>
        <item x="42"/>
        <item x="43"/>
        <item x="44"/>
        <item x="45"/>
        <item x="46"/>
        <item x="47"/>
        <item x="48"/>
        <item x="49"/>
        <item x="50"/>
        <item x="51"/>
        <item x="52"/>
        <item x="58"/>
        <item x="59"/>
        <item x="5"/>
        <item x="6"/>
        <item x="7"/>
        <item x="8"/>
        <item x="26"/>
      </items>
    </pivotField>
    <pivotField compact="0" outline="0" subtotalTop="0" showAll="0"/>
    <pivotField compact="0" outline="0" subtotalTop="0" showAll="0"/>
    <pivotField name="Ruoli Tradizionali in evoluzione" axis="axisRow" compact="0" outline="0" subtotalTop="0" showAll="0" defaultSubtotal="0">
      <items count="4">
        <item x="3"/>
        <item x="0"/>
        <item x="2"/>
        <item x="1"/>
      </items>
    </pivotField>
    <pivotField name="Ruoli Strategici per il Piano Industriale e Nuovi Mestieri" axis="axisRow" compact="0" outline="0" subtotalTop="0" showAll="0">
      <items count="5">
        <item x="2"/>
        <item x="0"/>
        <item x="3"/>
        <item x="1"/>
        <item t="default"/>
      </items>
    </pivotField>
  </pivotFields>
  <rowFields count="4">
    <field x="0"/>
    <field x="1"/>
    <field x="4"/>
    <field x="5"/>
  </rowFields>
  <rowItems count="62">
    <i>
      <x/>
      <x v="7"/>
      <x/>
      <x v="2"/>
    </i>
    <i>
      <x v="1"/>
      <x v="8"/>
      <x v="2"/>
      <x/>
    </i>
    <i r="1">
      <x v="9"/>
      <x v="2"/>
      <x/>
    </i>
    <i r="1">
      <x v="44"/>
      <x v="2"/>
      <x/>
    </i>
    <i>
      <x v="2"/>
      <x v="10"/>
      <x v="2"/>
      <x/>
    </i>
    <i>
      <x v="3"/>
      <x v="15"/>
      <x/>
      <x/>
    </i>
    <i r="1">
      <x v="16"/>
      <x/>
      <x/>
    </i>
    <i>
      <x v="4"/>
      <x v="11"/>
      <x/>
      <x/>
    </i>
    <i r="1">
      <x v="17"/>
      <x/>
      <x/>
    </i>
    <i r="1">
      <x v="18"/>
      <x/>
      <x/>
    </i>
    <i r="1">
      <x v="29"/>
      <x/>
      <x/>
    </i>
    <i>
      <x v="5"/>
      <x v="12"/>
      <x/>
      <x v="2"/>
    </i>
    <i r="1">
      <x v="13"/>
      <x/>
      <x v="2"/>
    </i>
    <i r="1">
      <x v="14"/>
      <x/>
      <x v="2"/>
    </i>
    <i r="1">
      <x v="48"/>
      <x/>
      <x v="2"/>
    </i>
    <i>
      <x v="6"/>
      <x v="2"/>
      <x v="2"/>
      <x/>
    </i>
    <i r="1">
      <x v="5"/>
      <x v="2"/>
      <x/>
    </i>
    <i r="1">
      <x v="6"/>
      <x v="2"/>
      <x/>
    </i>
    <i r="1">
      <x v="20"/>
      <x v="2"/>
      <x/>
    </i>
    <i r="1">
      <x v="21"/>
      <x v="2"/>
      <x/>
    </i>
    <i r="1">
      <x v="27"/>
      <x v="2"/>
      <x/>
    </i>
    <i r="1">
      <x v="31"/>
      <x v="2"/>
      <x/>
    </i>
    <i r="1">
      <x v="37"/>
      <x v="2"/>
      <x/>
    </i>
    <i r="1">
      <x v="42"/>
      <x v="2"/>
      <x/>
    </i>
    <i r="1">
      <x v="43"/>
      <x v="2"/>
      <x/>
    </i>
    <i r="1">
      <x v="56"/>
      <x v="2"/>
      <x/>
    </i>
    <i>
      <x v="7"/>
      <x v="22"/>
      <x/>
      <x v="2"/>
    </i>
    <i r="1">
      <x v="23"/>
      <x/>
      <x v="2"/>
    </i>
    <i>
      <x v="8"/>
      <x v="24"/>
      <x/>
      <x v="2"/>
    </i>
    <i r="1">
      <x v="25"/>
      <x/>
      <x v="2"/>
    </i>
    <i r="1">
      <x v="26"/>
      <x/>
      <x v="2"/>
    </i>
    <i>
      <x v="9"/>
      <x v="58"/>
      <x v="2"/>
      <x/>
    </i>
    <i r="1">
      <x v="59"/>
      <x v="2"/>
      <x/>
    </i>
    <i r="1">
      <x v="60"/>
      <x v="2"/>
      <x/>
    </i>
    <i>
      <x v="10"/>
      <x v="28"/>
      <x/>
      <x v="2"/>
    </i>
    <i r="1">
      <x v="30"/>
      <x/>
      <x v="2"/>
    </i>
    <i>
      <x v="11"/>
      <x v="3"/>
      <x v="2"/>
      <x/>
    </i>
    <i r="1">
      <x v="4"/>
      <x v="2"/>
      <x/>
    </i>
    <i r="1">
      <x v="32"/>
      <x v="2"/>
      <x/>
    </i>
    <i r="1">
      <x v="55"/>
      <x v="2"/>
      <x/>
    </i>
    <i>
      <x v="12"/>
      <x v="38"/>
      <x/>
      <x v="2"/>
    </i>
    <i>
      <x v="13"/>
      <x v="45"/>
      <x/>
      <x v="2"/>
    </i>
    <i r="1">
      <x v="50"/>
      <x/>
      <x v="2"/>
    </i>
    <i r="1">
      <x v="51"/>
      <x/>
      <x v="2"/>
    </i>
    <i>
      <x v="14"/>
      <x v="19"/>
      <x v="2"/>
      <x/>
    </i>
    <i r="1">
      <x v="34"/>
      <x v="2"/>
      <x/>
    </i>
    <i r="1">
      <x v="35"/>
      <x v="2"/>
      <x/>
    </i>
    <i r="1">
      <x v="36"/>
      <x v="2"/>
      <x/>
    </i>
    <i r="1">
      <x v="41"/>
      <x v="2"/>
      <x/>
    </i>
    <i r="1">
      <x v="46"/>
      <x v="2"/>
      <x/>
    </i>
    <i r="1">
      <x v="47"/>
      <x v="2"/>
      <x/>
    </i>
    <i r="1">
      <x v="61"/>
      <x v="2"/>
      <x/>
    </i>
    <i>
      <x v="15"/>
      <x v="40"/>
      <x/>
      <x v="2"/>
    </i>
    <i r="1">
      <x v="57"/>
      <x/>
      <x v="2"/>
    </i>
    <i>
      <x v="16"/>
      <x/>
      <x v="3"/>
      <x v="3"/>
    </i>
    <i r="1">
      <x v="1"/>
      <x v="3"/>
      <x v="3"/>
    </i>
    <i>
      <x v="17"/>
      <x v="49"/>
      <x/>
      <x v="2"/>
    </i>
    <i>
      <x v="18"/>
      <x v="52"/>
      <x v="2"/>
      <x/>
    </i>
    <i r="1">
      <x v="53"/>
      <x v="2"/>
      <x/>
    </i>
    <i r="1">
      <x v="54"/>
      <x v="2"/>
      <x/>
    </i>
    <i>
      <x v="19"/>
      <x v="33"/>
      <x v="1"/>
      <x v="1"/>
    </i>
    <i r="1">
      <x v="39"/>
      <x v="1"/>
      <x v="1"/>
    </i>
  </rowItems>
  <colItems count="1">
    <i/>
  </colItems>
  <formats count="934">
    <format dxfId="933">
      <pivotArea field="0" type="button" dataOnly="0" labelOnly="1" outline="0" axis="axisRow" fieldPosition="0"/>
    </format>
    <format dxfId="932">
      <pivotArea field="1" type="button" dataOnly="0" labelOnly="1" outline="0" axis="axisRow" fieldPosition="1"/>
    </format>
    <format dxfId="931">
      <pivotArea field="4" type="button" dataOnly="0" labelOnly="1" outline="0" axis="axisRow" fieldPosition="2"/>
    </format>
    <format dxfId="930">
      <pivotArea field="5" type="button" dataOnly="0" labelOnly="1" outline="0" axis="axisRow" fieldPosition="3"/>
    </format>
    <format dxfId="929">
      <pivotArea field="0" type="button" dataOnly="0" labelOnly="1" outline="0" axis="axisRow" fieldPosition="0"/>
    </format>
    <format dxfId="928">
      <pivotArea field="1" type="button" dataOnly="0" labelOnly="1" outline="0" axis="axisRow" fieldPosition="1"/>
    </format>
    <format dxfId="927">
      <pivotArea field="4" type="button" dataOnly="0" labelOnly="1" outline="0" axis="axisRow" fieldPosition="2"/>
    </format>
    <format dxfId="926">
      <pivotArea field="5" type="button" dataOnly="0" labelOnly="1" outline="0" axis="axisRow" fieldPosition="3"/>
    </format>
    <format dxfId="925">
      <pivotArea field="0" type="button" dataOnly="0" labelOnly="1" outline="0" axis="axisRow" fieldPosition="0"/>
    </format>
    <format dxfId="924">
      <pivotArea field="1" type="button" dataOnly="0" labelOnly="1" outline="0" axis="axisRow" fieldPosition="1"/>
    </format>
    <format dxfId="923">
      <pivotArea field="4" type="button" dataOnly="0" labelOnly="1" outline="0" axis="axisRow" fieldPosition="2"/>
    </format>
    <format dxfId="922">
      <pivotArea field="5" type="button" dataOnly="0" labelOnly="1" outline="0" axis="axisRow" fieldPosition="3"/>
    </format>
    <format dxfId="921">
      <pivotArea field="0" type="button" dataOnly="0" labelOnly="1" outline="0" axis="axisRow" fieldPosition="0"/>
    </format>
    <format dxfId="920">
      <pivotArea field="1" type="button" dataOnly="0" labelOnly="1" outline="0" axis="axisRow" fieldPosition="1"/>
    </format>
    <format dxfId="919">
      <pivotArea field="4" type="button" dataOnly="0" labelOnly="1" outline="0" axis="axisRow" fieldPosition="2"/>
    </format>
    <format dxfId="918">
      <pivotArea field="5" type="button" dataOnly="0" labelOnly="1" outline="0" axis="axisRow" fieldPosition="3"/>
    </format>
    <format dxfId="917">
      <pivotArea field="0" type="button" dataOnly="0" labelOnly="1" outline="0" axis="axisRow" fieldPosition="0"/>
    </format>
    <format dxfId="916">
      <pivotArea field="1" type="button" dataOnly="0" labelOnly="1" outline="0" axis="axisRow" fieldPosition="1"/>
    </format>
    <format dxfId="915">
      <pivotArea field="4" type="button" dataOnly="0" labelOnly="1" outline="0" axis="axisRow" fieldPosition="2"/>
    </format>
    <format dxfId="914">
      <pivotArea field="5" type="button" dataOnly="0" labelOnly="1" outline="0" axis="axisRow" fieldPosition="3"/>
    </format>
    <format dxfId="913">
      <pivotArea field="0" type="button" dataOnly="0" labelOnly="1" outline="0" axis="axisRow" fieldPosition="0"/>
    </format>
    <format dxfId="912">
      <pivotArea field="1" type="button" dataOnly="0" labelOnly="1" outline="0" axis="axisRow" fieldPosition="1"/>
    </format>
    <format dxfId="911">
      <pivotArea field="4" type="button" dataOnly="0" labelOnly="1" outline="0" axis="axisRow" fieldPosition="2"/>
    </format>
    <format dxfId="910">
      <pivotArea field="5" type="button" dataOnly="0" labelOnly="1" outline="0" axis="axisRow" fieldPosition="3"/>
    </format>
    <format dxfId="909">
      <pivotArea dataOnly="0" labelOnly="1" outline="0" fieldPosition="0">
        <references count="1">
          <reference field="0" count="0"/>
        </references>
      </pivotArea>
    </format>
    <format dxfId="908">
      <pivotArea dataOnly="0" labelOnly="1" outline="0" fieldPosition="0">
        <references count="2">
          <reference field="0" count="1" selected="0">
            <x v="0"/>
          </reference>
          <reference field="1" count="1">
            <x v="7"/>
          </reference>
        </references>
      </pivotArea>
    </format>
    <format dxfId="907">
      <pivotArea dataOnly="0" labelOnly="1" outline="0" fieldPosition="0">
        <references count="2">
          <reference field="0" count="1" selected="0">
            <x v="1"/>
          </reference>
          <reference field="1" count="3">
            <x v="8"/>
            <x v="9"/>
            <x v="44"/>
          </reference>
        </references>
      </pivotArea>
    </format>
    <format dxfId="906">
      <pivotArea dataOnly="0" labelOnly="1" outline="0" fieldPosition="0">
        <references count="2">
          <reference field="0" count="1" selected="0">
            <x v="2"/>
          </reference>
          <reference field="1" count="1">
            <x v="10"/>
          </reference>
        </references>
      </pivotArea>
    </format>
    <format dxfId="905">
      <pivotArea dataOnly="0" labelOnly="1" outline="0" fieldPosition="0">
        <references count="2">
          <reference field="0" count="1" selected="0">
            <x v="3"/>
          </reference>
          <reference field="1" count="2">
            <x v="15"/>
            <x v="16"/>
          </reference>
        </references>
      </pivotArea>
    </format>
    <format dxfId="904">
      <pivotArea dataOnly="0" labelOnly="1" outline="0" fieldPosition="0">
        <references count="2">
          <reference field="0" count="1" selected="0">
            <x v="4"/>
          </reference>
          <reference field="1" count="4">
            <x v="11"/>
            <x v="17"/>
            <x v="18"/>
            <x v="29"/>
          </reference>
        </references>
      </pivotArea>
    </format>
    <format dxfId="903">
      <pivotArea dataOnly="0" labelOnly="1" outline="0" fieldPosition="0">
        <references count="2">
          <reference field="0" count="1" selected="0">
            <x v="5"/>
          </reference>
          <reference field="1" count="4">
            <x v="12"/>
            <x v="13"/>
            <x v="14"/>
            <x v="48"/>
          </reference>
        </references>
      </pivotArea>
    </format>
    <format dxfId="902">
      <pivotArea dataOnly="0" labelOnly="1" outline="0" fieldPosition="0">
        <references count="2">
          <reference field="0" count="1" selected="0">
            <x v="6"/>
          </reference>
          <reference field="1" count="11">
            <x v="2"/>
            <x v="5"/>
            <x v="6"/>
            <x v="20"/>
            <x v="21"/>
            <x v="27"/>
            <x v="31"/>
            <x v="37"/>
            <x v="42"/>
            <x v="43"/>
            <x v="56"/>
          </reference>
        </references>
      </pivotArea>
    </format>
    <format dxfId="901">
      <pivotArea dataOnly="0" labelOnly="1" outline="0" fieldPosition="0">
        <references count="2">
          <reference field="0" count="1" selected="0">
            <x v="7"/>
          </reference>
          <reference field="1" count="2">
            <x v="22"/>
            <x v="23"/>
          </reference>
        </references>
      </pivotArea>
    </format>
    <format dxfId="900">
      <pivotArea dataOnly="0" labelOnly="1" outline="0" fieldPosition="0">
        <references count="2">
          <reference field="0" count="1" selected="0">
            <x v="8"/>
          </reference>
          <reference field="1" count="3">
            <x v="24"/>
            <x v="25"/>
            <x v="26"/>
          </reference>
        </references>
      </pivotArea>
    </format>
    <format dxfId="899">
      <pivotArea dataOnly="0" labelOnly="1" outline="0" fieldPosition="0">
        <references count="2">
          <reference field="0" count="1" selected="0">
            <x v="10"/>
          </reference>
          <reference field="1" count="2">
            <x v="28"/>
            <x v="30"/>
          </reference>
        </references>
      </pivotArea>
    </format>
    <format dxfId="898">
      <pivotArea dataOnly="0" labelOnly="1" outline="0" fieldPosition="0">
        <references count="2">
          <reference field="0" count="1" selected="0">
            <x v="11"/>
          </reference>
          <reference field="1" count="4">
            <x v="3"/>
            <x v="4"/>
            <x v="32"/>
            <x v="55"/>
          </reference>
        </references>
      </pivotArea>
    </format>
    <format dxfId="897">
      <pivotArea dataOnly="0" labelOnly="1" outline="0" fieldPosition="0">
        <references count="2">
          <reference field="0" count="1" selected="0">
            <x v="12"/>
          </reference>
          <reference field="1" count="1">
            <x v="38"/>
          </reference>
        </references>
      </pivotArea>
    </format>
    <format dxfId="896">
      <pivotArea dataOnly="0" labelOnly="1" outline="0" fieldPosition="0">
        <references count="2">
          <reference field="0" count="1" selected="0">
            <x v="13"/>
          </reference>
          <reference field="1" count="3">
            <x v="45"/>
            <x v="50"/>
            <x v="51"/>
          </reference>
        </references>
      </pivotArea>
    </format>
    <format dxfId="895">
      <pivotArea dataOnly="0" labelOnly="1" outline="0" fieldPosition="0">
        <references count="2">
          <reference field="0" count="1" selected="0">
            <x v="14"/>
          </reference>
          <reference field="1" count="7">
            <x v="19"/>
            <x v="34"/>
            <x v="35"/>
            <x v="36"/>
            <x v="41"/>
            <x v="46"/>
            <x v="47"/>
          </reference>
        </references>
      </pivotArea>
    </format>
    <format dxfId="894">
      <pivotArea dataOnly="0" labelOnly="1" outline="0" fieldPosition="0">
        <references count="2">
          <reference field="0" count="1" selected="0">
            <x v="15"/>
          </reference>
          <reference field="1" count="1">
            <x v="40"/>
          </reference>
        </references>
      </pivotArea>
    </format>
    <format dxfId="893">
      <pivotArea dataOnly="0" labelOnly="1" outline="0" fieldPosition="0">
        <references count="2">
          <reference field="0" count="1" selected="0">
            <x v="16"/>
          </reference>
          <reference field="1" count="2">
            <x v="0"/>
            <x v="1"/>
          </reference>
        </references>
      </pivotArea>
    </format>
    <format dxfId="892">
      <pivotArea dataOnly="0" labelOnly="1" outline="0" fieldPosition="0">
        <references count="2">
          <reference field="0" count="1" selected="0">
            <x v="17"/>
          </reference>
          <reference field="1" count="1">
            <x v="49"/>
          </reference>
        </references>
      </pivotArea>
    </format>
    <format dxfId="891">
      <pivotArea dataOnly="0" labelOnly="1" outline="0" fieldPosition="0">
        <references count="2">
          <reference field="0" count="1" selected="0">
            <x v="18"/>
          </reference>
          <reference field="1" count="3">
            <x v="52"/>
            <x v="53"/>
            <x v="54"/>
          </reference>
        </references>
      </pivotArea>
    </format>
    <format dxfId="890">
      <pivotArea dataOnly="0" labelOnly="1" outline="0" fieldPosition="0">
        <references count="2">
          <reference field="0" count="1" selected="0">
            <x v="19"/>
          </reference>
          <reference field="1" count="2">
            <x v="33"/>
            <x v="39"/>
          </reference>
        </references>
      </pivotArea>
    </format>
    <format dxfId="889">
      <pivotArea dataOnly="0" labelOnly="1" outline="0" fieldPosition="0">
        <references count="3">
          <reference field="0" count="1" selected="0">
            <x v="0"/>
          </reference>
          <reference field="1" count="1" selected="0">
            <x v="7"/>
          </reference>
          <reference field="4" count="1">
            <x v="0"/>
          </reference>
        </references>
      </pivotArea>
    </format>
    <format dxfId="888">
      <pivotArea dataOnly="0" labelOnly="1" outline="0" fieldPosition="0">
        <references count="3">
          <reference field="0" count="1" selected="0">
            <x v="1"/>
          </reference>
          <reference field="1" count="1" selected="0">
            <x v="8"/>
          </reference>
          <reference field="4" count="1">
            <x v="2"/>
          </reference>
        </references>
      </pivotArea>
    </format>
    <format dxfId="887">
      <pivotArea dataOnly="0" labelOnly="1" outline="0" fieldPosition="0">
        <references count="3">
          <reference field="0" count="1" selected="0">
            <x v="3"/>
          </reference>
          <reference field="1" count="1" selected="0">
            <x v="15"/>
          </reference>
          <reference field="4" count="1">
            <x v="0"/>
          </reference>
        </references>
      </pivotArea>
    </format>
    <format dxfId="886">
      <pivotArea dataOnly="0" labelOnly="1" outline="0" fieldPosition="0">
        <references count="3">
          <reference field="0" count="1" selected="0">
            <x v="6"/>
          </reference>
          <reference field="1" count="1" selected="0">
            <x v="2"/>
          </reference>
          <reference field="4" count="1">
            <x v="2"/>
          </reference>
        </references>
      </pivotArea>
    </format>
    <format dxfId="885">
      <pivotArea dataOnly="0" labelOnly="1" outline="0" fieldPosition="0">
        <references count="3">
          <reference field="0" count="1" selected="0">
            <x v="7"/>
          </reference>
          <reference field="1" count="1" selected="0">
            <x v="22"/>
          </reference>
          <reference field="4" count="1">
            <x v="0"/>
          </reference>
        </references>
      </pivotArea>
    </format>
    <format dxfId="884">
      <pivotArea dataOnly="0" labelOnly="1" outline="0" fieldPosition="0">
        <references count="3">
          <reference field="0" count="1" selected="0">
            <x v="10"/>
          </reference>
          <reference field="1" count="1" selected="0">
            <x v="28"/>
          </reference>
          <reference field="4" count="1">
            <x v="0"/>
          </reference>
        </references>
      </pivotArea>
    </format>
    <format dxfId="883">
      <pivotArea dataOnly="0" labelOnly="1" outline="0" fieldPosition="0">
        <references count="3">
          <reference field="0" count="1" selected="0">
            <x v="11"/>
          </reference>
          <reference field="1" count="1" selected="0">
            <x v="3"/>
          </reference>
          <reference field="4" count="1">
            <x v="2"/>
          </reference>
        </references>
      </pivotArea>
    </format>
    <format dxfId="882">
      <pivotArea dataOnly="0" labelOnly="1" outline="0" fieldPosition="0">
        <references count="3">
          <reference field="0" count="1" selected="0">
            <x v="12"/>
          </reference>
          <reference field="1" count="1" selected="0">
            <x v="38"/>
          </reference>
          <reference field="4" count="1">
            <x v="0"/>
          </reference>
        </references>
      </pivotArea>
    </format>
    <format dxfId="881">
      <pivotArea dataOnly="0" labelOnly="1" outline="0" fieldPosition="0">
        <references count="3">
          <reference field="0" count="1" selected="0">
            <x v="13"/>
          </reference>
          <reference field="1" count="1" selected="0">
            <x v="45"/>
          </reference>
          <reference field="4" count="1">
            <x v="2"/>
          </reference>
        </references>
      </pivotArea>
    </format>
    <format dxfId="880">
      <pivotArea dataOnly="0" labelOnly="1" outline="0" fieldPosition="0">
        <references count="3">
          <reference field="0" count="1" selected="0">
            <x v="15"/>
          </reference>
          <reference field="1" count="1" selected="0">
            <x v="40"/>
          </reference>
          <reference field="4" count="1">
            <x v="0"/>
          </reference>
        </references>
      </pivotArea>
    </format>
    <format dxfId="879">
      <pivotArea dataOnly="0" labelOnly="1" outline="0" fieldPosition="0">
        <references count="3">
          <reference field="0" count="1" selected="0">
            <x v="16"/>
          </reference>
          <reference field="1" count="1" selected="0">
            <x v="0"/>
          </reference>
          <reference field="4" count="1">
            <x v="2"/>
          </reference>
        </references>
      </pivotArea>
    </format>
    <format dxfId="878">
      <pivotArea dataOnly="0" labelOnly="1" outline="0" fieldPosition="0">
        <references count="3">
          <reference field="0" count="1" selected="0">
            <x v="17"/>
          </reference>
          <reference field="1" count="1" selected="0">
            <x v="49"/>
          </reference>
          <reference field="4" count="1">
            <x v="0"/>
          </reference>
        </references>
      </pivotArea>
    </format>
    <format dxfId="877">
      <pivotArea dataOnly="0" labelOnly="1" outline="0" fieldPosition="0">
        <references count="3">
          <reference field="0" count="1" selected="0">
            <x v="18"/>
          </reference>
          <reference field="1" count="1" selected="0">
            <x v="52"/>
          </reference>
          <reference field="4" count="1">
            <x v="2"/>
          </reference>
        </references>
      </pivotArea>
    </format>
    <format dxfId="876">
      <pivotArea dataOnly="0" labelOnly="1" outline="0" fieldPosition="0">
        <references count="3">
          <reference field="0" count="1" selected="0">
            <x v="19"/>
          </reference>
          <reference field="1" count="1" selected="0">
            <x v="33"/>
          </reference>
          <reference field="4" count="1">
            <x v="1"/>
          </reference>
        </references>
      </pivotArea>
    </format>
    <format dxfId="875">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874">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873">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872">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871">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870">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869">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868">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867">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866">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865">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864">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863">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862">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861">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860">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859">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858">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857">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856">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855">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854">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853">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852">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851">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850">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849">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848">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847">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846">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845">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844">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843">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842">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841">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840">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839">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838">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837">
      <pivotArea dataOnly="0" labelOnly="1" outline="0" fieldPosition="0">
        <references count="4">
          <reference field="0" count="1" selected="0">
            <x v="13"/>
          </reference>
          <reference field="1" count="1" selected="0">
            <x v="45"/>
          </reference>
          <reference field="4" count="1" selected="0">
            <x v="2"/>
          </reference>
          <reference field="5" count="1">
            <x v="2"/>
          </reference>
        </references>
      </pivotArea>
    </format>
    <format dxfId="836">
      <pivotArea dataOnly="0" labelOnly="1" outline="0" fieldPosition="0">
        <references count="4">
          <reference field="0" count="1" selected="0">
            <x v="13"/>
          </reference>
          <reference field="1" count="1" selected="0">
            <x v="50"/>
          </reference>
          <reference field="4" count="1" selected="0">
            <x v="2"/>
          </reference>
          <reference field="5" count="1">
            <x v="2"/>
          </reference>
        </references>
      </pivotArea>
    </format>
    <format dxfId="835">
      <pivotArea dataOnly="0" labelOnly="1" outline="0" fieldPosition="0">
        <references count="4">
          <reference field="0" count="1" selected="0">
            <x v="13"/>
          </reference>
          <reference field="1" count="1" selected="0">
            <x v="51"/>
          </reference>
          <reference field="4" count="1" selected="0">
            <x v="2"/>
          </reference>
          <reference field="5" count="1">
            <x v="2"/>
          </reference>
        </references>
      </pivotArea>
    </format>
    <format dxfId="834">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833">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832">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831">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830">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829">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828">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827">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826">
      <pivotArea dataOnly="0" labelOnly="1" outline="0" fieldPosition="0">
        <references count="4">
          <reference field="0" count="1" selected="0">
            <x v="16"/>
          </reference>
          <reference field="1" count="1" selected="0">
            <x v="0"/>
          </reference>
          <reference field="4" count="1" selected="0">
            <x v="2"/>
          </reference>
          <reference field="5" count="1">
            <x v="2"/>
          </reference>
        </references>
      </pivotArea>
    </format>
    <format dxfId="825">
      <pivotArea dataOnly="0" labelOnly="1" outline="0" fieldPosition="0">
        <references count="4">
          <reference field="0" count="1" selected="0">
            <x v="16"/>
          </reference>
          <reference field="1" count="1" selected="0">
            <x v="1"/>
          </reference>
          <reference field="4" count="1" selected="0">
            <x v="2"/>
          </reference>
          <reference field="5" count="1">
            <x v="2"/>
          </reference>
        </references>
      </pivotArea>
    </format>
    <format dxfId="824">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823">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822">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821">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820">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819">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818">
      <pivotArea field="0" type="button" dataOnly="0" labelOnly="1" outline="0" axis="axisRow" fieldPosition="0"/>
    </format>
    <format dxfId="817">
      <pivotArea field="1" type="button" dataOnly="0" labelOnly="1" outline="0" axis="axisRow" fieldPosition="1"/>
    </format>
    <format dxfId="816">
      <pivotArea field="4" type="button" dataOnly="0" labelOnly="1" outline="0" axis="axisRow" fieldPosition="2"/>
    </format>
    <format dxfId="815">
      <pivotArea field="5" type="button" dataOnly="0" labelOnly="1" outline="0" axis="axisRow" fieldPosition="3"/>
    </format>
    <format dxfId="814">
      <pivotArea dataOnly="0" labelOnly="1" outline="0" fieldPosition="0">
        <references count="1">
          <reference field="0" count="0"/>
        </references>
      </pivotArea>
    </format>
    <format dxfId="813">
      <pivotArea dataOnly="0" labelOnly="1" outline="0" fieldPosition="0">
        <references count="2">
          <reference field="0" count="1" selected="0">
            <x v="0"/>
          </reference>
          <reference field="1" count="1">
            <x v="7"/>
          </reference>
        </references>
      </pivotArea>
    </format>
    <format dxfId="812">
      <pivotArea dataOnly="0" labelOnly="1" outline="0" fieldPosition="0">
        <references count="2">
          <reference field="0" count="1" selected="0">
            <x v="1"/>
          </reference>
          <reference field="1" count="3">
            <x v="8"/>
            <x v="9"/>
            <x v="44"/>
          </reference>
        </references>
      </pivotArea>
    </format>
    <format dxfId="811">
      <pivotArea dataOnly="0" labelOnly="1" outline="0" fieldPosition="0">
        <references count="2">
          <reference field="0" count="1" selected="0">
            <x v="2"/>
          </reference>
          <reference field="1" count="1">
            <x v="10"/>
          </reference>
        </references>
      </pivotArea>
    </format>
    <format dxfId="810">
      <pivotArea dataOnly="0" labelOnly="1" outline="0" fieldPosition="0">
        <references count="2">
          <reference field="0" count="1" selected="0">
            <x v="3"/>
          </reference>
          <reference field="1" count="2">
            <x v="15"/>
            <x v="16"/>
          </reference>
        </references>
      </pivotArea>
    </format>
    <format dxfId="809">
      <pivotArea dataOnly="0" labelOnly="1" outline="0" fieldPosition="0">
        <references count="2">
          <reference field="0" count="1" selected="0">
            <x v="4"/>
          </reference>
          <reference field="1" count="4">
            <x v="11"/>
            <x v="17"/>
            <x v="18"/>
            <x v="29"/>
          </reference>
        </references>
      </pivotArea>
    </format>
    <format dxfId="808">
      <pivotArea dataOnly="0" labelOnly="1" outline="0" fieldPosition="0">
        <references count="2">
          <reference field="0" count="1" selected="0">
            <x v="5"/>
          </reference>
          <reference field="1" count="4">
            <x v="12"/>
            <x v="13"/>
            <x v="14"/>
            <x v="48"/>
          </reference>
        </references>
      </pivotArea>
    </format>
    <format dxfId="807">
      <pivotArea dataOnly="0" labelOnly="1" outline="0" fieldPosition="0">
        <references count="2">
          <reference field="0" count="1" selected="0">
            <x v="6"/>
          </reference>
          <reference field="1" count="11">
            <x v="2"/>
            <x v="5"/>
            <x v="6"/>
            <x v="20"/>
            <x v="21"/>
            <x v="27"/>
            <x v="31"/>
            <x v="37"/>
            <x v="42"/>
            <x v="43"/>
            <x v="56"/>
          </reference>
        </references>
      </pivotArea>
    </format>
    <format dxfId="806">
      <pivotArea dataOnly="0" labelOnly="1" outline="0" fieldPosition="0">
        <references count="2">
          <reference field="0" count="1" selected="0">
            <x v="7"/>
          </reference>
          <reference field="1" count="2">
            <x v="22"/>
            <x v="23"/>
          </reference>
        </references>
      </pivotArea>
    </format>
    <format dxfId="805">
      <pivotArea dataOnly="0" labelOnly="1" outline="0" fieldPosition="0">
        <references count="2">
          <reference field="0" count="1" selected="0">
            <x v="8"/>
          </reference>
          <reference field="1" count="3">
            <x v="24"/>
            <x v="25"/>
            <x v="26"/>
          </reference>
        </references>
      </pivotArea>
    </format>
    <format dxfId="804">
      <pivotArea dataOnly="0" labelOnly="1" outline="0" fieldPosition="0">
        <references count="2">
          <reference field="0" count="1" selected="0">
            <x v="10"/>
          </reference>
          <reference field="1" count="2">
            <x v="28"/>
            <x v="30"/>
          </reference>
        </references>
      </pivotArea>
    </format>
    <format dxfId="803">
      <pivotArea dataOnly="0" labelOnly="1" outline="0" fieldPosition="0">
        <references count="2">
          <reference field="0" count="1" selected="0">
            <x v="11"/>
          </reference>
          <reference field="1" count="4">
            <x v="3"/>
            <x v="4"/>
            <x v="32"/>
            <x v="55"/>
          </reference>
        </references>
      </pivotArea>
    </format>
    <format dxfId="802">
      <pivotArea dataOnly="0" labelOnly="1" outline="0" fieldPosition="0">
        <references count="2">
          <reference field="0" count="1" selected="0">
            <x v="12"/>
          </reference>
          <reference field="1" count="1">
            <x v="38"/>
          </reference>
        </references>
      </pivotArea>
    </format>
    <format dxfId="801">
      <pivotArea dataOnly="0" labelOnly="1" outline="0" fieldPosition="0">
        <references count="2">
          <reference field="0" count="1" selected="0">
            <x v="13"/>
          </reference>
          <reference field="1" count="3">
            <x v="45"/>
            <x v="50"/>
            <x v="51"/>
          </reference>
        </references>
      </pivotArea>
    </format>
    <format dxfId="800">
      <pivotArea dataOnly="0" labelOnly="1" outline="0" fieldPosition="0">
        <references count="2">
          <reference field="0" count="1" selected="0">
            <x v="14"/>
          </reference>
          <reference field="1" count="7">
            <x v="19"/>
            <x v="34"/>
            <x v="35"/>
            <x v="36"/>
            <x v="41"/>
            <x v="46"/>
            <x v="47"/>
          </reference>
        </references>
      </pivotArea>
    </format>
    <format dxfId="799">
      <pivotArea dataOnly="0" labelOnly="1" outline="0" fieldPosition="0">
        <references count="2">
          <reference field="0" count="1" selected="0">
            <x v="15"/>
          </reference>
          <reference field="1" count="1">
            <x v="40"/>
          </reference>
        </references>
      </pivotArea>
    </format>
    <format dxfId="798">
      <pivotArea dataOnly="0" labelOnly="1" outline="0" fieldPosition="0">
        <references count="2">
          <reference field="0" count="1" selected="0">
            <x v="16"/>
          </reference>
          <reference field="1" count="2">
            <x v="0"/>
            <x v="1"/>
          </reference>
        </references>
      </pivotArea>
    </format>
    <format dxfId="797">
      <pivotArea dataOnly="0" labelOnly="1" outline="0" fieldPosition="0">
        <references count="2">
          <reference field="0" count="1" selected="0">
            <x v="17"/>
          </reference>
          <reference field="1" count="1">
            <x v="49"/>
          </reference>
        </references>
      </pivotArea>
    </format>
    <format dxfId="796">
      <pivotArea dataOnly="0" labelOnly="1" outline="0" fieldPosition="0">
        <references count="2">
          <reference field="0" count="1" selected="0">
            <x v="18"/>
          </reference>
          <reference field="1" count="3">
            <x v="52"/>
            <x v="53"/>
            <x v="54"/>
          </reference>
        </references>
      </pivotArea>
    </format>
    <format dxfId="795">
      <pivotArea dataOnly="0" labelOnly="1" outline="0" fieldPosition="0">
        <references count="2">
          <reference field="0" count="1" selected="0">
            <x v="19"/>
          </reference>
          <reference field="1" count="2">
            <x v="33"/>
            <x v="39"/>
          </reference>
        </references>
      </pivotArea>
    </format>
    <format dxfId="794">
      <pivotArea dataOnly="0" labelOnly="1" outline="0" fieldPosition="0">
        <references count="3">
          <reference field="0" count="1" selected="0">
            <x v="0"/>
          </reference>
          <reference field="1" count="1" selected="0">
            <x v="7"/>
          </reference>
          <reference field="4" count="1">
            <x v="0"/>
          </reference>
        </references>
      </pivotArea>
    </format>
    <format dxfId="793">
      <pivotArea dataOnly="0" labelOnly="1" outline="0" fieldPosition="0">
        <references count="3">
          <reference field="0" count="1" selected="0">
            <x v="1"/>
          </reference>
          <reference field="1" count="1" selected="0">
            <x v="8"/>
          </reference>
          <reference field="4" count="1">
            <x v="2"/>
          </reference>
        </references>
      </pivotArea>
    </format>
    <format dxfId="792">
      <pivotArea dataOnly="0" labelOnly="1" outline="0" fieldPosition="0">
        <references count="3">
          <reference field="0" count="1" selected="0">
            <x v="3"/>
          </reference>
          <reference field="1" count="1" selected="0">
            <x v="15"/>
          </reference>
          <reference field="4" count="1">
            <x v="0"/>
          </reference>
        </references>
      </pivotArea>
    </format>
    <format dxfId="791">
      <pivotArea dataOnly="0" labelOnly="1" outline="0" fieldPosition="0">
        <references count="3">
          <reference field="0" count="1" selected="0">
            <x v="6"/>
          </reference>
          <reference field="1" count="1" selected="0">
            <x v="2"/>
          </reference>
          <reference field="4" count="1">
            <x v="2"/>
          </reference>
        </references>
      </pivotArea>
    </format>
    <format dxfId="790">
      <pivotArea dataOnly="0" labelOnly="1" outline="0" fieldPosition="0">
        <references count="3">
          <reference field="0" count="1" selected="0">
            <x v="7"/>
          </reference>
          <reference field="1" count="1" selected="0">
            <x v="22"/>
          </reference>
          <reference field="4" count="1">
            <x v="0"/>
          </reference>
        </references>
      </pivotArea>
    </format>
    <format dxfId="789">
      <pivotArea dataOnly="0" labelOnly="1" outline="0" fieldPosition="0">
        <references count="3">
          <reference field="0" count="1" selected="0">
            <x v="10"/>
          </reference>
          <reference field="1" count="1" selected="0">
            <x v="28"/>
          </reference>
          <reference field="4" count="1">
            <x v="0"/>
          </reference>
        </references>
      </pivotArea>
    </format>
    <format dxfId="788">
      <pivotArea dataOnly="0" labelOnly="1" outline="0" fieldPosition="0">
        <references count="3">
          <reference field="0" count="1" selected="0">
            <x v="11"/>
          </reference>
          <reference field="1" count="1" selected="0">
            <x v="3"/>
          </reference>
          <reference field="4" count="1">
            <x v="2"/>
          </reference>
        </references>
      </pivotArea>
    </format>
    <format dxfId="787">
      <pivotArea dataOnly="0" labelOnly="1" outline="0" fieldPosition="0">
        <references count="3">
          <reference field="0" count="1" selected="0">
            <x v="12"/>
          </reference>
          <reference field="1" count="1" selected="0">
            <x v="38"/>
          </reference>
          <reference field="4" count="1">
            <x v="0"/>
          </reference>
        </references>
      </pivotArea>
    </format>
    <format dxfId="786">
      <pivotArea dataOnly="0" labelOnly="1" outline="0" fieldPosition="0">
        <references count="3">
          <reference field="0" count="1" selected="0">
            <x v="13"/>
          </reference>
          <reference field="1" count="1" selected="0">
            <x v="45"/>
          </reference>
          <reference field="4" count="1">
            <x v="2"/>
          </reference>
        </references>
      </pivotArea>
    </format>
    <format dxfId="785">
      <pivotArea dataOnly="0" labelOnly="1" outline="0" fieldPosition="0">
        <references count="3">
          <reference field="0" count="1" selected="0">
            <x v="15"/>
          </reference>
          <reference field="1" count="1" selected="0">
            <x v="40"/>
          </reference>
          <reference field="4" count="1">
            <x v="0"/>
          </reference>
        </references>
      </pivotArea>
    </format>
    <format dxfId="784">
      <pivotArea dataOnly="0" labelOnly="1" outline="0" fieldPosition="0">
        <references count="3">
          <reference field="0" count="1" selected="0">
            <x v="16"/>
          </reference>
          <reference field="1" count="1" selected="0">
            <x v="0"/>
          </reference>
          <reference field="4" count="1">
            <x v="2"/>
          </reference>
        </references>
      </pivotArea>
    </format>
    <format dxfId="783">
      <pivotArea dataOnly="0" labelOnly="1" outline="0" fieldPosition="0">
        <references count="3">
          <reference field="0" count="1" selected="0">
            <x v="17"/>
          </reference>
          <reference field="1" count="1" selected="0">
            <x v="49"/>
          </reference>
          <reference field="4" count="1">
            <x v="0"/>
          </reference>
        </references>
      </pivotArea>
    </format>
    <format dxfId="782">
      <pivotArea dataOnly="0" labelOnly="1" outline="0" fieldPosition="0">
        <references count="3">
          <reference field="0" count="1" selected="0">
            <x v="18"/>
          </reference>
          <reference field="1" count="1" selected="0">
            <x v="52"/>
          </reference>
          <reference field="4" count="1">
            <x v="2"/>
          </reference>
        </references>
      </pivotArea>
    </format>
    <format dxfId="781">
      <pivotArea dataOnly="0" labelOnly="1" outline="0" fieldPosition="0">
        <references count="3">
          <reference field="0" count="1" selected="0">
            <x v="19"/>
          </reference>
          <reference field="1" count="1" selected="0">
            <x v="33"/>
          </reference>
          <reference field="4" count="1">
            <x v="1"/>
          </reference>
        </references>
      </pivotArea>
    </format>
    <format dxfId="780">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779">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778">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777">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776">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775">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774">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773">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772">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771">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770">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769">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768">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767">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766">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765">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764">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763">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762">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761">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760">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759">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758">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757">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756">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755">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754">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753">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752">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751">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750">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749">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748">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747">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746">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745">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744">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743">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742">
      <pivotArea dataOnly="0" labelOnly="1" outline="0" fieldPosition="0">
        <references count="4">
          <reference field="0" count="1" selected="0">
            <x v="13"/>
          </reference>
          <reference field="1" count="1" selected="0">
            <x v="45"/>
          </reference>
          <reference field="4" count="1" selected="0">
            <x v="2"/>
          </reference>
          <reference field="5" count="1">
            <x v="2"/>
          </reference>
        </references>
      </pivotArea>
    </format>
    <format dxfId="741">
      <pivotArea dataOnly="0" labelOnly="1" outline="0" fieldPosition="0">
        <references count="4">
          <reference field="0" count="1" selected="0">
            <x v="13"/>
          </reference>
          <reference field="1" count="1" selected="0">
            <x v="50"/>
          </reference>
          <reference field="4" count="1" selected="0">
            <x v="2"/>
          </reference>
          <reference field="5" count="1">
            <x v="2"/>
          </reference>
        </references>
      </pivotArea>
    </format>
    <format dxfId="740">
      <pivotArea dataOnly="0" labelOnly="1" outline="0" fieldPosition="0">
        <references count="4">
          <reference field="0" count="1" selected="0">
            <x v="13"/>
          </reference>
          <reference field="1" count="1" selected="0">
            <x v="51"/>
          </reference>
          <reference field="4" count="1" selected="0">
            <x v="2"/>
          </reference>
          <reference field="5" count="1">
            <x v="2"/>
          </reference>
        </references>
      </pivotArea>
    </format>
    <format dxfId="739">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738">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737">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736">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735">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734">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733">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732">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731">
      <pivotArea dataOnly="0" labelOnly="1" outline="0" fieldPosition="0">
        <references count="4">
          <reference field="0" count="1" selected="0">
            <x v="16"/>
          </reference>
          <reference field="1" count="1" selected="0">
            <x v="0"/>
          </reference>
          <reference field="4" count="1" selected="0">
            <x v="2"/>
          </reference>
          <reference field="5" count="1">
            <x v="2"/>
          </reference>
        </references>
      </pivotArea>
    </format>
    <format dxfId="730">
      <pivotArea dataOnly="0" labelOnly="1" outline="0" fieldPosition="0">
        <references count="4">
          <reference field="0" count="1" selected="0">
            <x v="16"/>
          </reference>
          <reference field="1" count="1" selected="0">
            <x v="1"/>
          </reference>
          <reference field="4" count="1" selected="0">
            <x v="2"/>
          </reference>
          <reference field="5" count="1">
            <x v="2"/>
          </reference>
        </references>
      </pivotArea>
    </format>
    <format dxfId="729">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728">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727">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726">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725">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724">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723">
      <pivotArea dataOnly="0" labelOnly="1" outline="0" fieldPosition="0">
        <references count="3">
          <reference field="0" count="1" selected="0">
            <x v="0"/>
          </reference>
          <reference field="1" count="1" selected="0">
            <x v="7"/>
          </reference>
          <reference field="4" count="1">
            <x v="0"/>
          </reference>
        </references>
      </pivotArea>
    </format>
    <format dxfId="722">
      <pivotArea dataOnly="0" labelOnly="1" outline="0" fieldPosition="0">
        <references count="3">
          <reference field="0" count="1" selected="0">
            <x v="1"/>
          </reference>
          <reference field="1" count="1" selected="0">
            <x v="8"/>
          </reference>
          <reference field="4" count="1">
            <x v="2"/>
          </reference>
        </references>
      </pivotArea>
    </format>
    <format dxfId="721">
      <pivotArea dataOnly="0" labelOnly="1" outline="0" fieldPosition="0">
        <references count="3">
          <reference field="0" count="1" selected="0">
            <x v="3"/>
          </reference>
          <reference field="1" count="1" selected="0">
            <x v="15"/>
          </reference>
          <reference field="4" count="1">
            <x v="0"/>
          </reference>
        </references>
      </pivotArea>
    </format>
    <format dxfId="720">
      <pivotArea dataOnly="0" labelOnly="1" outline="0" fieldPosition="0">
        <references count="3">
          <reference field="0" count="1" selected="0">
            <x v="6"/>
          </reference>
          <reference field="1" count="1" selected="0">
            <x v="2"/>
          </reference>
          <reference field="4" count="1">
            <x v="2"/>
          </reference>
        </references>
      </pivotArea>
    </format>
    <format dxfId="719">
      <pivotArea dataOnly="0" labelOnly="1" outline="0" fieldPosition="0">
        <references count="3">
          <reference field="0" count="1" selected="0">
            <x v="7"/>
          </reference>
          <reference field="1" count="1" selected="0">
            <x v="22"/>
          </reference>
          <reference field="4" count="1">
            <x v="0"/>
          </reference>
        </references>
      </pivotArea>
    </format>
    <format dxfId="718">
      <pivotArea dataOnly="0" labelOnly="1" outline="0" fieldPosition="0">
        <references count="3">
          <reference field="0" count="1" selected="0">
            <x v="10"/>
          </reference>
          <reference field="1" count="1" selected="0">
            <x v="28"/>
          </reference>
          <reference field="4" count="1">
            <x v="0"/>
          </reference>
        </references>
      </pivotArea>
    </format>
    <format dxfId="717">
      <pivotArea dataOnly="0" labelOnly="1" outline="0" fieldPosition="0">
        <references count="3">
          <reference field="0" count="1" selected="0">
            <x v="11"/>
          </reference>
          <reference field="1" count="1" selected="0">
            <x v="3"/>
          </reference>
          <reference field="4" count="1">
            <x v="2"/>
          </reference>
        </references>
      </pivotArea>
    </format>
    <format dxfId="716">
      <pivotArea dataOnly="0" labelOnly="1" outline="0" fieldPosition="0">
        <references count="3">
          <reference field="0" count="1" selected="0">
            <x v="12"/>
          </reference>
          <reference field="1" count="1" selected="0">
            <x v="38"/>
          </reference>
          <reference field="4" count="1">
            <x v="0"/>
          </reference>
        </references>
      </pivotArea>
    </format>
    <format dxfId="715">
      <pivotArea dataOnly="0" labelOnly="1" outline="0" fieldPosition="0">
        <references count="3">
          <reference field="0" count="1" selected="0">
            <x v="13"/>
          </reference>
          <reference field="1" count="1" selected="0">
            <x v="45"/>
          </reference>
          <reference field="4" count="1">
            <x v="2"/>
          </reference>
        </references>
      </pivotArea>
    </format>
    <format dxfId="714">
      <pivotArea dataOnly="0" labelOnly="1" outline="0" fieldPosition="0">
        <references count="3">
          <reference field="0" count="1" selected="0">
            <x v="15"/>
          </reference>
          <reference field="1" count="1" selected="0">
            <x v="40"/>
          </reference>
          <reference field="4" count="1">
            <x v="0"/>
          </reference>
        </references>
      </pivotArea>
    </format>
    <format dxfId="713">
      <pivotArea dataOnly="0" labelOnly="1" outline="0" fieldPosition="0">
        <references count="3">
          <reference field="0" count="1" selected="0">
            <x v="16"/>
          </reference>
          <reference field="1" count="1" selected="0">
            <x v="0"/>
          </reference>
          <reference field="4" count="1">
            <x v="2"/>
          </reference>
        </references>
      </pivotArea>
    </format>
    <format dxfId="712">
      <pivotArea dataOnly="0" labelOnly="1" outline="0" fieldPosition="0">
        <references count="3">
          <reference field="0" count="1" selected="0">
            <x v="17"/>
          </reference>
          <reference field="1" count="1" selected="0">
            <x v="49"/>
          </reference>
          <reference field="4" count="1">
            <x v="0"/>
          </reference>
        </references>
      </pivotArea>
    </format>
    <format dxfId="711">
      <pivotArea dataOnly="0" labelOnly="1" outline="0" fieldPosition="0">
        <references count="3">
          <reference field="0" count="1" selected="0">
            <x v="18"/>
          </reference>
          <reference field="1" count="1" selected="0">
            <x v="52"/>
          </reference>
          <reference field="4" count="1">
            <x v="2"/>
          </reference>
        </references>
      </pivotArea>
    </format>
    <format dxfId="710">
      <pivotArea dataOnly="0" labelOnly="1" outline="0" fieldPosition="0">
        <references count="3">
          <reference field="0" count="1" selected="0">
            <x v="19"/>
          </reference>
          <reference field="1" count="1" selected="0">
            <x v="33"/>
          </reference>
          <reference field="4" count="1">
            <x v="1"/>
          </reference>
        </references>
      </pivotArea>
    </format>
    <format dxfId="709">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708">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707">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706">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705">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704">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703">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702">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701">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700">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699">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698">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697">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696">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695">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694">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693">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692">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691">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690">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689">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688">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687">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686">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685">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684">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683">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682">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681">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680">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679">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678">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677">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676">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675">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674">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673">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672">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671">
      <pivotArea dataOnly="0" labelOnly="1" outline="0" fieldPosition="0">
        <references count="4">
          <reference field="0" count="1" selected="0">
            <x v="13"/>
          </reference>
          <reference field="1" count="1" selected="0">
            <x v="45"/>
          </reference>
          <reference field="4" count="1" selected="0">
            <x v="2"/>
          </reference>
          <reference field="5" count="1">
            <x v="2"/>
          </reference>
        </references>
      </pivotArea>
    </format>
    <format dxfId="670">
      <pivotArea dataOnly="0" labelOnly="1" outline="0" fieldPosition="0">
        <references count="4">
          <reference field="0" count="1" selected="0">
            <x v="13"/>
          </reference>
          <reference field="1" count="1" selected="0">
            <x v="50"/>
          </reference>
          <reference field="4" count="1" selected="0">
            <x v="2"/>
          </reference>
          <reference field="5" count="1">
            <x v="2"/>
          </reference>
        </references>
      </pivotArea>
    </format>
    <format dxfId="669">
      <pivotArea dataOnly="0" labelOnly="1" outline="0" fieldPosition="0">
        <references count="4">
          <reference field="0" count="1" selected="0">
            <x v="13"/>
          </reference>
          <reference field="1" count="1" selected="0">
            <x v="51"/>
          </reference>
          <reference field="4" count="1" selected="0">
            <x v="2"/>
          </reference>
          <reference field="5" count="1">
            <x v="2"/>
          </reference>
        </references>
      </pivotArea>
    </format>
    <format dxfId="668">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667">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666">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665">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664">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663">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662">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661">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660">
      <pivotArea dataOnly="0" labelOnly="1" outline="0" fieldPosition="0">
        <references count="4">
          <reference field="0" count="1" selected="0">
            <x v="16"/>
          </reference>
          <reference field="1" count="1" selected="0">
            <x v="0"/>
          </reference>
          <reference field="4" count="1" selected="0">
            <x v="2"/>
          </reference>
          <reference field="5" count="1">
            <x v="2"/>
          </reference>
        </references>
      </pivotArea>
    </format>
    <format dxfId="659">
      <pivotArea dataOnly="0" labelOnly="1" outline="0" fieldPosition="0">
        <references count="4">
          <reference field="0" count="1" selected="0">
            <x v="16"/>
          </reference>
          <reference field="1" count="1" selected="0">
            <x v="1"/>
          </reference>
          <reference field="4" count="1" selected="0">
            <x v="2"/>
          </reference>
          <reference field="5" count="1">
            <x v="2"/>
          </reference>
        </references>
      </pivotArea>
    </format>
    <format dxfId="658">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657">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656">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655">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654">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653">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652">
      <pivotArea dataOnly="0" labelOnly="1" outline="0" fieldPosition="0">
        <references count="3">
          <reference field="0" count="1" selected="0">
            <x v="0"/>
          </reference>
          <reference field="1" count="1" selected="0">
            <x v="7"/>
          </reference>
          <reference field="4" count="1">
            <x v="0"/>
          </reference>
        </references>
      </pivotArea>
    </format>
    <format dxfId="651">
      <pivotArea dataOnly="0" labelOnly="1" outline="0" fieldPosition="0">
        <references count="3">
          <reference field="0" count="1" selected="0">
            <x v="1"/>
          </reference>
          <reference field="1" count="1" selected="0">
            <x v="8"/>
          </reference>
          <reference field="4" count="1">
            <x v="2"/>
          </reference>
        </references>
      </pivotArea>
    </format>
    <format dxfId="650">
      <pivotArea dataOnly="0" labelOnly="1" outline="0" fieldPosition="0">
        <references count="3">
          <reference field="0" count="1" selected="0">
            <x v="3"/>
          </reference>
          <reference field="1" count="1" selected="0">
            <x v="15"/>
          </reference>
          <reference field="4" count="1">
            <x v="0"/>
          </reference>
        </references>
      </pivotArea>
    </format>
    <format dxfId="649">
      <pivotArea dataOnly="0" labelOnly="1" outline="0" fieldPosition="0">
        <references count="3">
          <reference field="0" count="1" selected="0">
            <x v="6"/>
          </reference>
          <reference field="1" count="1" selected="0">
            <x v="2"/>
          </reference>
          <reference field="4" count="1">
            <x v="2"/>
          </reference>
        </references>
      </pivotArea>
    </format>
    <format dxfId="648">
      <pivotArea dataOnly="0" labelOnly="1" outline="0" fieldPosition="0">
        <references count="3">
          <reference field="0" count="1" selected="0">
            <x v="7"/>
          </reference>
          <reference field="1" count="1" selected="0">
            <x v="22"/>
          </reference>
          <reference field="4" count="1">
            <x v="0"/>
          </reference>
        </references>
      </pivotArea>
    </format>
    <format dxfId="647">
      <pivotArea dataOnly="0" labelOnly="1" outline="0" fieldPosition="0">
        <references count="3">
          <reference field="0" count="1" selected="0">
            <x v="10"/>
          </reference>
          <reference field="1" count="1" selected="0">
            <x v="28"/>
          </reference>
          <reference field="4" count="1">
            <x v="0"/>
          </reference>
        </references>
      </pivotArea>
    </format>
    <format dxfId="646">
      <pivotArea dataOnly="0" labelOnly="1" outline="0" fieldPosition="0">
        <references count="3">
          <reference field="0" count="1" selected="0">
            <x v="11"/>
          </reference>
          <reference field="1" count="1" selected="0">
            <x v="3"/>
          </reference>
          <reference field="4" count="1">
            <x v="2"/>
          </reference>
        </references>
      </pivotArea>
    </format>
    <format dxfId="645">
      <pivotArea dataOnly="0" labelOnly="1" outline="0" fieldPosition="0">
        <references count="3">
          <reference field="0" count="1" selected="0">
            <x v="12"/>
          </reference>
          <reference field="1" count="1" selected="0">
            <x v="38"/>
          </reference>
          <reference field="4" count="1">
            <x v="0"/>
          </reference>
        </references>
      </pivotArea>
    </format>
    <format dxfId="644">
      <pivotArea dataOnly="0" labelOnly="1" outline="0" fieldPosition="0">
        <references count="3">
          <reference field="0" count="1" selected="0">
            <x v="13"/>
          </reference>
          <reference field="1" count="1" selected="0">
            <x v="45"/>
          </reference>
          <reference field="4" count="1">
            <x v="2"/>
          </reference>
        </references>
      </pivotArea>
    </format>
    <format dxfId="643">
      <pivotArea dataOnly="0" labelOnly="1" outline="0" fieldPosition="0">
        <references count="3">
          <reference field="0" count="1" selected="0">
            <x v="15"/>
          </reference>
          <reference field="1" count="1" selected="0">
            <x v="40"/>
          </reference>
          <reference field="4" count="1">
            <x v="0"/>
          </reference>
        </references>
      </pivotArea>
    </format>
    <format dxfId="642">
      <pivotArea dataOnly="0" labelOnly="1" outline="0" fieldPosition="0">
        <references count="3">
          <reference field="0" count="1" selected="0">
            <x v="16"/>
          </reference>
          <reference field="1" count="1" selected="0">
            <x v="0"/>
          </reference>
          <reference field="4" count="1">
            <x v="2"/>
          </reference>
        </references>
      </pivotArea>
    </format>
    <format dxfId="641">
      <pivotArea dataOnly="0" labelOnly="1" outline="0" fieldPosition="0">
        <references count="3">
          <reference field="0" count="1" selected="0">
            <x v="17"/>
          </reference>
          <reference field="1" count="1" selected="0">
            <x v="49"/>
          </reference>
          <reference field="4" count="1">
            <x v="0"/>
          </reference>
        </references>
      </pivotArea>
    </format>
    <format dxfId="640">
      <pivotArea dataOnly="0" labelOnly="1" outline="0" fieldPosition="0">
        <references count="3">
          <reference field="0" count="1" selected="0">
            <x v="18"/>
          </reference>
          <reference field="1" count="1" selected="0">
            <x v="52"/>
          </reference>
          <reference field="4" count="1">
            <x v="2"/>
          </reference>
        </references>
      </pivotArea>
    </format>
    <format dxfId="639">
      <pivotArea dataOnly="0" labelOnly="1" outline="0" fieldPosition="0">
        <references count="3">
          <reference field="0" count="1" selected="0">
            <x v="19"/>
          </reference>
          <reference field="1" count="1" selected="0">
            <x v="33"/>
          </reference>
          <reference field="4" count="1">
            <x v="1"/>
          </reference>
        </references>
      </pivotArea>
    </format>
    <format dxfId="638">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637">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636">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635">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634">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633">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632">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631">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630">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629">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628">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627">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626">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625">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624">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623">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622">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621">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620">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619">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618">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617">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616">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615">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614">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613">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612">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611">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610">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609">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608">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607">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606">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605">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604">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603">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602">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601">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600">
      <pivotArea dataOnly="0" labelOnly="1" outline="0" fieldPosition="0">
        <references count="4">
          <reference field="0" count="1" selected="0">
            <x v="13"/>
          </reference>
          <reference field="1" count="1" selected="0">
            <x v="45"/>
          </reference>
          <reference field="4" count="1" selected="0">
            <x v="2"/>
          </reference>
          <reference field="5" count="1">
            <x v="2"/>
          </reference>
        </references>
      </pivotArea>
    </format>
    <format dxfId="599">
      <pivotArea dataOnly="0" labelOnly="1" outline="0" fieldPosition="0">
        <references count="4">
          <reference field="0" count="1" selected="0">
            <x v="13"/>
          </reference>
          <reference field="1" count="1" selected="0">
            <x v="50"/>
          </reference>
          <reference field="4" count="1" selected="0">
            <x v="2"/>
          </reference>
          <reference field="5" count="1">
            <x v="2"/>
          </reference>
        </references>
      </pivotArea>
    </format>
    <format dxfId="598">
      <pivotArea dataOnly="0" labelOnly="1" outline="0" fieldPosition="0">
        <references count="4">
          <reference field="0" count="1" selected="0">
            <x v="13"/>
          </reference>
          <reference field="1" count="1" selected="0">
            <x v="51"/>
          </reference>
          <reference field="4" count="1" selected="0">
            <x v="2"/>
          </reference>
          <reference field="5" count="1">
            <x v="2"/>
          </reference>
        </references>
      </pivotArea>
    </format>
    <format dxfId="597">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596">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595">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594">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593">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592">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591">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590">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589">
      <pivotArea dataOnly="0" labelOnly="1" outline="0" fieldPosition="0">
        <references count="4">
          <reference field="0" count="1" selected="0">
            <x v="16"/>
          </reference>
          <reference field="1" count="1" selected="0">
            <x v="0"/>
          </reference>
          <reference field="4" count="1" selected="0">
            <x v="2"/>
          </reference>
          <reference field="5" count="1">
            <x v="2"/>
          </reference>
        </references>
      </pivotArea>
    </format>
    <format dxfId="588">
      <pivotArea dataOnly="0" labelOnly="1" outline="0" fieldPosition="0">
        <references count="4">
          <reference field="0" count="1" selected="0">
            <x v="16"/>
          </reference>
          <reference field="1" count="1" selected="0">
            <x v="1"/>
          </reference>
          <reference field="4" count="1" selected="0">
            <x v="2"/>
          </reference>
          <reference field="5" count="1">
            <x v="2"/>
          </reference>
        </references>
      </pivotArea>
    </format>
    <format dxfId="587">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586">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585">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584">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583">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582">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581">
      <pivotArea dataOnly="0" labelOnly="1" outline="0" fieldPosition="0">
        <references count="3">
          <reference field="0" count="1" selected="0">
            <x v="0"/>
          </reference>
          <reference field="1" count="1" selected="0">
            <x v="7"/>
          </reference>
          <reference field="4" count="1">
            <x v="0"/>
          </reference>
        </references>
      </pivotArea>
    </format>
    <format dxfId="580">
      <pivotArea dataOnly="0" labelOnly="1" outline="0" fieldPosition="0">
        <references count="3">
          <reference field="0" count="1" selected="0">
            <x v="1"/>
          </reference>
          <reference field="1" count="1" selected="0">
            <x v="8"/>
          </reference>
          <reference field="4" count="1">
            <x v="2"/>
          </reference>
        </references>
      </pivotArea>
    </format>
    <format dxfId="579">
      <pivotArea dataOnly="0" labelOnly="1" outline="0" fieldPosition="0">
        <references count="3">
          <reference field="0" count="1" selected="0">
            <x v="3"/>
          </reference>
          <reference field="1" count="1" selected="0">
            <x v="15"/>
          </reference>
          <reference field="4" count="1">
            <x v="0"/>
          </reference>
        </references>
      </pivotArea>
    </format>
    <format dxfId="578">
      <pivotArea dataOnly="0" labelOnly="1" outline="0" fieldPosition="0">
        <references count="3">
          <reference field="0" count="1" selected="0">
            <x v="6"/>
          </reference>
          <reference field="1" count="1" selected="0">
            <x v="2"/>
          </reference>
          <reference field="4" count="1">
            <x v="2"/>
          </reference>
        </references>
      </pivotArea>
    </format>
    <format dxfId="577">
      <pivotArea dataOnly="0" labelOnly="1" outline="0" fieldPosition="0">
        <references count="3">
          <reference field="0" count="1" selected="0">
            <x v="7"/>
          </reference>
          <reference field="1" count="1" selected="0">
            <x v="22"/>
          </reference>
          <reference field="4" count="1">
            <x v="0"/>
          </reference>
        </references>
      </pivotArea>
    </format>
    <format dxfId="576">
      <pivotArea dataOnly="0" labelOnly="1" outline="0" fieldPosition="0">
        <references count="3">
          <reference field="0" count="1" selected="0">
            <x v="10"/>
          </reference>
          <reference field="1" count="1" selected="0">
            <x v="28"/>
          </reference>
          <reference field="4" count="1">
            <x v="0"/>
          </reference>
        </references>
      </pivotArea>
    </format>
    <format dxfId="575">
      <pivotArea dataOnly="0" labelOnly="1" outline="0" fieldPosition="0">
        <references count="3">
          <reference field="0" count="1" selected="0">
            <x v="11"/>
          </reference>
          <reference field="1" count="1" selected="0">
            <x v="3"/>
          </reference>
          <reference field="4" count="1">
            <x v="2"/>
          </reference>
        </references>
      </pivotArea>
    </format>
    <format dxfId="574">
      <pivotArea dataOnly="0" labelOnly="1" outline="0" fieldPosition="0">
        <references count="3">
          <reference field="0" count="1" selected="0">
            <x v="12"/>
          </reference>
          <reference field="1" count="1" selected="0">
            <x v="38"/>
          </reference>
          <reference field="4" count="1">
            <x v="0"/>
          </reference>
        </references>
      </pivotArea>
    </format>
    <format dxfId="573">
      <pivotArea dataOnly="0" labelOnly="1" outline="0" fieldPosition="0">
        <references count="3">
          <reference field="0" count="1" selected="0">
            <x v="14"/>
          </reference>
          <reference field="1" count="1" selected="0">
            <x v="19"/>
          </reference>
          <reference field="4" count="1">
            <x v="2"/>
          </reference>
        </references>
      </pivotArea>
    </format>
    <format dxfId="572">
      <pivotArea dataOnly="0" labelOnly="1" outline="0" fieldPosition="0">
        <references count="3">
          <reference field="0" count="1" selected="0">
            <x v="15"/>
          </reference>
          <reference field="1" count="1" selected="0">
            <x v="40"/>
          </reference>
          <reference field="4" count="1">
            <x v="0"/>
          </reference>
        </references>
      </pivotArea>
    </format>
    <format dxfId="571">
      <pivotArea dataOnly="0" labelOnly="1" outline="0" fieldPosition="0">
        <references count="3">
          <reference field="0" count="1" selected="0">
            <x v="16"/>
          </reference>
          <reference field="1" count="1" selected="0">
            <x v="0"/>
          </reference>
          <reference field="4" count="1">
            <x v="3"/>
          </reference>
        </references>
      </pivotArea>
    </format>
    <format dxfId="570">
      <pivotArea dataOnly="0" labelOnly="1" outline="0" fieldPosition="0">
        <references count="3">
          <reference field="0" count="1" selected="0">
            <x v="17"/>
          </reference>
          <reference field="1" count="1" selected="0">
            <x v="49"/>
          </reference>
          <reference field="4" count="1">
            <x v="0"/>
          </reference>
        </references>
      </pivotArea>
    </format>
    <format dxfId="569">
      <pivotArea dataOnly="0" labelOnly="1" outline="0" fieldPosition="0">
        <references count="3">
          <reference field="0" count="1" selected="0">
            <x v="18"/>
          </reference>
          <reference field="1" count="1" selected="0">
            <x v="52"/>
          </reference>
          <reference field="4" count="1">
            <x v="2"/>
          </reference>
        </references>
      </pivotArea>
    </format>
    <format dxfId="568">
      <pivotArea dataOnly="0" labelOnly="1" outline="0" fieldPosition="0">
        <references count="3">
          <reference field="0" count="1" selected="0">
            <x v="19"/>
          </reference>
          <reference field="1" count="1" selected="0">
            <x v="33"/>
          </reference>
          <reference field="4" count="1">
            <x v="1"/>
          </reference>
        </references>
      </pivotArea>
    </format>
    <format dxfId="567">
      <pivotArea dataOnly="0" labelOnly="1" outline="0" fieldPosition="0">
        <references count="3">
          <reference field="0" count="1" selected="0">
            <x v="0"/>
          </reference>
          <reference field="1" count="1" selected="0">
            <x v="7"/>
          </reference>
          <reference field="4" count="1">
            <x v="0"/>
          </reference>
        </references>
      </pivotArea>
    </format>
    <format dxfId="566">
      <pivotArea dataOnly="0" labelOnly="1" outline="0" fieldPosition="0">
        <references count="3">
          <reference field="0" count="1" selected="0">
            <x v="1"/>
          </reference>
          <reference field="1" count="1" selected="0">
            <x v="8"/>
          </reference>
          <reference field="4" count="1">
            <x v="2"/>
          </reference>
        </references>
      </pivotArea>
    </format>
    <format dxfId="565">
      <pivotArea dataOnly="0" labelOnly="1" outline="0" fieldPosition="0">
        <references count="3">
          <reference field="0" count="1" selected="0">
            <x v="3"/>
          </reference>
          <reference field="1" count="1" selected="0">
            <x v="15"/>
          </reference>
          <reference field="4" count="1">
            <x v="0"/>
          </reference>
        </references>
      </pivotArea>
    </format>
    <format dxfId="564">
      <pivotArea dataOnly="0" labelOnly="1" outline="0" fieldPosition="0">
        <references count="3">
          <reference field="0" count="1" selected="0">
            <x v="6"/>
          </reference>
          <reference field="1" count="1" selected="0">
            <x v="2"/>
          </reference>
          <reference field="4" count="1">
            <x v="2"/>
          </reference>
        </references>
      </pivotArea>
    </format>
    <format dxfId="563">
      <pivotArea dataOnly="0" labelOnly="1" outline="0" fieldPosition="0">
        <references count="3">
          <reference field="0" count="1" selected="0">
            <x v="7"/>
          </reference>
          <reference field="1" count="1" selected="0">
            <x v="22"/>
          </reference>
          <reference field="4" count="1">
            <x v="0"/>
          </reference>
        </references>
      </pivotArea>
    </format>
    <format dxfId="562">
      <pivotArea dataOnly="0" labelOnly="1" outline="0" fieldPosition="0">
        <references count="3">
          <reference field="0" count="1" selected="0">
            <x v="10"/>
          </reference>
          <reference field="1" count="1" selected="0">
            <x v="28"/>
          </reference>
          <reference field="4" count="1">
            <x v="0"/>
          </reference>
        </references>
      </pivotArea>
    </format>
    <format dxfId="561">
      <pivotArea dataOnly="0" labelOnly="1" outline="0" fieldPosition="0">
        <references count="3">
          <reference field="0" count="1" selected="0">
            <x v="11"/>
          </reference>
          <reference field="1" count="1" selected="0">
            <x v="3"/>
          </reference>
          <reference field="4" count="1">
            <x v="2"/>
          </reference>
        </references>
      </pivotArea>
    </format>
    <format dxfId="560">
      <pivotArea dataOnly="0" labelOnly="1" outline="0" fieldPosition="0">
        <references count="3">
          <reference field="0" count="1" selected="0">
            <x v="12"/>
          </reference>
          <reference field="1" count="1" selected="0">
            <x v="38"/>
          </reference>
          <reference field="4" count="1">
            <x v="0"/>
          </reference>
        </references>
      </pivotArea>
    </format>
    <format dxfId="559">
      <pivotArea dataOnly="0" labelOnly="1" outline="0" fieldPosition="0">
        <references count="3">
          <reference field="0" count="1" selected="0">
            <x v="14"/>
          </reference>
          <reference field="1" count="1" selected="0">
            <x v="19"/>
          </reference>
          <reference field="4" count="1">
            <x v="2"/>
          </reference>
        </references>
      </pivotArea>
    </format>
    <format dxfId="558">
      <pivotArea dataOnly="0" labelOnly="1" outline="0" fieldPosition="0">
        <references count="3">
          <reference field="0" count="1" selected="0">
            <x v="15"/>
          </reference>
          <reference field="1" count="1" selected="0">
            <x v="40"/>
          </reference>
          <reference field="4" count="1">
            <x v="0"/>
          </reference>
        </references>
      </pivotArea>
    </format>
    <format dxfId="557">
      <pivotArea dataOnly="0" labelOnly="1" outline="0" fieldPosition="0">
        <references count="3">
          <reference field="0" count="1" selected="0">
            <x v="16"/>
          </reference>
          <reference field="1" count="1" selected="0">
            <x v="0"/>
          </reference>
          <reference field="4" count="1">
            <x v="3"/>
          </reference>
        </references>
      </pivotArea>
    </format>
    <format dxfId="556">
      <pivotArea dataOnly="0" labelOnly="1" outline="0" fieldPosition="0">
        <references count="3">
          <reference field="0" count="1" selected="0">
            <x v="17"/>
          </reference>
          <reference field="1" count="1" selected="0">
            <x v="49"/>
          </reference>
          <reference field="4" count="1">
            <x v="0"/>
          </reference>
        </references>
      </pivotArea>
    </format>
    <format dxfId="555">
      <pivotArea dataOnly="0" labelOnly="1" outline="0" fieldPosition="0">
        <references count="3">
          <reference field="0" count="1" selected="0">
            <x v="18"/>
          </reference>
          <reference field="1" count="1" selected="0">
            <x v="52"/>
          </reference>
          <reference field="4" count="1">
            <x v="2"/>
          </reference>
        </references>
      </pivotArea>
    </format>
    <format dxfId="554">
      <pivotArea dataOnly="0" labelOnly="1" outline="0" fieldPosition="0">
        <references count="3">
          <reference field="0" count="1" selected="0">
            <x v="19"/>
          </reference>
          <reference field="1" count="1" selected="0">
            <x v="33"/>
          </reference>
          <reference field="4" count="1">
            <x v="1"/>
          </reference>
        </references>
      </pivotArea>
    </format>
    <format dxfId="553">
      <pivotArea dataOnly="0" labelOnly="1" outline="0" fieldPosition="0">
        <references count="3">
          <reference field="0" count="1" selected="0">
            <x v="0"/>
          </reference>
          <reference field="1" count="1" selected="0">
            <x v="7"/>
          </reference>
          <reference field="4" count="1">
            <x v="0"/>
          </reference>
        </references>
      </pivotArea>
    </format>
    <format dxfId="552">
      <pivotArea dataOnly="0" labelOnly="1" outline="0" fieldPosition="0">
        <references count="3">
          <reference field="0" count="1" selected="0">
            <x v="1"/>
          </reference>
          <reference field="1" count="1" selected="0">
            <x v="8"/>
          </reference>
          <reference field="4" count="1">
            <x v="2"/>
          </reference>
        </references>
      </pivotArea>
    </format>
    <format dxfId="551">
      <pivotArea dataOnly="0" labelOnly="1" outline="0" fieldPosition="0">
        <references count="3">
          <reference field="0" count="1" selected="0">
            <x v="3"/>
          </reference>
          <reference field="1" count="1" selected="0">
            <x v="15"/>
          </reference>
          <reference field="4" count="1">
            <x v="0"/>
          </reference>
        </references>
      </pivotArea>
    </format>
    <format dxfId="550">
      <pivotArea dataOnly="0" labelOnly="1" outline="0" fieldPosition="0">
        <references count="3">
          <reference field="0" count="1" selected="0">
            <x v="6"/>
          </reference>
          <reference field="1" count="1" selected="0">
            <x v="2"/>
          </reference>
          <reference field="4" count="1">
            <x v="2"/>
          </reference>
        </references>
      </pivotArea>
    </format>
    <format dxfId="549">
      <pivotArea dataOnly="0" labelOnly="1" outline="0" fieldPosition="0">
        <references count="3">
          <reference field="0" count="1" selected="0">
            <x v="7"/>
          </reference>
          <reference field="1" count="1" selected="0">
            <x v="22"/>
          </reference>
          <reference field="4" count="1">
            <x v="0"/>
          </reference>
        </references>
      </pivotArea>
    </format>
    <format dxfId="548">
      <pivotArea dataOnly="0" labelOnly="1" outline="0" fieldPosition="0">
        <references count="3">
          <reference field="0" count="1" selected="0">
            <x v="10"/>
          </reference>
          <reference field="1" count="1" selected="0">
            <x v="28"/>
          </reference>
          <reference field="4" count="1">
            <x v="0"/>
          </reference>
        </references>
      </pivotArea>
    </format>
    <format dxfId="547">
      <pivotArea dataOnly="0" labelOnly="1" outline="0" fieldPosition="0">
        <references count="3">
          <reference field="0" count="1" selected="0">
            <x v="11"/>
          </reference>
          <reference field="1" count="1" selected="0">
            <x v="3"/>
          </reference>
          <reference field="4" count="1">
            <x v="2"/>
          </reference>
        </references>
      </pivotArea>
    </format>
    <format dxfId="546">
      <pivotArea dataOnly="0" labelOnly="1" outline="0" fieldPosition="0">
        <references count="3">
          <reference field="0" count="1" selected="0">
            <x v="12"/>
          </reference>
          <reference field="1" count="1" selected="0">
            <x v="38"/>
          </reference>
          <reference field="4" count="1">
            <x v="0"/>
          </reference>
        </references>
      </pivotArea>
    </format>
    <format dxfId="545">
      <pivotArea dataOnly="0" labelOnly="1" outline="0" fieldPosition="0">
        <references count="3">
          <reference field="0" count="1" selected="0">
            <x v="14"/>
          </reference>
          <reference field="1" count="1" selected="0">
            <x v="19"/>
          </reference>
          <reference field="4" count="1">
            <x v="2"/>
          </reference>
        </references>
      </pivotArea>
    </format>
    <format dxfId="544">
      <pivotArea dataOnly="0" labelOnly="1" outline="0" fieldPosition="0">
        <references count="3">
          <reference field="0" count="1" selected="0">
            <x v="15"/>
          </reference>
          <reference field="1" count="1" selected="0">
            <x v="40"/>
          </reference>
          <reference field="4" count="1">
            <x v="0"/>
          </reference>
        </references>
      </pivotArea>
    </format>
    <format dxfId="543">
      <pivotArea dataOnly="0" labelOnly="1" outline="0" fieldPosition="0">
        <references count="3">
          <reference field="0" count="1" selected="0">
            <x v="16"/>
          </reference>
          <reference field="1" count="1" selected="0">
            <x v="0"/>
          </reference>
          <reference field="4" count="1">
            <x v="3"/>
          </reference>
        </references>
      </pivotArea>
    </format>
    <format dxfId="542">
      <pivotArea dataOnly="0" labelOnly="1" outline="0" fieldPosition="0">
        <references count="3">
          <reference field="0" count="1" selected="0">
            <x v="17"/>
          </reference>
          <reference field="1" count="1" selected="0">
            <x v="49"/>
          </reference>
          <reference field="4" count="1">
            <x v="0"/>
          </reference>
        </references>
      </pivotArea>
    </format>
    <format dxfId="541">
      <pivotArea dataOnly="0" labelOnly="1" outline="0" fieldPosition="0">
        <references count="3">
          <reference field="0" count="1" selected="0">
            <x v="18"/>
          </reference>
          <reference field="1" count="1" selected="0">
            <x v="52"/>
          </reference>
          <reference field="4" count="1">
            <x v="2"/>
          </reference>
        </references>
      </pivotArea>
    </format>
    <format dxfId="540">
      <pivotArea dataOnly="0" labelOnly="1" outline="0" fieldPosition="0">
        <references count="3">
          <reference field="0" count="1" selected="0">
            <x v="19"/>
          </reference>
          <reference field="1" count="1" selected="0">
            <x v="33"/>
          </reference>
          <reference field="4" count="1">
            <x v="1"/>
          </reference>
        </references>
      </pivotArea>
    </format>
    <format dxfId="539">
      <pivotArea dataOnly="0" labelOnly="1" outline="0" fieldPosition="0">
        <references count="3">
          <reference field="0" count="1" selected="0">
            <x v="0"/>
          </reference>
          <reference field="1" count="1" selected="0">
            <x v="7"/>
          </reference>
          <reference field="4" count="1">
            <x v="0"/>
          </reference>
        </references>
      </pivotArea>
    </format>
    <format dxfId="538">
      <pivotArea dataOnly="0" labelOnly="1" outline="0" fieldPosition="0">
        <references count="3">
          <reference field="0" count="1" selected="0">
            <x v="1"/>
          </reference>
          <reference field="1" count="1" selected="0">
            <x v="8"/>
          </reference>
          <reference field="4" count="1">
            <x v="2"/>
          </reference>
        </references>
      </pivotArea>
    </format>
    <format dxfId="537">
      <pivotArea dataOnly="0" labelOnly="1" outline="0" fieldPosition="0">
        <references count="3">
          <reference field="0" count="1" selected="0">
            <x v="3"/>
          </reference>
          <reference field="1" count="1" selected="0">
            <x v="15"/>
          </reference>
          <reference field="4" count="1">
            <x v="0"/>
          </reference>
        </references>
      </pivotArea>
    </format>
    <format dxfId="536">
      <pivotArea dataOnly="0" labelOnly="1" outline="0" fieldPosition="0">
        <references count="3">
          <reference field="0" count="1" selected="0">
            <x v="6"/>
          </reference>
          <reference field="1" count="1" selected="0">
            <x v="2"/>
          </reference>
          <reference field="4" count="1">
            <x v="2"/>
          </reference>
        </references>
      </pivotArea>
    </format>
    <format dxfId="535">
      <pivotArea dataOnly="0" labelOnly="1" outline="0" fieldPosition="0">
        <references count="3">
          <reference field="0" count="1" selected="0">
            <x v="7"/>
          </reference>
          <reference field="1" count="1" selected="0">
            <x v="22"/>
          </reference>
          <reference field="4" count="1">
            <x v="0"/>
          </reference>
        </references>
      </pivotArea>
    </format>
    <format dxfId="534">
      <pivotArea dataOnly="0" labelOnly="1" outline="0" fieldPosition="0">
        <references count="3">
          <reference field="0" count="1" selected="0">
            <x v="10"/>
          </reference>
          <reference field="1" count="1" selected="0">
            <x v="28"/>
          </reference>
          <reference field="4" count="1">
            <x v="0"/>
          </reference>
        </references>
      </pivotArea>
    </format>
    <format dxfId="533">
      <pivotArea dataOnly="0" labelOnly="1" outline="0" fieldPosition="0">
        <references count="3">
          <reference field="0" count="1" selected="0">
            <x v="11"/>
          </reference>
          <reference field="1" count="1" selected="0">
            <x v="3"/>
          </reference>
          <reference field="4" count="1">
            <x v="2"/>
          </reference>
        </references>
      </pivotArea>
    </format>
    <format dxfId="532">
      <pivotArea dataOnly="0" labelOnly="1" outline="0" fieldPosition="0">
        <references count="3">
          <reference field="0" count="1" selected="0">
            <x v="12"/>
          </reference>
          <reference field="1" count="1" selected="0">
            <x v="38"/>
          </reference>
          <reference field="4" count="1">
            <x v="0"/>
          </reference>
        </references>
      </pivotArea>
    </format>
    <format dxfId="531">
      <pivotArea dataOnly="0" labelOnly="1" outline="0" fieldPosition="0">
        <references count="3">
          <reference field="0" count="1" selected="0">
            <x v="14"/>
          </reference>
          <reference field="1" count="1" selected="0">
            <x v="19"/>
          </reference>
          <reference field="4" count="1">
            <x v="2"/>
          </reference>
        </references>
      </pivotArea>
    </format>
    <format dxfId="530">
      <pivotArea dataOnly="0" labelOnly="1" outline="0" fieldPosition="0">
        <references count="3">
          <reference field="0" count="1" selected="0">
            <x v="15"/>
          </reference>
          <reference field="1" count="1" selected="0">
            <x v="40"/>
          </reference>
          <reference field="4" count="1">
            <x v="0"/>
          </reference>
        </references>
      </pivotArea>
    </format>
    <format dxfId="529">
      <pivotArea dataOnly="0" labelOnly="1" outline="0" fieldPosition="0">
        <references count="3">
          <reference field="0" count="1" selected="0">
            <x v="16"/>
          </reference>
          <reference field="1" count="1" selected="0">
            <x v="0"/>
          </reference>
          <reference field="4" count="1">
            <x v="3"/>
          </reference>
        </references>
      </pivotArea>
    </format>
    <format dxfId="528">
      <pivotArea dataOnly="0" labelOnly="1" outline="0" fieldPosition="0">
        <references count="3">
          <reference field="0" count="1" selected="0">
            <x v="17"/>
          </reference>
          <reference field="1" count="1" selected="0">
            <x v="49"/>
          </reference>
          <reference field="4" count="1">
            <x v="0"/>
          </reference>
        </references>
      </pivotArea>
    </format>
    <format dxfId="527">
      <pivotArea dataOnly="0" labelOnly="1" outline="0" fieldPosition="0">
        <references count="3">
          <reference field="0" count="1" selected="0">
            <x v="18"/>
          </reference>
          <reference field="1" count="1" selected="0">
            <x v="52"/>
          </reference>
          <reference field="4" count="1">
            <x v="2"/>
          </reference>
        </references>
      </pivotArea>
    </format>
    <format dxfId="526">
      <pivotArea dataOnly="0" labelOnly="1" outline="0" fieldPosition="0">
        <references count="3">
          <reference field="0" count="1" selected="0">
            <x v="19"/>
          </reference>
          <reference field="1" count="1" selected="0">
            <x v="33"/>
          </reference>
          <reference field="4" count="1">
            <x v="1"/>
          </reference>
        </references>
      </pivotArea>
    </format>
    <format dxfId="525">
      <pivotArea dataOnly="0" labelOnly="1" outline="0" fieldPosition="0">
        <references count="3">
          <reference field="0" count="1" selected="0">
            <x v="0"/>
          </reference>
          <reference field="1" count="1" selected="0">
            <x v="7"/>
          </reference>
          <reference field="4" count="1">
            <x v="0"/>
          </reference>
        </references>
      </pivotArea>
    </format>
    <format dxfId="524">
      <pivotArea dataOnly="0" labelOnly="1" outline="0" fieldPosition="0">
        <references count="3">
          <reference field="0" count="1" selected="0">
            <x v="1"/>
          </reference>
          <reference field="1" count="1" selected="0">
            <x v="8"/>
          </reference>
          <reference field="4" count="1">
            <x v="2"/>
          </reference>
        </references>
      </pivotArea>
    </format>
    <format dxfId="523">
      <pivotArea dataOnly="0" labelOnly="1" outline="0" fieldPosition="0">
        <references count="3">
          <reference field="0" count="1" selected="0">
            <x v="3"/>
          </reference>
          <reference field="1" count="1" selected="0">
            <x v="15"/>
          </reference>
          <reference field="4" count="1">
            <x v="0"/>
          </reference>
        </references>
      </pivotArea>
    </format>
    <format dxfId="522">
      <pivotArea dataOnly="0" labelOnly="1" outline="0" fieldPosition="0">
        <references count="3">
          <reference field="0" count="1" selected="0">
            <x v="6"/>
          </reference>
          <reference field="1" count="1" selected="0">
            <x v="2"/>
          </reference>
          <reference field="4" count="1">
            <x v="2"/>
          </reference>
        </references>
      </pivotArea>
    </format>
    <format dxfId="521">
      <pivotArea dataOnly="0" labelOnly="1" outline="0" fieldPosition="0">
        <references count="3">
          <reference field="0" count="1" selected="0">
            <x v="7"/>
          </reference>
          <reference field="1" count="1" selected="0">
            <x v="22"/>
          </reference>
          <reference field="4" count="1">
            <x v="0"/>
          </reference>
        </references>
      </pivotArea>
    </format>
    <format dxfId="520">
      <pivotArea dataOnly="0" labelOnly="1" outline="0" fieldPosition="0">
        <references count="3">
          <reference field="0" count="1" selected="0">
            <x v="10"/>
          </reference>
          <reference field="1" count="1" selected="0">
            <x v="28"/>
          </reference>
          <reference field="4" count="1">
            <x v="0"/>
          </reference>
        </references>
      </pivotArea>
    </format>
    <format dxfId="519">
      <pivotArea dataOnly="0" labelOnly="1" outline="0" fieldPosition="0">
        <references count="3">
          <reference field="0" count="1" selected="0">
            <x v="11"/>
          </reference>
          <reference field="1" count="1" selected="0">
            <x v="3"/>
          </reference>
          <reference field="4" count="1">
            <x v="2"/>
          </reference>
        </references>
      </pivotArea>
    </format>
    <format dxfId="518">
      <pivotArea dataOnly="0" labelOnly="1" outline="0" fieldPosition="0">
        <references count="3">
          <reference field="0" count="1" selected="0">
            <x v="12"/>
          </reference>
          <reference field="1" count="1" selected="0">
            <x v="38"/>
          </reference>
          <reference field="4" count="1">
            <x v="0"/>
          </reference>
        </references>
      </pivotArea>
    </format>
    <format dxfId="517">
      <pivotArea dataOnly="0" labelOnly="1" outline="0" fieldPosition="0">
        <references count="3">
          <reference field="0" count="1" selected="0">
            <x v="14"/>
          </reference>
          <reference field="1" count="1" selected="0">
            <x v="19"/>
          </reference>
          <reference field="4" count="1">
            <x v="2"/>
          </reference>
        </references>
      </pivotArea>
    </format>
    <format dxfId="516">
      <pivotArea dataOnly="0" labelOnly="1" outline="0" fieldPosition="0">
        <references count="3">
          <reference field="0" count="1" selected="0">
            <x v="15"/>
          </reference>
          <reference field="1" count="1" selected="0">
            <x v="40"/>
          </reference>
          <reference field="4" count="1">
            <x v="0"/>
          </reference>
        </references>
      </pivotArea>
    </format>
    <format dxfId="515">
      <pivotArea dataOnly="0" labelOnly="1" outline="0" fieldPosition="0">
        <references count="3">
          <reference field="0" count="1" selected="0">
            <x v="16"/>
          </reference>
          <reference field="1" count="1" selected="0">
            <x v="0"/>
          </reference>
          <reference field="4" count="1">
            <x v="3"/>
          </reference>
        </references>
      </pivotArea>
    </format>
    <format dxfId="514">
      <pivotArea dataOnly="0" labelOnly="1" outline="0" fieldPosition="0">
        <references count="3">
          <reference field="0" count="1" selected="0">
            <x v="17"/>
          </reference>
          <reference field="1" count="1" selected="0">
            <x v="49"/>
          </reference>
          <reference field="4" count="1">
            <x v="0"/>
          </reference>
        </references>
      </pivotArea>
    </format>
    <format dxfId="513">
      <pivotArea dataOnly="0" labelOnly="1" outline="0" fieldPosition="0">
        <references count="3">
          <reference field="0" count="1" selected="0">
            <x v="18"/>
          </reference>
          <reference field="1" count="1" selected="0">
            <x v="52"/>
          </reference>
          <reference field="4" count="1">
            <x v="2"/>
          </reference>
        </references>
      </pivotArea>
    </format>
    <format dxfId="512">
      <pivotArea dataOnly="0" labelOnly="1" outline="0" fieldPosition="0">
        <references count="3">
          <reference field="0" count="1" selected="0">
            <x v="19"/>
          </reference>
          <reference field="1" count="1" selected="0">
            <x v="33"/>
          </reference>
          <reference field="4" count="1">
            <x v="1"/>
          </reference>
        </references>
      </pivotArea>
    </format>
    <format dxfId="511">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510">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509">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508">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507">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506">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505">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504">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503">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502">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501">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500">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499">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498">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497">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496">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495">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494">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493">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492">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491">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490">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489">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488">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487">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486">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485">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484">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483">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482">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481">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480">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479">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478">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477">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476">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475">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474">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473">
      <pivotArea dataOnly="0" labelOnly="1" outline="0" fieldPosition="0">
        <references count="4">
          <reference field="0" count="1" selected="0">
            <x v="13"/>
          </reference>
          <reference field="1" count="1" selected="0">
            <x v="45"/>
          </reference>
          <reference field="4" count="1" selected="0">
            <x v="0"/>
          </reference>
          <reference field="5" count="1">
            <x v="2"/>
          </reference>
        </references>
      </pivotArea>
    </format>
    <format dxfId="472">
      <pivotArea dataOnly="0" labelOnly="1" outline="0" fieldPosition="0">
        <references count="4">
          <reference field="0" count="1" selected="0">
            <x v="13"/>
          </reference>
          <reference field="1" count="1" selected="0">
            <x v="50"/>
          </reference>
          <reference field="4" count="1" selected="0">
            <x v="0"/>
          </reference>
          <reference field="5" count="1">
            <x v="2"/>
          </reference>
        </references>
      </pivotArea>
    </format>
    <format dxfId="471">
      <pivotArea dataOnly="0" labelOnly="1" outline="0" fieldPosition="0">
        <references count="4">
          <reference field="0" count="1" selected="0">
            <x v="13"/>
          </reference>
          <reference field="1" count="1" selected="0">
            <x v="51"/>
          </reference>
          <reference field="4" count="1" selected="0">
            <x v="0"/>
          </reference>
          <reference field="5" count="1">
            <x v="2"/>
          </reference>
        </references>
      </pivotArea>
    </format>
    <format dxfId="470">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469">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468">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467">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466">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465">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464">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463">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462">
      <pivotArea dataOnly="0" labelOnly="1" outline="0" fieldPosition="0">
        <references count="4">
          <reference field="0" count="1" selected="0">
            <x v="16"/>
          </reference>
          <reference field="1" count="1" selected="0">
            <x v="0"/>
          </reference>
          <reference field="4" count="1" selected="0">
            <x v="3"/>
          </reference>
          <reference field="5" count="1">
            <x v="3"/>
          </reference>
        </references>
      </pivotArea>
    </format>
    <format dxfId="461">
      <pivotArea dataOnly="0" labelOnly="1" outline="0" fieldPosition="0">
        <references count="4">
          <reference field="0" count="1" selected="0">
            <x v="16"/>
          </reference>
          <reference field="1" count="1" selected="0">
            <x v="1"/>
          </reference>
          <reference field="4" count="1" selected="0">
            <x v="3"/>
          </reference>
          <reference field="5" count="1">
            <x v="3"/>
          </reference>
        </references>
      </pivotArea>
    </format>
    <format dxfId="460">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459">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458">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457">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456">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455">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454">
      <pivotArea type="origin" dataOnly="0" labelOnly="1" outline="0" fieldPosition="0"/>
    </format>
    <format dxfId="453">
      <pivotArea field="0" type="button" dataOnly="0" labelOnly="1" outline="0" axis="axisRow" fieldPosition="0"/>
    </format>
    <format dxfId="452">
      <pivotArea field="1" type="button" dataOnly="0" labelOnly="1" outline="0" axis="axisRow" fieldPosition="1"/>
    </format>
    <format dxfId="451">
      <pivotArea field="4" type="button" dataOnly="0" labelOnly="1" outline="0" axis="axisRow" fieldPosition="2"/>
    </format>
    <format dxfId="450">
      <pivotArea field="5" type="button" dataOnly="0" labelOnly="1" outline="0" axis="axisRow" fieldPosition="3"/>
    </format>
    <format dxfId="449">
      <pivotArea dataOnly="0" labelOnly="1" outline="0" fieldPosition="0">
        <references count="1">
          <reference field="0" count="0"/>
        </references>
      </pivotArea>
    </format>
    <format dxfId="448">
      <pivotArea dataOnly="0" labelOnly="1" outline="0" fieldPosition="0">
        <references count="2">
          <reference field="0" count="1" selected="0">
            <x v="0"/>
          </reference>
          <reference field="1" count="1">
            <x v="7"/>
          </reference>
        </references>
      </pivotArea>
    </format>
    <format dxfId="447">
      <pivotArea dataOnly="0" labelOnly="1" outline="0" fieldPosition="0">
        <references count="2">
          <reference field="0" count="1" selected="0">
            <x v="1"/>
          </reference>
          <reference field="1" count="3">
            <x v="8"/>
            <x v="9"/>
            <x v="44"/>
          </reference>
        </references>
      </pivotArea>
    </format>
    <format dxfId="446">
      <pivotArea dataOnly="0" labelOnly="1" outline="0" fieldPosition="0">
        <references count="2">
          <reference field="0" count="1" selected="0">
            <x v="2"/>
          </reference>
          <reference field="1" count="1">
            <x v="10"/>
          </reference>
        </references>
      </pivotArea>
    </format>
    <format dxfId="445">
      <pivotArea dataOnly="0" labelOnly="1" outline="0" fieldPosition="0">
        <references count="2">
          <reference field="0" count="1" selected="0">
            <x v="3"/>
          </reference>
          <reference field="1" count="2">
            <x v="15"/>
            <x v="16"/>
          </reference>
        </references>
      </pivotArea>
    </format>
    <format dxfId="444">
      <pivotArea dataOnly="0" labelOnly="1" outline="0" fieldPosition="0">
        <references count="2">
          <reference field="0" count="1" selected="0">
            <x v="4"/>
          </reference>
          <reference field="1" count="4">
            <x v="11"/>
            <x v="17"/>
            <x v="18"/>
            <x v="29"/>
          </reference>
        </references>
      </pivotArea>
    </format>
    <format dxfId="443">
      <pivotArea dataOnly="0" labelOnly="1" outline="0" fieldPosition="0">
        <references count="2">
          <reference field="0" count="1" selected="0">
            <x v="5"/>
          </reference>
          <reference field="1" count="4">
            <x v="12"/>
            <x v="13"/>
            <x v="14"/>
            <x v="48"/>
          </reference>
        </references>
      </pivotArea>
    </format>
    <format dxfId="442">
      <pivotArea dataOnly="0" labelOnly="1" outline="0" fieldPosition="0">
        <references count="2">
          <reference field="0" count="1" selected="0">
            <x v="6"/>
          </reference>
          <reference field="1" count="11">
            <x v="2"/>
            <x v="5"/>
            <x v="6"/>
            <x v="20"/>
            <x v="21"/>
            <x v="27"/>
            <x v="31"/>
            <x v="37"/>
            <x v="42"/>
            <x v="43"/>
            <x v="56"/>
          </reference>
        </references>
      </pivotArea>
    </format>
    <format dxfId="441">
      <pivotArea dataOnly="0" labelOnly="1" outline="0" fieldPosition="0">
        <references count="2">
          <reference field="0" count="1" selected="0">
            <x v="7"/>
          </reference>
          <reference field="1" count="2">
            <x v="22"/>
            <x v="23"/>
          </reference>
        </references>
      </pivotArea>
    </format>
    <format dxfId="440">
      <pivotArea dataOnly="0" labelOnly="1" outline="0" fieldPosition="0">
        <references count="2">
          <reference field="0" count="1" selected="0">
            <x v="8"/>
          </reference>
          <reference field="1" count="3">
            <x v="24"/>
            <x v="25"/>
            <x v="26"/>
          </reference>
        </references>
      </pivotArea>
    </format>
    <format dxfId="439">
      <pivotArea dataOnly="0" labelOnly="1" outline="0" fieldPosition="0">
        <references count="2">
          <reference field="0" count="1" selected="0">
            <x v="10"/>
          </reference>
          <reference field="1" count="2">
            <x v="28"/>
            <x v="30"/>
          </reference>
        </references>
      </pivotArea>
    </format>
    <format dxfId="438">
      <pivotArea dataOnly="0" labelOnly="1" outline="0" fieldPosition="0">
        <references count="2">
          <reference field="0" count="1" selected="0">
            <x v="11"/>
          </reference>
          <reference field="1" count="4">
            <x v="3"/>
            <x v="4"/>
            <x v="32"/>
            <x v="55"/>
          </reference>
        </references>
      </pivotArea>
    </format>
    <format dxfId="437">
      <pivotArea dataOnly="0" labelOnly="1" outline="0" fieldPosition="0">
        <references count="2">
          <reference field="0" count="1" selected="0">
            <x v="12"/>
          </reference>
          <reference field="1" count="1">
            <x v="38"/>
          </reference>
        </references>
      </pivotArea>
    </format>
    <format dxfId="436">
      <pivotArea dataOnly="0" labelOnly="1" outline="0" fieldPosition="0">
        <references count="2">
          <reference field="0" count="1" selected="0">
            <x v="13"/>
          </reference>
          <reference field="1" count="3">
            <x v="45"/>
            <x v="50"/>
            <x v="51"/>
          </reference>
        </references>
      </pivotArea>
    </format>
    <format dxfId="435">
      <pivotArea dataOnly="0" labelOnly="1" outline="0" fieldPosition="0">
        <references count="2">
          <reference field="0" count="1" selected="0">
            <x v="14"/>
          </reference>
          <reference field="1" count="7">
            <x v="19"/>
            <x v="34"/>
            <x v="35"/>
            <x v="36"/>
            <x v="41"/>
            <x v="46"/>
            <x v="47"/>
          </reference>
        </references>
      </pivotArea>
    </format>
    <format dxfId="434">
      <pivotArea dataOnly="0" labelOnly="1" outline="0" fieldPosition="0">
        <references count="2">
          <reference field="0" count="1" selected="0">
            <x v="15"/>
          </reference>
          <reference field="1" count="1">
            <x v="40"/>
          </reference>
        </references>
      </pivotArea>
    </format>
    <format dxfId="433">
      <pivotArea dataOnly="0" labelOnly="1" outline="0" fieldPosition="0">
        <references count="2">
          <reference field="0" count="1" selected="0">
            <x v="16"/>
          </reference>
          <reference field="1" count="2">
            <x v="0"/>
            <x v="1"/>
          </reference>
        </references>
      </pivotArea>
    </format>
    <format dxfId="432">
      <pivotArea dataOnly="0" labelOnly="1" outline="0" fieldPosition="0">
        <references count="2">
          <reference field="0" count="1" selected="0">
            <x v="17"/>
          </reference>
          <reference field="1" count="1">
            <x v="49"/>
          </reference>
        </references>
      </pivotArea>
    </format>
    <format dxfId="431">
      <pivotArea dataOnly="0" labelOnly="1" outline="0" fieldPosition="0">
        <references count="2">
          <reference field="0" count="1" selected="0">
            <x v="18"/>
          </reference>
          <reference field="1" count="3">
            <x v="52"/>
            <x v="53"/>
            <x v="54"/>
          </reference>
        </references>
      </pivotArea>
    </format>
    <format dxfId="430">
      <pivotArea dataOnly="0" labelOnly="1" outline="0" fieldPosition="0">
        <references count="2">
          <reference field="0" count="1" selected="0">
            <x v="19"/>
          </reference>
          <reference field="1" count="2">
            <x v="33"/>
            <x v="39"/>
          </reference>
        </references>
      </pivotArea>
    </format>
    <format dxfId="429">
      <pivotArea dataOnly="0" labelOnly="1" outline="0" fieldPosition="0">
        <references count="3">
          <reference field="0" count="1" selected="0">
            <x v="0"/>
          </reference>
          <reference field="1" count="1" selected="0">
            <x v="7"/>
          </reference>
          <reference field="4" count="1">
            <x v="0"/>
          </reference>
        </references>
      </pivotArea>
    </format>
    <format dxfId="428">
      <pivotArea dataOnly="0" labelOnly="1" outline="0" fieldPosition="0">
        <references count="3">
          <reference field="0" count="1" selected="0">
            <x v="1"/>
          </reference>
          <reference field="1" count="1" selected="0">
            <x v="8"/>
          </reference>
          <reference field="4" count="1">
            <x v="2"/>
          </reference>
        </references>
      </pivotArea>
    </format>
    <format dxfId="427">
      <pivotArea dataOnly="0" labelOnly="1" outline="0" fieldPosition="0">
        <references count="3">
          <reference field="0" count="1" selected="0">
            <x v="3"/>
          </reference>
          <reference field="1" count="1" selected="0">
            <x v="15"/>
          </reference>
          <reference field="4" count="1">
            <x v="0"/>
          </reference>
        </references>
      </pivotArea>
    </format>
    <format dxfId="426">
      <pivotArea dataOnly="0" labelOnly="1" outline="0" fieldPosition="0">
        <references count="3">
          <reference field="0" count="1" selected="0">
            <x v="6"/>
          </reference>
          <reference field="1" count="1" selected="0">
            <x v="2"/>
          </reference>
          <reference field="4" count="1">
            <x v="2"/>
          </reference>
        </references>
      </pivotArea>
    </format>
    <format dxfId="425">
      <pivotArea dataOnly="0" labelOnly="1" outline="0" fieldPosition="0">
        <references count="3">
          <reference field="0" count="1" selected="0">
            <x v="7"/>
          </reference>
          <reference field="1" count="1" selected="0">
            <x v="22"/>
          </reference>
          <reference field="4" count="1">
            <x v="0"/>
          </reference>
        </references>
      </pivotArea>
    </format>
    <format dxfId="424">
      <pivotArea dataOnly="0" labelOnly="1" outline="0" fieldPosition="0">
        <references count="3">
          <reference field="0" count="1" selected="0">
            <x v="10"/>
          </reference>
          <reference field="1" count="1" selected="0">
            <x v="28"/>
          </reference>
          <reference field="4" count="1">
            <x v="0"/>
          </reference>
        </references>
      </pivotArea>
    </format>
    <format dxfId="423">
      <pivotArea dataOnly="0" labelOnly="1" outline="0" fieldPosition="0">
        <references count="3">
          <reference field="0" count="1" selected="0">
            <x v="11"/>
          </reference>
          <reference field="1" count="1" selected="0">
            <x v="3"/>
          </reference>
          <reference field="4" count="1">
            <x v="2"/>
          </reference>
        </references>
      </pivotArea>
    </format>
    <format dxfId="422">
      <pivotArea dataOnly="0" labelOnly="1" outline="0" fieldPosition="0">
        <references count="3">
          <reference field="0" count="1" selected="0">
            <x v="12"/>
          </reference>
          <reference field="1" count="1" selected="0">
            <x v="38"/>
          </reference>
          <reference field="4" count="1">
            <x v="0"/>
          </reference>
        </references>
      </pivotArea>
    </format>
    <format dxfId="421">
      <pivotArea dataOnly="0" labelOnly="1" outline="0" fieldPosition="0">
        <references count="3">
          <reference field="0" count="1" selected="0">
            <x v="14"/>
          </reference>
          <reference field="1" count="1" selected="0">
            <x v="19"/>
          </reference>
          <reference field="4" count="1">
            <x v="2"/>
          </reference>
        </references>
      </pivotArea>
    </format>
    <format dxfId="420">
      <pivotArea dataOnly="0" labelOnly="1" outline="0" fieldPosition="0">
        <references count="3">
          <reference field="0" count="1" selected="0">
            <x v="15"/>
          </reference>
          <reference field="1" count="1" selected="0">
            <x v="40"/>
          </reference>
          <reference field="4" count="1">
            <x v="0"/>
          </reference>
        </references>
      </pivotArea>
    </format>
    <format dxfId="419">
      <pivotArea dataOnly="0" labelOnly="1" outline="0" fieldPosition="0">
        <references count="3">
          <reference field="0" count="1" selected="0">
            <x v="16"/>
          </reference>
          <reference field="1" count="1" selected="0">
            <x v="0"/>
          </reference>
          <reference field="4" count="1">
            <x v="3"/>
          </reference>
        </references>
      </pivotArea>
    </format>
    <format dxfId="418">
      <pivotArea dataOnly="0" labelOnly="1" outline="0" fieldPosition="0">
        <references count="3">
          <reference field="0" count="1" selected="0">
            <x v="17"/>
          </reference>
          <reference field="1" count="1" selected="0">
            <x v="49"/>
          </reference>
          <reference field="4" count="1">
            <x v="0"/>
          </reference>
        </references>
      </pivotArea>
    </format>
    <format dxfId="417">
      <pivotArea dataOnly="0" labelOnly="1" outline="0" fieldPosition="0">
        <references count="3">
          <reference field="0" count="1" selected="0">
            <x v="18"/>
          </reference>
          <reference field="1" count="1" selected="0">
            <x v="52"/>
          </reference>
          <reference field="4" count="1">
            <x v="2"/>
          </reference>
        </references>
      </pivotArea>
    </format>
    <format dxfId="416">
      <pivotArea dataOnly="0" labelOnly="1" outline="0" fieldPosition="0">
        <references count="3">
          <reference field="0" count="1" selected="0">
            <x v="19"/>
          </reference>
          <reference field="1" count="1" selected="0">
            <x v="33"/>
          </reference>
          <reference field="4" count="1">
            <x v="1"/>
          </reference>
        </references>
      </pivotArea>
    </format>
    <format dxfId="415">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414">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413">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412">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411">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410">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409">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408">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407">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406">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405">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404">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403">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402">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401">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400">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399">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398">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397">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396">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395">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394">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393">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392">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391">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390">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389">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388">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387">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386">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385">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384">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383">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382">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381">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380">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379">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378">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377">
      <pivotArea dataOnly="0" labelOnly="1" outline="0" fieldPosition="0">
        <references count="4">
          <reference field="0" count="1" selected="0">
            <x v="13"/>
          </reference>
          <reference field="1" count="1" selected="0">
            <x v="45"/>
          </reference>
          <reference field="4" count="1" selected="0">
            <x v="0"/>
          </reference>
          <reference field="5" count="1">
            <x v="2"/>
          </reference>
        </references>
      </pivotArea>
    </format>
    <format dxfId="376">
      <pivotArea dataOnly="0" labelOnly="1" outline="0" fieldPosition="0">
        <references count="4">
          <reference field="0" count="1" selected="0">
            <x v="13"/>
          </reference>
          <reference field="1" count="1" selected="0">
            <x v="50"/>
          </reference>
          <reference field="4" count="1" selected="0">
            <x v="0"/>
          </reference>
          <reference field="5" count="1">
            <x v="2"/>
          </reference>
        </references>
      </pivotArea>
    </format>
    <format dxfId="375">
      <pivotArea dataOnly="0" labelOnly="1" outline="0" fieldPosition="0">
        <references count="4">
          <reference field="0" count="1" selected="0">
            <x v="13"/>
          </reference>
          <reference field="1" count="1" selected="0">
            <x v="51"/>
          </reference>
          <reference field="4" count="1" selected="0">
            <x v="0"/>
          </reference>
          <reference field="5" count="1">
            <x v="2"/>
          </reference>
        </references>
      </pivotArea>
    </format>
    <format dxfId="374">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373">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372">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371">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370">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369">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368">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367">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366">
      <pivotArea dataOnly="0" labelOnly="1" outline="0" fieldPosition="0">
        <references count="4">
          <reference field="0" count="1" selected="0">
            <x v="16"/>
          </reference>
          <reference field="1" count="1" selected="0">
            <x v="0"/>
          </reference>
          <reference field="4" count="1" selected="0">
            <x v="3"/>
          </reference>
          <reference field="5" count="1">
            <x v="3"/>
          </reference>
        </references>
      </pivotArea>
    </format>
    <format dxfId="365">
      <pivotArea dataOnly="0" labelOnly="1" outline="0" fieldPosition="0">
        <references count="4">
          <reference field="0" count="1" selected="0">
            <x v="16"/>
          </reference>
          <reference field="1" count="1" selected="0">
            <x v="1"/>
          </reference>
          <reference field="4" count="1" selected="0">
            <x v="3"/>
          </reference>
          <reference field="5" count="1">
            <x v="3"/>
          </reference>
        </references>
      </pivotArea>
    </format>
    <format dxfId="364">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363">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362">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361">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360">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359">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358">
      <pivotArea type="origin" dataOnly="0" labelOnly="1" outline="0" fieldPosition="0"/>
    </format>
    <format dxfId="357">
      <pivotArea field="0" type="button" dataOnly="0" labelOnly="1" outline="0" axis="axisRow" fieldPosition="0"/>
    </format>
    <format dxfId="356">
      <pivotArea field="1" type="button" dataOnly="0" labelOnly="1" outline="0" axis="axisRow" fieldPosition="1"/>
    </format>
    <format dxfId="355">
      <pivotArea field="4" type="button" dataOnly="0" labelOnly="1" outline="0" axis="axisRow" fieldPosition="2"/>
    </format>
    <format dxfId="354">
      <pivotArea field="5" type="button" dataOnly="0" labelOnly="1" outline="0" axis="axisRow" fieldPosition="3"/>
    </format>
    <format dxfId="353">
      <pivotArea dataOnly="0" labelOnly="1" outline="0" fieldPosition="0">
        <references count="1">
          <reference field="0" count="0"/>
        </references>
      </pivotArea>
    </format>
    <format dxfId="352">
      <pivotArea dataOnly="0" labelOnly="1" outline="0" fieldPosition="0">
        <references count="2">
          <reference field="0" count="1" selected="0">
            <x v="0"/>
          </reference>
          <reference field="1" count="1">
            <x v="7"/>
          </reference>
        </references>
      </pivotArea>
    </format>
    <format dxfId="351">
      <pivotArea dataOnly="0" labelOnly="1" outline="0" fieldPosition="0">
        <references count="2">
          <reference field="0" count="1" selected="0">
            <x v="1"/>
          </reference>
          <reference field="1" count="3">
            <x v="8"/>
            <x v="9"/>
            <x v="44"/>
          </reference>
        </references>
      </pivotArea>
    </format>
    <format dxfId="350">
      <pivotArea dataOnly="0" labelOnly="1" outline="0" fieldPosition="0">
        <references count="2">
          <reference field="0" count="1" selected="0">
            <x v="2"/>
          </reference>
          <reference field="1" count="1">
            <x v="10"/>
          </reference>
        </references>
      </pivotArea>
    </format>
    <format dxfId="349">
      <pivotArea dataOnly="0" labelOnly="1" outline="0" fieldPosition="0">
        <references count="2">
          <reference field="0" count="1" selected="0">
            <x v="3"/>
          </reference>
          <reference field="1" count="2">
            <x v="15"/>
            <x v="16"/>
          </reference>
        </references>
      </pivotArea>
    </format>
    <format dxfId="348">
      <pivotArea dataOnly="0" labelOnly="1" outline="0" fieldPosition="0">
        <references count="2">
          <reference field="0" count="1" selected="0">
            <x v="4"/>
          </reference>
          <reference field="1" count="4">
            <x v="11"/>
            <x v="17"/>
            <x v="18"/>
            <x v="29"/>
          </reference>
        </references>
      </pivotArea>
    </format>
    <format dxfId="347">
      <pivotArea dataOnly="0" labelOnly="1" outline="0" fieldPosition="0">
        <references count="2">
          <reference field="0" count="1" selected="0">
            <x v="5"/>
          </reference>
          <reference field="1" count="4">
            <x v="12"/>
            <x v="13"/>
            <x v="14"/>
            <x v="48"/>
          </reference>
        </references>
      </pivotArea>
    </format>
    <format dxfId="346">
      <pivotArea dataOnly="0" labelOnly="1" outline="0" fieldPosition="0">
        <references count="2">
          <reference field="0" count="1" selected="0">
            <x v="6"/>
          </reference>
          <reference field="1" count="11">
            <x v="2"/>
            <x v="5"/>
            <x v="6"/>
            <x v="20"/>
            <x v="21"/>
            <x v="27"/>
            <x v="31"/>
            <x v="37"/>
            <x v="42"/>
            <x v="43"/>
            <x v="56"/>
          </reference>
        </references>
      </pivotArea>
    </format>
    <format dxfId="345">
      <pivotArea dataOnly="0" labelOnly="1" outline="0" fieldPosition="0">
        <references count="2">
          <reference field="0" count="1" selected="0">
            <x v="7"/>
          </reference>
          <reference field="1" count="2">
            <x v="22"/>
            <x v="23"/>
          </reference>
        </references>
      </pivotArea>
    </format>
    <format dxfId="344">
      <pivotArea dataOnly="0" labelOnly="1" outline="0" fieldPosition="0">
        <references count="2">
          <reference field="0" count="1" selected="0">
            <x v="8"/>
          </reference>
          <reference field="1" count="3">
            <x v="24"/>
            <x v="25"/>
            <x v="26"/>
          </reference>
        </references>
      </pivotArea>
    </format>
    <format dxfId="343">
      <pivotArea dataOnly="0" labelOnly="1" outline="0" fieldPosition="0">
        <references count="2">
          <reference field="0" count="1" selected="0">
            <x v="10"/>
          </reference>
          <reference field="1" count="2">
            <x v="28"/>
            <x v="30"/>
          </reference>
        </references>
      </pivotArea>
    </format>
    <format dxfId="342">
      <pivotArea dataOnly="0" labelOnly="1" outline="0" fieldPosition="0">
        <references count="2">
          <reference field="0" count="1" selected="0">
            <x v="11"/>
          </reference>
          <reference field="1" count="4">
            <x v="3"/>
            <x v="4"/>
            <x v="32"/>
            <x v="55"/>
          </reference>
        </references>
      </pivotArea>
    </format>
    <format dxfId="341">
      <pivotArea dataOnly="0" labelOnly="1" outline="0" fieldPosition="0">
        <references count="2">
          <reference field="0" count="1" selected="0">
            <x v="12"/>
          </reference>
          <reference field="1" count="1">
            <x v="38"/>
          </reference>
        </references>
      </pivotArea>
    </format>
    <format dxfId="340">
      <pivotArea dataOnly="0" labelOnly="1" outline="0" fieldPosition="0">
        <references count="2">
          <reference field="0" count="1" selected="0">
            <x v="13"/>
          </reference>
          <reference field="1" count="3">
            <x v="45"/>
            <x v="50"/>
            <x v="51"/>
          </reference>
        </references>
      </pivotArea>
    </format>
    <format dxfId="339">
      <pivotArea dataOnly="0" labelOnly="1" outline="0" fieldPosition="0">
        <references count="2">
          <reference field="0" count="1" selected="0">
            <x v="14"/>
          </reference>
          <reference field="1" count="7">
            <x v="19"/>
            <x v="34"/>
            <x v="35"/>
            <x v="36"/>
            <x v="41"/>
            <x v="46"/>
            <x v="47"/>
          </reference>
        </references>
      </pivotArea>
    </format>
    <format dxfId="338">
      <pivotArea dataOnly="0" labelOnly="1" outline="0" fieldPosition="0">
        <references count="2">
          <reference field="0" count="1" selected="0">
            <x v="15"/>
          </reference>
          <reference field="1" count="1">
            <x v="40"/>
          </reference>
        </references>
      </pivotArea>
    </format>
    <format dxfId="337">
      <pivotArea dataOnly="0" labelOnly="1" outline="0" fieldPosition="0">
        <references count="2">
          <reference field="0" count="1" selected="0">
            <x v="16"/>
          </reference>
          <reference field="1" count="2">
            <x v="0"/>
            <x v="1"/>
          </reference>
        </references>
      </pivotArea>
    </format>
    <format dxfId="336">
      <pivotArea dataOnly="0" labelOnly="1" outline="0" fieldPosition="0">
        <references count="2">
          <reference field="0" count="1" selected="0">
            <x v="17"/>
          </reference>
          <reference field="1" count="1">
            <x v="49"/>
          </reference>
        </references>
      </pivotArea>
    </format>
    <format dxfId="335">
      <pivotArea dataOnly="0" labelOnly="1" outline="0" fieldPosition="0">
        <references count="2">
          <reference field="0" count="1" selected="0">
            <x v="18"/>
          </reference>
          <reference field="1" count="3">
            <x v="52"/>
            <x v="53"/>
            <x v="54"/>
          </reference>
        </references>
      </pivotArea>
    </format>
    <format dxfId="334">
      <pivotArea dataOnly="0" labelOnly="1" outline="0" fieldPosition="0">
        <references count="2">
          <reference field="0" count="1" selected="0">
            <x v="19"/>
          </reference>
          <reference field="1" count="2">
            <x v="33"/>
            <x v="39"/>
          </reference>
        </references>
      </pivotArea>
    </format>
    <format dxfId="333">
      <pivotArea dataOnly="0" labelOnly="1" outline="0" fieldPosition="0">
        <references count="3">
          <reference field="0" count="1" selected="0">
            <x v="0"/>
          </reference>
          <reference field="1" count="1" selected="0">
            <x v="7"/>
          </reference>
          <reference field="4" count="1">
            <x v="0"/>
          </reference>
        </references>
      </pivotArea>
    </format>
    <format dxfId="332">
      <pivotArea dataOnly="0" labelOnly="1" outline="0" fieldPosition="0">
        <references count="3">
          <reference field="0" count="1" selected="0">
            <x v="1"/>
          </reference>
          <reference field="1" count="1" selected="0">
            <x v="8"/>
          </reference>
          <reference field="4" count="1">
            <x v="2"/>
          </reference>
        </references>
      </pivotArea>
    </format>
    <format dxfId="331">
      <pivotArea dataOnly="0" labelOnly="1" outline="0" fieldPosition="0">
        <references count="3">
          <reference field="0" count="1" selected="0">
            <x v="3"/>
          </reference>
          <reference field="1" count="1" selected="0">
            <x v="15"/>
          </reference>
          <reference field="4" count="1">
            <x v="0"/>
          </reference>
        </references>
      </pivotArea>
    </format>
    <format dxfId="330">
      <pivotArea dataOnly="0" labelOnly="1" outline="0" fieldPosition="0">
        <references count="3">
          <reference field="0" count="1" selected="0">
            <x v="6"/>
          </reference>
          <reference field="1" count="1" selected="0">
            <x v="2"/>
          </reference>
          <reference field="4" count="1">
            <x v="2"/>
          </reference>
        </references>
      </pivotArea>
    </format>
    <format dxfId="329">
      <pivotArea dataOnly="0" labelOnly="1" outline="0" fieldPosition="0">
        <references count="3">
          <reference field="0" count="1" selected="0">
            <x v="7"/>
          </reference>
          <reference field="1" count="1" selected="0">
            <x v="22"/>
          </reference>
          <reference field="4" count="1">
            <x v="0"/>
          </reference>
        </references>
      </pivotArea>
    </format>
    <format dxfId="328">
      <pivotArea dataOnly="0" labelOnly="1" outline="0" fieldPosition="0">
        <references count="3">
          <reference field="0" count="1" selected="0">
            <x v="10"/>
          </reference>
          <reference field="1" count="1" selected="0">
            <x v="28"/>
          </reference>
          <reference field="4" count="1">
            <x v="0"/>
          </reference>
        </references>
      </pivotArea>
    </format>
    <format dxfId="327">
      <pivotArea dataOnly="0" labelOnly="1" outline="0" fieldPosition="0">
        <references count="3">
          <reference field="0" count="1" selected="0">
            <x v="11"/>
          </reference>
          <reference field="1" count="1" selected="0">
            <x v="3"/>
          </reference>
          <reference field="4" count="1">
            <x v="2"/>
          </reference>
        </references>
      </pivotArea>
    </format>
    <format dxfId="326">
      <pivotArea dataOnly="0" labelOnly="1" outline="0" fieldPosition="0">
        <references count="3">
          <reference field="0" count="1" selected="0">
            <x v="12"/>
          </reference>
          <reference field="1" count="1" selected="0">
            <x v="38"/>
          </reference>
          <reference field="4" count="1">
            <x v="0"/>
          </reference>
        </references>
      </pivotArea>
    </format>
    <format dxfId="325">
      <pivotArea dataOnly="0" labelOnly="1" outline="0" fieldPosition="0">
        <references count="3">
          <reference field="0" count="1" selected="0">
            <x v="14"/>
          </reference>
          <reference field="1" count="1" selected="0">
            <x v="19"/>
          </reference>
          <reference field="4" count="1">
            <x v="2"/>
          </reference>
        </references>
      </pivotArea>
    </format>
    <format dxfId="324">
      <pivotArea dataOnly="0" labelOnly="1" outline="0" fieldPosition="0">
        <references count="3">
          <reference field="0" count="1" selected="0">
            <x v="15"/>
          </reference>
          <reference field="1" count="1" selected="0">
            <x v="40"/>
          </reference>
          <reference field="4" count="1">
            <x v="0"/>
          </reference>
        </references>
      </pivotArea>
    </format>
    <format dxfId="323">
      <pivotArea dataOnly="0" labelOnly="1" outline="0" fieldPosition="0">
        <references count="3">
          <reference field="0" count="1" selected="0">
            <x v="16"/>
          </reference>
          <reference field="1" count="1" selected="0">
            <x v="0"/>
          </reference>
          <reference field="4" count="1">
            <x v="3"/>
          </reference>
        </references>
      </pivotArea>
    </format>
    <format dxfId="322">
      <pivotArea dataOnly="0" labelOnly="1" outline="0" fieldPosition="0">
        <references count="3">
          <reference field="0" count="1" selected="0">
            <x v="17"/>
          </reference>
          <reference field="1" count="1" selected="0">
            <x v="49"/>
          </reference>
          <reference field="4" count="1">
            <x v="0"/>
          </reference>
        </references>
      </pivotArea>
    </format>
    <format dxfId="321">
      <pivotArea dataOnly="0" labelOnly="1" outline="0" fieldPosition="0">
        <references count="3">
          <reference field="0" count="1" selected="0">
            <x v="18"/>
          </reference>
          <reference field="1" count="1" selected="0">
            <x v="52"/>
          </reference>
          <reference field="4" count="1">
            <x v="2"/>
          </reference>
        </references>
      </pivotArea>
    </format>
    <format dxfId="320">
      <pivotArea dataOnly="0" labelOnly="1" outline="0" fieldPosition="0">
        <references count="3">
          <reference field="0" count="1" selected="0">
            <x v="19"/>
          </reference>
          <reference field="1" count="1" selected="0">
            <x v="33"/>
          </reference>
          <reference field="4" count="1">
            <x v="1"/>
          </reference>
        </references>
      </pivotArea>
    </format>
    <format dxfId="319">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318">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317">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316">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315">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314">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313">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312">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311">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310">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309">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308">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307">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306">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305">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304">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303">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302">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301">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300">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299">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298">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297">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296">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295">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294">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293">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292">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291">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290">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289">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288">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287">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286">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285">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284">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283">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282">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281">
      <pivotArea dataOnly="0" labelOnly="1" outline="0" fieldPosition="0">
        <references count="4">
          <reference field="0" count="1" selected="0">
            <x v="13"/>
          </reference>
          <reference field="1" count="1" selected="0">
            <x v="45"/>
          </reference>
          <reference field="4" count="1" selected="0">
            <x v="0"/>
          </reference>
          <reference field="5" count="1">
            <x v="2"/>
          </reference>
        </references>
      </pivotArea>
    </format>
    <format dxfId="280">
      <pivotArea dataOnly="0" labelOnly="1" outline="0" fieldPosition="0">
        <references count="4">
          <reference field="0" count="1" selected="0">
            <x v="13"/>
          </reference>
          <reference field="1" count="1" selected="0">
            <x v="50"/>
          </reference>
          <reference field="4" count="1" selected="0">
            <x v="0"/>
          </reference>
          <reference field="5" count="1">
            <x v="2"/>
          </reference>
        </references>
      </pivotArea>
    </format>
    <format dxfId="279">
      <pivotArea dataOnly="0" labelOnly="1" outline="0" fieldPosition="0">
        <references count="4">
          <reference field="0" count="1" selected="0">
            <x v="13"/>
          </reference>
          <reference field="1" count="1" selected="0">
            <x v="51"/>
          </reference>
          <reference field="4" count="1" selected="0">
            <x v="0"/>
          </reference>
          <reference field="5" count="1">
            <x v="2"/>
          </reference>
        </references>
      </pivotArea>
    </format>
    <format dxfId="278">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277">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276">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275">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274">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273">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272">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271">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270">
      <pivotArea dataOnly="0" labelOnly="1" outline="0" fieldPosition="0">
        <references count="4">
          <reference field="0" count="1" selected="0">
            <x v="16"/>
          </reference>
          <reference field="1" count="1" selected="0">
            <x v="0"/>
          </reference>
          <reference field="4" count="1" selected="0">
            <x v="3"/>
          </reference>
          <reference field="5" count="1">
            <x v="3"/>
          </reference>
        </references>
      </pivotArea>
    </format>
    <format dxfId="269">
      <pivotArea dataOnly="0" labelOnly="1" outline="0" fieldPosition="0">
        <references count="4">
          <reference field="0" count="1" selected="0">
            <x v="16"/>
          </reference>
          <reference field="1" count="1" selected="0">
            <x v="1"/>
          </reference>
          <reference field="4" count="1" selected="0">
            <x v="3"/>
          </reference>
          <reference field="5" count="1">
            <x v="3"/>
          </reference>
        </references>
      </pivotArea>
    </format>
    <format dxfId="268">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267">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266">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265">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264">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263">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262">
      <pivotArea field="4" type="button" dataOnly="0" labelOnly="1" outline="0" axis="axisRow" fieldPosition="2"/>
    </format>
    <format dxfId="261">
      <pivotArea field="5" type="button" dataOnly="0" labelOnly="1" outline="0" axis="axisRow" fieldPosition="3"/>
    </format>
    <format dxfId="260">
      <pivotArea dataOnly="0" labelOnly="1" outline="0" fieldPosition="0">
        <references count="3">
          <reference field="0" count="1" selected="0">
            <x v="0"/>
          </reference>
          <reference field="1" count="1" selected="0">
            <x v="7"/>
          </reference>
          <reference field="4" count="1">
            <x v="0"/>
          </reference>
        </references>
      </pivotArea>
    </format>
    <format dxfId="259">
      <pivotArea dataOnly="0" labelOnly="1" outline="0" fieldPosition="0">
        <references count="3">
          <reference field="0" count="1" selected="0">
            <x v="1"/>
          </reference>
          <reference field="1" count="1" selected="0">
            <x v="8"/>
          </reference>
          <reference field="4" count="1">
            <x v="2"/>
          </reference>
        </references>
      </pivotArea>
    </format>
    <format dxfId="258">
      <pivotArea dataOnly="0" labelOnly="1" outline="0" fieldPosition="0">
        <references count="3">
          <reference field="0" count="1" selected="0">
            <x v="3"/>
          </reference>
          <reference field="1" count="1" selected="0">
            <x v="15"/>
          </reference>
          <reference field="4" count="1">
            <x v="0"/>
          </reference>
        </references>
      </pivotArea>
    </format>
    <format dxfId="257">
      <pivotArea dataOnly="0" labelOnly="1" outline="0" fieldPosition="0">
        <references count="3">
          <reference field="0" count="1" selected="0">
            <x v="6"/>
          </reference>
          <reference field="1" count="1" selected="0">
            <x v="2"/>
          </reference>
          <reference field="4" count="1">
            <x v="2"/>
          </reference>
        </references>
      </pivotArea>
    </format>
    <format dxfId="256">
      <pivotArea dataOnly="0" labelOnly="1" outline="0" fieldPosition="0">
        <references count="3">
          <reference field="0" count="1" selected="0">
            <x v="7"/>
          </reference>
          <reference field="1" count="1" selected="0">
            <x v="22"/>
          </reference>
          <reference field="4" count="1">
            <x v="0"/>
          </reference>
        </references>
      </pivotArea>
    </format>
    <format dxfId="255">
      <pivotArea dataOnly="0" labelOnly="1" outline="0" fieldPosition="0">
        <references count="3">
          <reference field="0" count="1" selected="0">
            <x v="10"/>
          </reference>
          <reference field="1" count="1" selected="0">
            <x v="28"/>
          </reference>
          <reference field="4" count="1">
            <x v="0"/>
          </reference>
        </references>
      </pivotArea>
    </format>
    <format dxfId="254">
      <pivotArea dataOnly="0" labelOnly="1" outline="0" fieldPosition="0">
        <references count="3">
          <reference field="0" count="1" selected="0">
            <x v="11"/>
          </reference>
          <reference field="1" count="1" selected="0">
            <x v="3"/>
          </reference>
          <reference field="4" count="1">
            <x v="2"/>
          </reference>
        </references>
      </pivotArea>
    </format>
    <format dxfId="253">
      <pivotArea dataOnly="0" labelOnly="1" outline="0" fieldPosition="0">
        <references count="3">
          <reference field="0" count="1" selected="0">
            <x v="12"/>
          </reference>
          <reference field="1" count="1" selected="0">
            <x v="38"/>
          </reference>
          <reference field="4" count="1">
            <x v="0"/>
          </reference>
        </references>
      </pivotArea>
    </format>
    <format dxfId="252">
      <pivotArea dataOnly="0" labelOnly="1" outline="0" fieldPosition="0">
        <references count="3">
          <reference field="0" count="1" selected="0">
            <x v="14"/>
          </reference>
          <reference field="1" count="1" selected="0">
            <x v="19"/>
          </reference>
          <reference field="4" count="1">
            <x v="2"/>
          </reference>
        </references>
      </pivotArea>
    </format>
    <format dxfId="251">
      <pivotArea dataOnly="0" labelOnly="1" outline="0" fieldPosition="0">
        <references count="3">
          <reference field="0" count="1" selected="0">
            <x v="15"/>
          </reference>
          <reference field="1" count="1" selected="0">
            <x v="40"/>
          </reference>
          <reference field="4" count="1">
            <x v="0"/>
          </reference>
        </references>
      </pivotArea>
    </format>
    <format dxfId="250">
      <pivotArea dataOnly="0" labelOnly="1" outline="0" fieldPosition="0">
        <references count="3">
          <reference field="0" count="1" selected="0">
            <x v="16"/>
          </reference>
          <reference field="1" count="1" selected="0">
            <x v="0"/>
          </reference>
          <reference field="4" count="1">
            <x v="3"/>
          </reference>
        </references>
      </pivotArea>
    </format>
    <format dxfId="249">
      <pivotArea dataOnly="0" labelOnly="1" outline="0" fieldPosition="0">
        <references count="3">
          <reference field="0" count="1" selected="0">
            <x v="17"/>
          </reference>
          <reference field="1" count="1" selected="0">
            <x v="49"/>
          </reference>
          <reference field="4" count="1">
            <x v="0"/>
          </reference>
        </references>
      </pivotArea>
    </format>
    <format dxfId="248">
      <pivotArea dataOnly="0" labelOnly="1" outline="0" fieldPosition="0">
        <references count="3">
          <reference field="0" count="1" selected="0">
            <x v="18"/>
          </reference>
          <reference field="1" count="1" selected="0">
            <x v="52"/>
          </reference>
          <reference field="4" count="1">
            <x v="2"/>
          </reference>
        </references>
      </pivotArea>
    </format>
    <format dxfId="247">
      <pivotArea dataOnly="0" labelOnly="1" outline="0" fieldPosition="0">
        <references count="3">
          <reference field="0" count="1" selected="0">
            <x v="19"/>
          </reference>
          <reference field="1" count="1" selected="0">
            <x v="33"/>
          </reference>
          <reference field="4" count="1">
            <x v="1"/>
          </reference>
        </references>
      </pivotArea>
    </format>
    <format dxfId="246">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245">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244">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243">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242">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241">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240">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239">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238">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237">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236">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235">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234">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233">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232">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231">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230">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229">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228">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227">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226">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225">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224">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223">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222">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221">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220">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219">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218">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217">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216">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215">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214">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213">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212">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211">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210">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209">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208">
      <pivotArea dataOnly="0" labelOnly="1" outline="0" fieldPosition="0">
        <references count="4">
          <reference field="0" count="1" selected="0">
            <x v="13"/>
          </reference>
          <reference field="1" count="1" selected="0">
            <x v="45"/>
          </reference>
          <reference field="4" count="1" selected="0">
            <x v="0"/>
          </reference>
          <reference field="5" count="1">
            <x v="2"/>
          </reference>
        </references>
      </pivotArea>
    </format>
    <format dxfId="207">
      <pivotArea dataOnly="0" labelOnly="1" outline="0" fieldPosition="0">
        <references count="4">
          <reference field="0" count="1" selected="0">
            <x v="13"/>
          </reference>
          <reference field="1" count="1" selected="0">
            <x v="50"/>
          </reference>
          <reference field="4" count="1" selected="0">
            <x v="0"/>
          </reference>
          <reference field="5" count="1">
            <x v="2"/>
          </reference>
        </references>
      </pivotArea>
    </format>
    <format dxfId="206">
      <pivotArea dataOnly="0" labelOnly="1" outline="0" fieldPosition="0">
        <references count="4">
          <reference field="0" count="1" selected="0">
            <x v="13"/>
          </reference>
          <reference field="1" count="1" selected="0">
            <x v="51"/>
          </reference>
          <reference field="4" count="1" selected="0">
            <x v="0"/>
          </reference>
          <reference field="5" count="1">
            <x v="2"/>
          </reference>
        </references>
      </pivotArea>
    </format>
    <format dxfId="205">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204">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203">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202">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201">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200">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199">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198">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197">
      <pivotArea dataOnly="0" labelOnly="1" outline="0" fieldPosition="0">
        <references count="4">
          <reference field="0" count="1" selected="0">
            <x v="16"/>
          </reference>
          <reference field="1" count="1" selected="0">
            <x v="0"/>
          </reference>
          <reference field="4" count="1" selected="0">
            <x v="3"/>
          </reference>
          <reference field="5" count="1">
            <x v="3"/>
          </reference>
        </references>
      </pivotArea>
    </format>
    <format dxfId="196">
      <pivotArea dataOnly="0" labelOnly="1" outline="0" fieldPosition="0">
        <references count="4">
          <reference field="0" count="1" selected="0">
            <x v="16"/>
          </reference>
          <reference field="1" count="1" selected="0">
            <x v="1"/>
          </reference>
          <reference field="4" count="1" selected="0">
            <x v="3"/>
          </reference>
          <reference field="5" count="1">
            <x v="3"/>
          </reference>
        </references>
      </pivotArea>
    </format>
    <format dxfId="195">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194">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193">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192">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191">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190">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189">
      <pivotArea field="0" type="button" dataOnly="0" labelOnly="1" outline="0" axis="axisRow" fieldPosition="0"/>
    </format>
    <format dxfId="188">
      <pivotArea field="1" type="button" dataOnly="0" labelOnly="1" outline="0" axis="axisRow" fieldPosition="1"/>
    </format>
    <format dxfId="187">
      <pivotArea field="4" type="button" dataOnly="0" labelOnly="1" outline="0" axis="axisRow" fieldPosition="2"/>
    </format>
    <format dxfId="186">
      <pivotArea field="5" type="button" dataOnly="0" labelOnly="1" outline="0" axis="axisRow" fieldPosition="3"/>
    </format>
    <format dxfId="185">
      <pivotArea field="0" type="button" dataOnly="0" labelOnly="1" outline="0" axis="axisRow" fieldPosition="0"/>
    </format>
    <format dxfId="184">
      <pivotArea field="1" type="button" dataOnly="0" labelOnly="1" outline="0" axis="axisRow" fieldPosition="1"/>
    </format>
    <format dxfId="183">
      <pivotArea field="4" type="button" dataOnly="0" labelOnly="1" outline="0" axis="axisRow" fieldPosition="2"/>
    </format>
    <format dxfId="182">
      <pivotArea field="5" type="button" dataOnly="0" labelOnly="1" outline="0" axis="axisRow" fieldPosition="3"/>
    </format>
    <format dxfId="181">
      <pivotArea dataOnly="0" labelOnly="1" outline="0" fieldPosition="0">
        <references count="2">
          <reference field="0" count="1" selected="0">
            <x v="9"/>
          </reference>
          <reference field="1" count="3">
            <x v="58"/>
            <x v="59"/>
            <x v="60"/>
          </reference>
        </references>
      </pivotArea>
    </format>
    <format dxfId="180">
      <pivotArea dataOnly="0" labelOnly="1" outline="0" fieldPosition="0">
        <references count="3">
          <reference field="0" count="1" selected="0">
            <x v="0"/>
          </reference>
          <reference field="1" count="1" selected="0">
            <x v="7"/>
          </reference>
          <reference field="4" count="1">
            <x v="0"/>
          </reference>
        </references>
      </pivotArea>
    </format>
    <format dxfId="179">
      <pivotArea dataOnly="0" labelOnly="1" outline="0" fieldPosition="0">
        <references count="3">
          <reference field="0" count="1" selected="0">
            <x v="1"/>
          </reference>
          <reference field="1" count="1" selected="0">
            <x v="8"/>
          </reference>
          <reference field="4" count="1">
            <x v="2"/>
          </reference>
        </references>
      </pivotArea>
    </format>
    <format dxfId="178">
      <pivotArea dataOnly="0" labelOnly="1" outline="0" fieldPosition="0">
        <references count="3">
          <reference field="0" count="1" selected="0">
            <x v="3"/>
          </reference>
          <reference field="1" count="1" selected="0">
            <x v="15"/>
          </reference>
          <reference field="4" count="1">
            <x v="0"/>
          </reference>
        </references>
      </pivotArea>
    </format>
    <format dxfId="177">
      <pivotArea dataOnly="0" labelOnly="1" outline="0" fieldPosition="0">
        <references count="3">
          <reference field="0" count="1" selected="0">
            <x v="6"/>
          </reference>
          <reference field="1" count="1" selected="0">
            <x v="2"/>
          </reference>
          <reference field="4" count="1">
            <x v="2"/>
          </reference>
        </references>
      </pivotArea>
    </format>
    <format dxfId="176">
      <pivotArea dataOnly="0" labelOnly="1" outline="0" fieldPosition="0">
        <references count="3">
          <reference field="0" count="1" selected="0">
            <x v="7"/>
          </reference>
          <reference field="1" count="1" selected="0">
            <x v="22"/>
          </reference>
          <reference field="4" count="1">
            <x v="0"/>
          </reference>
        </references>
      </pivotArea>
    </format>
    <format dxfId="175">
      <pivotArea dataOnly="0" labelOnly="1" outline="0" fieldPosition="0">
        <references count="3">
          <reference field="0" count="1" selected="0">
            <x v="10"/>
          </reference>
          <reference field="1" count="1" selected="0">
            <x v="28"/>
          </reference>
          <reference field="4" count="1">
            <x v="0"/>
          </reference>
        </references>
      </pivotArea>
    </format>
    <format dxfId="174">
      <pivotArea dataOnly="0" labelOnly="1" outline="0" fieldPosition="0">
        <references count="3">
          <reference field="0" count="1" selected="0">
            <x v="11"/>
          </reference>
          <reference field="1" count="1" selected="0">
            <x v="3"/>
          </reference>
          <reference field="4" count="1">
            <x v="2"/>
          </reference>
        </references>
      </pivotArea>
    </format>
    <format dxfId="173">
      <pivotArea dataOnly="0" labelOnly="1" outline="0" fieldPosition="0">
        <references count="3">
          <reference field="0" count="1" selected="0">
            <x v="12"/>
          </reference>
          <reference field="1" count="1" selected="0">
            <x v="38"/>
          </reference>
          <reference field="4" count="1">
            <x v="0"/>
          </reference>
        </references>
      </pivotArea>
    </format>
    <format dxfId="172">
      <pivotArea dataOnly="0" labelOnly="1" outline="0" fieldPosition="0">
        <references count="3">
          <reference field="0" count="1" selected="0">
            <x v="14"/>
          </reference>
          <reference field="1" count="1" selected="0">
            <x v="19"/>
          </reference>
          <reference field="4" count="1">
            <x v="2"/>
          </reference>
        </references>
      </pivotArea>
    </format>
    <format dxfId="171">
      <pivotArea dataOnly="0" labelOnly="1" outline="0" fieldPosition="0">
        <references count="3">
          <reference field="0" count="1" selected="0">
            <x v="15"/>
          </reference>
          <reference field="1" count="1" selected="0">
            <x v="40"/>
          </reference>
          <reference field="4" count="1">
            <x v="0"/>
          </reference>
        </references>
      </pivotArea>
    </format>
    <format dxfId="170">
      <pivotArea dataOnly="0" labelOnly="1" outline="0" fieldPosition="0">
        <references count="3">
          <reference field="0" count="1" selected="0">
            <x v="16"/>
          </reference>
          <reference field="1" count="1" selected="0">
            <x v="0"/>
          </reference>
          <reference field="4" count="1">
            <x v="3"/>
          </reference>
        </references>
      </pivotArea>
    </format>
    <format dxfId="169">
      <pivotArea dataOnly="0" labelOnly="1" outline="0" fieldPosition="0">
        <references count="3">
          <reference field="0" count="1" selected="0">
            <x v="17"/>
          </reference>
          <reference field="1" count="1" selected="0">
            <x v="49"/>
          </reference>
          <reference field="4" count="1">
            <x v="0"/>
          </reference>
        </references>
      </pivotArea>
    </format>
    <format dxfId="168">
      <pivotArea dataOnly="0" labelOnly="1" outline="0" fieldPosition="0">
        <references count="3">
          <reference field="0" count="1" selected="0">
            <x v="18"/>
          </reference>
          <reference field="1" count="1" selected="0">
            <x v="52"/>
          </reference>
          <reference field="4" count="1">
            <x v="2"/>
          </reference>
        </references>
      </pivotArea>
    </format>
    <format dxfId="167">
      <pivotArea dataOnly="0" labelOnly="1" outline="0" fieldPosition="0">
        <references count="3">
          <reference field="0" count="1" selected="0">
            <x v="19"/>
          </reference>
          <reference field="1" count="1" selected="0">
            <x v="33"/>
          </reference>
          <reference field="4" count="1">
            <x v="1"/>
          </reference>
        </references>
      </pivotArea>
    </format>
    <format dxfId="166">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165">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164">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163">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162">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161">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160">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159">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158">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157">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156">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155">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154">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153">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152">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151">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150">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149">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148">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147">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146">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145">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144">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143">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142">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141">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140">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139">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138">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137">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136">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135">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134">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133">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132">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131">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130">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129">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128">
      <pivotArea dataOnly="0" labelOnly="1" outline="0" fieldPosition="0">
        <references count="4">
          <reference field="0" count="1" selected="0">
            <x v="13"/>
          </reference>
          <reference field="1" count="1" selected="0">
            <x v="45"/>
          </reference>
          <reference field="4" count="1" selected="0">
            <x v="0"/>
          </reference>
          <reference field="5" count="1">
            <x v="2"/>
          </reference>
        </references>
      </pivotArea>
    </format>
    <format dxfId="127">
      <pivotArea dataOnly="0" labelOnly="1" outline="0" fieldPosition="0">
        <references count="4">
          <reference field="0" count="1" selected="0">
            <x v="13"/>
          </reference>
          <reference field="1" count="1" selected="0">
            <x v="50"/>
          </reference>
          <reference field="4" count="1" selected="0">
            <x v="0"/>
          </reference>
          <reference field="5" count="1">
            <x v="2"/>
          </reference>
        </references>
      </pivotArea>
    </format>
    <format dxfId="126">
      <pivotArea dataOnly="0" labelOnly="1" outline="0" fieldPosition="0">
        <references count="4">
          <reference field="0" count="1" selected="0">
            <x v="13"/>
          </reference>
          <reference field="1" count="1" selected="0">
            <x v="51"/>
          </reference>
          <reference field="4" count="1" selected="0">
            <x v="0"/>
          </reference>
          <reference field="5" count="1">
            <x v="2"/>
          </reference>
        </references>
      </pivotArea>
    </format>
    <format dxfId="125">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124">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123">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122">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121">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120">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119">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118">
      <pivotArea dataOnly="0" labelOnly="1" outline="0" fieldPosition="0">
        <references count="4">
          <reference field="0" count="1" selected="0">
            <x v="14"/>
          </reference>
          <reference field="1" count="1" selected="0">
            <x v="61"/>
          </reference>
          <reference field="4" count="1" selected="0">
            <x v="2"/>
          </reference>
          <reference field="5" count="1">
            <x v="0"/>
          </reference>
        </references>
      </pivotArea>
    </format>
    <format dxfId="117">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116">
      <pivotArea dataOnly="0" labelOnly="1" outline="0" fieldPosition="0">
        <references count="4">
          <reference field="0" count="1" selected="0">
            <x v="15"/>
          </reference>
          <reference field="1" count="1" selected="0">
            <x v="57"/>
          </reference>
          <reference field="4" count="1" selected="0">
            <x v="0"/>
          </reference>
          <reference field="5" count="1">
            <x v="2"/>
          </reference>
        </references>
      </pivotArea>
    </format>
    <format dxfId="115">
      <pivotArea dataOnly="0" labelOnly="1" outline="0" fieldPosition="0">
        <references count="4">
          <reference field="0" count="1" selected="0">
            <x v="16"/>
          </reference>
          <reference field="1" count="1" selected="0">
            <x v="0"/>
          </reference>
          <reference field="4" count="1" selected="0">
            <x v="3"/>
          </reference>
          <reference field="5" count="1">
            <x v="3"/>
          </reference>
        </references>
      </pivotArea>
    </format>
    <format dxfId="114">
      <pivotArea dataOnly="0" labelOnly="1" outline="0" fieldPosition="0">
        <references count="4">
          <reference field="0" count="1" selected="0">
            <x v="16"/>
          </reference>
          <reference field="1" count="1" selected="0">
            <x v="1"/>
          </reference>
          <reference field="4" count="1" selected="0">
            <x v="3"/>
          </reference>
          <reference field="5" count="1">
            <x v="3"/>
          </reference>
        </references>
      </pivotArea>
    </format>
    <format dxfId="113">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112">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111">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110">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109">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108">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107">
      <pivotArea dataOnly="0" labelOnly="1" outline="0" offset="IV2:IV256" fieldPosition="0">
        <references count="3">
          <reference field="0" count="1" selected="0">
            <x v="1"/>
          </reference>
          <reference field="1" count="1" selected="0">
            <x v="8"/>
          </reference>
          <reference field="4" count="1">
            <x v="2"/>
          </reference>
        </references>
      </pivotArea>
    </format>
    <format dxfId="106">
      <pivotArea dataOnly="0" labelOnly="1" outline="0" fieldPosition="0">
        <references count="3">
          <reference field="0" count="1" selected="0">
            <x v="3"/>
          </reference>
          <reference field="1" count="1" selected="0">
            <x v="15"/>
          </reference>
          <reference field="4" count="1">
            <x v="0"/>
          </reference>
        </references>
      </pivotArea>
    </format>
    <format dxfId="105">
      <pivotArea dataOnly="0" labelOnly="1" outline="0" fieldPosition="0">
        <references count="3">
          <reference field="0" count="1" selected="0">
            <x v="6"/>
          </reference>
          <reference field="1" count="1" selected="0">
            <x v="2"/>
          </reference>
          <reference field="4" count="1">
            <x v="2"/>
          </reference>
        </references>
      </pivotArea>
    </format>
    <format dxfId="104">
      <pivotArea dataOnly="0" labelOnly="1" outline="0" fieldPosition="0">
        <references count="3">
          <reference field="0" count="1" selected="0">
            <x v="7"/>
          </reference>
          <reference field="1" count="1" selected="0">
            <x v="22"/>
          </reference>
          <reference field="4" count="1">
            <x v="0"/>
          </reference>
        </references>
      </pivotArea>
    </format>
    <format dxfId="103">
      <pivotArea dataOnly="0" labelOnly="1" outline="0" fieldPosition="0">
        <references count="3">
          <reference field="0" count="1" selected="0">
            <x v="10"/>
          </reference>
          <reference field="1" count="1" selected="0">
            <x v="28"/>
          </reference>
          <reference field="4" count="1">
            <x v="0"/>
          </reference>
        </references>
      </pivotArea>
    </format>
    <format dxfId="102">
      <pivotArea dataOnly="0" labelOnly="1" outline="0" fieldPosition="0">
        <references count="3">
          <reference field="0" count="1" selected="0">
            <x v="11"/>
          </reference>
          <reference field="1" count="1" selected="0">
            <x v="3"/>
          </reference>
          <reference field="4" count="1">
            <x v="2"/>
          </reference>
        </references>
      </pivotArea>
    </format>
    <format dxfId="101">
      <pivotArea dataOnly="0" labelOnly="1" outline="0" fieldPosition="0">
        <references count="3">
          <reference field="0" count="1" selected="0">
            <x v="12"/>
          </reference>
          <reference field="1" count="1" selected="0">
            <x v="38"/>
          </reference>
          <reference field="4" count="1">
            <x v="0"/>
          </reference>
        </references>
      </pivotArea>
    </format>
    <format dxfId="100">
      <pivotArea dataOnly="0" labelOnly="1" outline="0" fieldPosition="0">
        <references count="3">
          <reference field="0" count="1" selected="0">
            <x v="14"/>
          </reference>
          <reference field="1" count="1" selected="0">
            <x v="19"/>
          </reference>
          <reference field="4" count="1">
            <x v="2"/>
          </reference>
        </references>
      </pivotArea>
    </format>
    <format dxfId="99">
      <pivotArea dataOnly="0" labelOnly="1" outline="0" fieldPosition="0">
        <references count="3">
          <reference field="0" count="1" selected="0">
            <x v="15"/>
          </reference>
          <reference field="1" count="1" selected="0">
            <x v="40"/>
          </reference>
          <reference field="4" count="1">
            <x v="0"/>
          </reference>
        </references>
      </pivotArea>
    </format>
    <format dxfId="98">
      <pivotArea dataOnly="0" labelOnly="1" outline="0" fieldPosition="0">
        <references count="3">
          <reference field="0" count="1" selected="0">
            <x v="16"/>
          </reference>
          <reference field="1" count="1" selected="0">
            <x v="0"/>
          </reference>
          <reference field="4" count="1">
            <x v="3"/>
          </reference>
        </references>
      </pivotArea>
    </format>
    <format dxfId="97">
      <pivotArea dataOnly="0" labelOnly="1" outline="0" fieldPosition="0">
        <references count="3">
          <reference field="0" count="1" selected="0">
            <x v="17"/>
          </reference>
          <reference field="1" count="1" selected="0">
            <x v="49"/>
          </reference>
          <reference field="4" count="1">
            <x v="0"/>
          </reference>
        </references>
      </pivotArea>
    </format>
    <format dxfId="96">
      <pivotArea dataOnly="0" labelOnly="1" outline="0" fieldPosition="0">
        <references count="3">
          <reference field="0" count="1" selected="0">
            <x v="18"/>
          </reference>
          <reference field="1" count="1" selected="0">
            <x v="52"/>
          </reference>
          <reference field="4" count="1">
            <x v="2"/>
          </reference>
        </references>
      </pivotArea>
    </format>
    <format dxfId="95">
      <pivotArea dataOnly="0" labelOnly="1" outline="0" fieldPosition="0">
        <references count="3">
          <reference field="0" count="1" selected="0">
            <x v="19"/>
          </reference>
          <reference field="1" count="1" selected="0">
            <x v="33"/>
          </reference>
          <reference field="4" count="1">
            <x v="1"/>
          </reference>
        </references>
      </pivotArea>
    </format>
    <format dxfId="94">
      <pivotArea dataOnly="0" labelOnly="1" outline="0" fieldPosition="0">
        <references count="3">
          <reference field="0" count="1" selected="0">
            <x v="0"/>
          </reference>
          <reference field="1" count="1" selected="0">
            <x v="7"/>
          </reference>
          <reference field="4" count="1">
            <x v="0"/>
          </reference>
        </references>
      </pivotArea>
    </format>
    <format dxfId="93">
      <pivotArea dataOnly="0" labelOnly="1" outline="0" fieldPosition="0">
        <references count="3">
          <reference field="0" count="1" selected="0">
            <x v="1"/>
          </reference>
          <reference field="1" count="1" selected="0">
            <x v="8"/>
          </reference>
          <reference field="4" count="1">
            <x v="2"/>
          </reference>
        </references>
      </pivotArea>
    </format>
    <format dxfId="92">
      <pivotArea dataOnly="0" labelOnly="1" outline="0" fieldPosition="0">
        <references count="3">
          <reference field="0" count="1" selected="0">
            <x v="3"/>
          </reference>
          <reference field="1" count="1" selected="0">
            <x v="15"/>
          </reference>
          <reference field="4" count="1">
            <x v="0"/>
          </reference>
        </references>
      </pivotArea>
    </format>
    <format dxfId="91">
      <pivotArea dataOnly="0" labelOnly="1" outline="0" fieldPosition="0">
        <references count="3">
          <reference field="0" count="1" selected="0">
            <x v="6"/>
          </reference>
          <reference field="1" count="1" selected="0">
            <x v="2"/>
          </reference>
          <reference field="4" count="1">
            <x v="2"/>
          </reference>
        </references>
      </pivotArea>
    </format>
    <format dxfId="90">
      <pivotArea dataOnly="0" labelOnly="1" outline="0" fieldPosition="0">
        <references count="3">
          <reference field="0" count="1" selected="0">
            <x v="7"/>
          </reference>
          <reference field="1" count="1" selected="0">
            <x v="22"/>
          </reference>
          <reference field="4" count="1">
            <x v="0"/>
          </reference>
        </references>
      </pivotArea>
    </format>
    <format dxfId="89">
      <pivotArea dataOnly="0" labelOnly="1" outline="0" fieldPosition="0">
        <references count="3">
          <reference field="0" count="1" selected="0">
            <x v="9"/>
          </reference>
          <reference field="1" count="1" selected="0">
            <x v="58"/>
          </reference>
          <reference field="4" count="1">
            <x v="2"/>
          </reference>
        </references>
      </pivotArea>
    </format>
    <format dxfId="88">
      <pivotArea dataOnly="0" labelOnly="1" outline="0" fieldPosition="0">
        <references count="3">
          <reference field="0" count="1" selected="0">
            <x v="10"/>
          </reference>
          <reference field="1" count="1" selected="0">
            <x v="28"/>
          </reference>
          <reference field="4" count="1">
            <x v="0"/>
          </reference>
        </references>
      </pivotArea>
    </format>
    <format dxfId="87">
      <pivotArea dataOnly="0" labelOnly="1" outline="0" fieldPosition="0">
        <references count="3">
          <reference field="0" count="1" selected="0">
            <x v="11"/>
          </reference>
          <reference field="1" count="1" selected="0">
            <x v="3"/>
          </reference>
          <reference field="4" count="1">
            <x v="2"/>
          </reference>
        </references>
      </pivotArea>
    </format>
    <format dxfId="86">
      <pivotArea dataOnly="0" labelOnly="1" outline="0" fieldPosition="0">
        <references count="3">
          <reference field="0" count="1" selected="0">
            <x v="12"/>
          </reference>
          <reference field="1" count="1" selected="0">
            <x v="38"/>
          </reference>
          <reference field="4" count="1">
            <x v="0"/>
          </reference>
        </references>
      </pivotArea>
    </format>
    <format dxfId="85">
      <pivotArea dataOnly="0" labelOnly="1" outline="0" fieldPosition="0">
        <references count="3">
          <reference field="0" count="1" selected="0">
            <x v="14"/>
          </reference>
          <reference field="1" count="1" selected="0">
            <x v="19"/>
          </reference>
          <reference field="4" count="1">
            <x v="2"/>
          </reference>
        </references>
      </pivotArea>
    </format>
    <format dxfId="84">
      <pivotArea dataOnly="0" labelOnly="1" outline="0" fieldPosition="0">
        <references count="3">
          <reference field="0" count="1" selected="0">
            <x v="15"/>
          </reference>
          <reference field="1" count="1" selected="0">
            <x v="40"/>
          </reference>
          <reference field="4" count="1">
            <x v="0"/>
          </reference>
        </references>
      </pivotArea>
    </format>
    <format dxfId="83">
      <pivotArea dataOnly="0" labelOnly="1" outline="0" fieldPosition="0">
        <references count="3">
          <reference field="0" count="1" selected="0">
            <x v="16"/>
          </reference>
          <reference field="1" count="1" selected="0">
            <x v="0"/>
          </reference>
          <reference field="4" count="1">
            <x v="3"/>
          </reference>
        </references>
      </pivotArea>
    </format>
    <format dxfId="82">
      <pivotArea dataOnly="0" labelOnly="1" outline="0" fieldPosition="0">
        <references count="3">
          <reference field="0" count="1" selected="0">
            <x v="17"/>
          </reference>
          <reference field="1" count="1" selected="0">
            <x v="49"/>
          </reference>
          <reference field="4" count="1">
            <x v="0"/>
          </reference>
        </references>
      </pivotArea>
    </format>
    <format dxfId="81">
      <pivotArea dataOnly="0" labelOnly="1" outline="0" fieldPosition="0">
        <references count="3">
          <reference field="0" count="1" selected="0">
            <x v="18"/>
          </reference>
          <reference field="1" count="1" selected="0">
            <x v="52"/>
          </reference>
          <reference field="4" count="1">
            <x v="2"/>
          </reference>
        </references>
      </pivotArea>
    </format>
    <format dxfId="80">
      <pivotArea dataOnly="0" labelOnly="1" outline="0" fieldPosition="0">
        <references count="3">
          <reference field="0" count="1" selected="0">
            <x v="19"/>
          </reference>
          <reference field="1" count="1" selected="0">
            <x v="33"/>
          </reference>
          <reference field="4" count="1">
            <x v="1"/>
          </reference>
        </references>
      </pivotArea>
    </format>
    <format dxfId="79">
      <pivotArea dataOnly="0" labelOnly="1" outline="0" fieldPosition="0">
        <references count="3">
          <reference field="0" count="1" selected="0">
            <x v="0"/>
          </reference>
          <reference field="1" count="1" selected="0">
            <x v="7"/>
          </reference>
          <reference field="4" count="1">
            <x v="0"/>
          </reference>
        </references>
      </pivotArea>
    </format>
    <format dxfId="78">
      <pivotArea dataOnly="0" labelOnly="1" outline="0" fieldPosition="0">
        <references count="3">
          <reference field="0" count="1" selected="0">
            <x v="1"/>
          </reference>
          <reference field="1" count="1" selected="0">
            <x v="8"/>
          </reference>
          <reference field="4" count="1">
            <x v="2"/>
          </reference>
        </references>
      </pivotArea>
    </format>
    <format dxfId="77">
      <pivotArea dataOnly="0" labelOnly="1" outline="0" fieldPosition="0">
        <references count="3">
          <reference field="0" count="1" selected="0">
            <x v="3"/>
          </reference>
          <reference field="1" count="1" selected="0">
            <x v="15"/>
          </reference>
          <reference field="4" count="1">
            <x v="0"/>
          </reference>
        </references>
      </pivotArea>
    </format>
    <format dxfId="76">
      <pivotArea dataOnly="0" labelOnly="1" outline="0" fieldPosition="0">
        <references count="3">
          <reference field="0" count="1" selected="0">
            <x v="6"/>
          </reference>
          <reference field="1" count="1" selected="0">
            <x v="2"/>
          </reference>
          <reference field="4" count="1">
            <x v="2"/>
          </reference>
        </references>
      </pivotArea>
    </format>
    <format dxfId="75">
      <pivotArea dataOnly="0" labelOnly="1" outline="0" fieldPosition="0">
        <references count="3">
          <reference field="0" count="1" selected="0">
            <x v="7"/>
          </reference>
          <reference field="1" count="1" selected="0">
            <x v="22"/>
          </reference>
          <reference field="4" count="1">
            <x v="0"/>
          </reference>
        </references>
      </pivotArea>
    </format>
    <format dxfId="74">
      <pivotArea dataOnly="0" labelOnly="1" outline="0" fieldPosition="0">
        <references count="3">
          <reference field="0" count="1" selected="0">
            <x v="9"/>
          </reference>
          <reference field="1" count="1" selected="0">
            <x v="58"/>
          </reference>
          <reference field="4" count="1">
            <x v="2"/>
          </reference>
        </references>
      </pivotArea>
    </format>
    <format dxfId="73">
      <pivotArea dataOnly="0" labelOnly="1" outline="0" fieldPosition="0">
        <references count="3">
          <reference field="0" count="1" selected="0">
            <x v="10"/>
          </reference>
          <reference field="1" count="1" selected="0">
            <x v="28"/>
          </reference>
          <reference field="4" count="1">
            <x v="0"/>
          </reference>
        </references>
      </pivotArea>
    </format>
    <format dxfId="72">
      <pivotArea dataOnly="0" labelOnly="1" outline="0" fieldPosition="0">
        <references count="3">
          <reference field="0" count="1" selected="0">
            <x v="11"/>
          </reference>
          <reference field="1" count="1" selected="0">
            <x v="3"/>
          </reference>
          <reference field="4" count="1">
            <x v="2"/>
          </reference>
        </references>
      </pivotArea>
    </format>
    <format dxfId="71">
      <pivotArea dataOnly="0" labelOnly="1" outline="0" fieldPosition="0">
        <references count="3">
          <reference field="0" count="1" selected="0">
            <x v="12"/>
          </reference>
          <reference field="1" count="1" selected="0">
            <x v="38"/>
          </reference>
          <reference field="4" count="1">
            <x v="0"/>
          </reference>
        </references>
      </pivotArea>
    </format>
    <format dxfId="70">
      <pivotArea dataOnly="0" labelOnly="1" outline="0" fieldPosition="0">
        <references count="3">
          <reference field="0" count="1" selected="0">
            <x v="14"/>
          </reference>
          <reference field="1" count="1" selected="0">
            <x v="19"/>
          </reference>
          <reference field="4" count="1">
            <x v="2"/>
          </reference>
        </references>
      </pivotArea>
    </format>
    <format dxfId="69">
      <pivotArea dataOnly="0" labelOnly="1" outline="0" fieldPosition="0">
        <references count="3">
          <reference field="0" count="1" selected="0">
            <x v="15"/>
          </reference>
          <reference field="1" count="1" selected="0">
            <x v="40"/>
          </reference>
          <reference field="4" count="1">
            <x v="0"/>
          </reference>
        </references>
      </pivotArea>
    </format>
    <format dxfId="68">
      <pivotArea dataOnly="0" labelOnly="1" outline="0" fieldPosition="0">
        <references count="3">
          <reference field="0" count="1" selected="0">
            <x v="16"/>
          </reference>
          <reference field="1" count="1" selected="0">
            <x v="0"/>
          </reference>
          <reference field="4" count="1">
            <x v="3"/>
          </reference>
        </references>
      </pivotArea>
    </format>
    <format dxfId="67">
      <pivotArea dataOnly="0" labelOnly="1" outline="0" fieldPosition="0">
        <references count="3">
          <reference field="0" count="1" selected="0">
            <x v="17"/>
          </reference>
          <reference field="1" count="1" selected="0">
            <x v="49"/>
          </reference>
          <reference field="4" count="1">
            <x v="0"/>
          </reference>
        </references>
      </pivotArea>
    </format>
    <format dxfId="66">
      <pivotArea dataOnly="0" labelOnly="1" outline="0" fieldPosition="0">
        <references count="3">
          <reference field="0" count="1" selected="0">
            <x v="18"/>
          </reference>
          <reference field="1" count="1" selected="0">
            <x v="52"/>
          </reference>
          <reference field="4" count="1">
            <x v="2"/>
          </reference>
        </references>
      </pivotArea>
    </format>
    <format dxfId="65">
      <pivotArea dataOnly="0" labelOnly="1" outline="0" fieldPosition="0">
        <references count="3">
          <reference field="0" count="1" selected="0">
            <x v="19"/>
          </reference>
          <reference field="1" count="1" selected="0">
            <x v="33"/>
          </reference>
          <reference field="4" count="1">
            <x v="1"/>
          </reference>
        </references>
      </pivotArea>
    </format>
    <format dxfId="64">
      <pivotArea dataOnly="0" labelOnly="1" outline="0" fieldPosition="0">
        <references count="4">
          <reference field="0" count="1" selected="0">
            <x v="0"/>
          </reference>
          <reference field="1" count="1" selected="0">
            <x v="7"/>
          </reference>
          <reference field="4" count="1" selected="0">
            <x v="0"/>
          </reference>
          <reference field="5" count="1">
            <x v="2"/>
          </reference>
        </references>
      </pivotArea>
    </format>
    <format dxfId="63">
      <pivotArea dataOnly="0" labelOnly="1" outline="0" fieldPosition="0">
        <references count="4">
          <reference field="0" count="1" selected="0">
            <x v="1"/>
          </reference>
          <reference field="1" count="1" selected="0">
            <x v="8"/>
          </reference>
          <reference field="4" count="1" selected="0">
            <x v="2"/>
          </reference>
          <reference field="5" count="1">
            <x v="0"/>
          </reference>
        </references>
      </pivotArea>
    </format>
    <format dxfId="62">
      <pivotArea dataOnly="0" labelOnly="1" outline="0" fieldPosition="0">
        <references count="4">
          <reference field="0" count="1" selected="0">
            <x v="1"/>
          </reference>
          <reference field="1" count="1" selected="0">
            <x v="9"/>
          </reference>
          <reference field="4" count="1" selected="0">
            <x v="2"/>
          </reference>
          <reference field="5" count="1">
            <x v="0"/>
          </reference>
        </references>
      </pivotArea>
    </format>
    <format dxfId="61">
      <pivotArea dataOnly="0" labelOnly="1" outline="0" fieldPosition="0">
        <references count="4">
          <reference field="0" count="1" selected="0">
            <x v="1"/>
          </reference>
          <reference field="1" count="1" selected="0">
            <x v="44"/>
          </reference>
          <reference field="4" count="1" selected="0">
            <x v="2"/>
          </reference>
          <reference field="5" count="1">
            <x v="0"/>
          </reference>
        </references>
      </pivotArea>
    </format>
    <format dxfId="60">
      <pivotArea dataOnly="0" labelOnly="1" outline="0" fieldPosition="0">
        <references count="4">
          <reference field="0" count="1" selected="0">
            <x v="2"/>
          </reference>
          <reference field="1" count="1" selected="0">
            <x v="10"/>
          </reference>
          <reference field="4" count="1" selected="0">
            <x v="2"/>
          </reference>
          <reference field="5" count="1">
            <x v="0"/>
          </reference>
        </references>
      </pivotArea>
    </format>
    <format dxfId="59">
      <pivotArea dataOnly="0" labelOnly="1" outline="0" fieldPosition="0">
        <references count="4">
          <reference field="0" count="1" selected="0">
            <x v="3"/>
          </reference>
          <reference field="1" count="1" selected="0">
            <x v="15"/>
          </reference>
          <reference field="4" count="1" selected="0">
            <x v="0"/>
          </reference>
          <reference field="5" count="1">
            <x v="0"/>
          </reference>
        </references>
      </pivotArea>
    </format>
    <format dxfId="58">
      <pivotArea dataOnly="0" labelOnly="1" outline="0" fieldPosition="0">
        <references count="4">
          <reference field="0" count="1" selected="0">
            <x v="3"/>
          </reference>
          <reference field="1" count="1" selected="0">
            <x v="16"/>
          </reference>
          <reference field="4" count="1" selected="0">
            <x v="0"/>
          </reference>
          <reference field="5" count="1">
            <x v="0"/>
          </reference>
        </references>
      </pivotArea>
    </format>
    <format dxfId="57">
      <pivotArea dataOnly="0" labelOnly="1" outline="0" fieldPosition="0">
        <references count="4">
          <reference field="0" count="1" selected="0">
            <x v="4"/>
          </reference>
          <reference field="1" count="1" selected="0">
            <x v="11"/>
          </reference>
          <reference field="4" count="1" selected="0">
            <x v="0"/>
          </reference>
          <reference field="5" count="1">
            <x v="0"/>
          </reference>
        </references>
      </pivotArea>
    </format>
    <format dxfId="56">
      <pivotArea dataOnly="0" labelOnly="1" outline="0" fieldPosition="0">
        <references count="4">
          <reference field="0" count="1" selected="0">
            <x v="4"/>
          </reference>
          <reference field="1" count="1" selected="0">
            <x v="17"/>
          </reference>
          <reference field="4" count="1" selected="0">
            <x v="0"/>
          </reference>
          <reference field="5" count="1">
            <x v="0"/>
          </reference>
        </references>
      </pivotArea>
    </format>
    <format dxfId="55">
      <pivotArea dataOnly="0" labelOnly="1" outline="0" fieldPosition="0">
        <references count="4">
          <reference field="0" count="1" selected="0">
            <x v="4"/>
          </reference>
          <reference field="1" count="1" selected="0">
            <x v="18"/>
          </reference>
          <reference field="4" count="1" selected="0">
            <x v="0"/>
          </reference>
          <reference field="5" count="1">
            <x v="0"/>
          </reference>
        </references>
      </pivotArea>
    </format>
    <format dxfId="54">
      <pivotArea dataOnly="0" labelOnly="1" outline="0" fieldPosition="0">
        <references count="4">
          <reference field="0" count="1" selected="0">
            <x v="4"/>
          </reference>
          <reference field="1" count="1" selected="0">
            <x v="29"/>
          </reference>
          <reference field="4" count="1" selected="0">
            <x v="0"/>
          </reference>
          <reference field="5" count="1">
            <x v="0"/>
          </reference>
        </references>
      </pivotArea>
    </format>
    <format dxfId="53">
      <pivotArea dataOnly="0" labelOnly="1" outline="0" fieldPosition="0">
        <references count="4">
          <reference field="0" count="1" selected="0">
            <x v="5"/>
          </reference>
          <reference field="1" count="1" selected="0">
            <x v="12"/>
          </reference>
          <reference field="4" count="1" selected="0">
            <x v="0"/>
          </reference>
          <reference field="5" count="1">
            <x v="2"/>
          </reference>
        </references>
      </pivotArea>
    </format>
    <format dxfId="52">
      <pivotArea dataOnly="0" labelOnly="1" outline="0" fieldPosition="0">
        <references count="4">
          <reference field="0" count="1" selected="0">
            <x v="5"/>
          </reference>
          <reference field="1" count="1" selected="0">
            <x v="13"/>
          </reference>
          <reference field="4" count="1" selected="0">
            <x v="0"/>
          </reference>
          <reference field="5" count="1">
            <x v="2"/>
          </reference>
        </references>
      </pivotArea>
    </format>
    <format dxfId="51">
      <pivotArea dataOnly="0" labelOnly="1" outline="0" fieldPosition="0">
        <references count="4">
          <reference field="0" count="1" selected="0">
            <x v="5"/>
          </reference>
          <reference field="1" count="1" selected="0">
            <x v="14"/>
          </reference>
          <reference field="4" count="1" selected="0">
            <x v="0"/>
          </reference>
          <reference field="5" count="1">
            <x v="2"/>
          </reference>
        </references>
      </pivotArea>
    </format>
    <format dxfId="50">
      <pivotArea dataOnly="0" labelOnly="1" outline="0" fieldPosition="0">
        <references count="4">
          <reference field="0" count="1" selected="0">
            <x v="5"/>
          </reference>
          <reference field="1" count="1" selected="0">
            <x v="48"/>
          </reference>
          <reference field="4" count="1" selected="0">
            <x v="0"/>
          </reference>
          <reference field="5" count="1">
            <x v="2"/>
          </reference>
        </references>
      </pivotArea>
    </format>
    <format dxfId="49">
      <pivotArea dataOnly="0" labelOnly="1" outline="0" fieldPosition="0">
        <references count="4">
          <reference field="0" count="1" selected="0">
            <x v="6"/>
          </reference>
          <reference field="1" count="1" selected="0">
            <x v="2"/>
          </reference>
          <reference field="4" count="1" selected="0">
            <x v="2"/>
          </reference>
          <reference field="5" count="1">
            <x v="0"/>
          </reference>
        </references>
      </pivotArea>
    </format>
    <format dxfId="48">
      <pivotArea dataOnly="0" labelOnly="1" outline="0" fieldPosition="0">
        <references count="4">
          <reference field="0" count="1" selected="0">
            <x v="6"/>
          </reference>
          <reference field="1" count="1" selected="0">
            <x v="5"/>
          </reference>
          <reference field="4" count="1" selected="0">
            <x v="2"/>
          </reference>
          <reference field="5" count="1">
            <x v="0"/>
          </reference>
        </references>
      </pivotArea>
    </format>
    <format dxfId="47">
      <pivotArea dataOnly="0" labelOnly="1" outline="0" fieldPosition="0">
        <references count="4">
          <reference field="0" count="1" selected="0">
            <x v="6"/>
          </reference>
          <reference field="1" count="1" selected="0">
            <x v="6"/>
          </reference>
          <reference field="4" count="1" selected="0">
            <x v="2"/>
          </reference>
          <reference field="5" count="1">
            <x v="0"/>
          </reference>
        </references>
      </pivotArea>
    </format>
    <format dxfId="46">
      <pivotArea dataOnly="0" labelOnly="1" outline="0" fieldPosition="0">
        <references count="4">
          <reference field="0" count="1" selected="0">
            <x v="6"/>
          </reference>
          <reference field="1" count="1" selected="0">
            <x v="20"/>
          </reference>
          <reference field="4" count="1" selected="0">
            <x v="2"/>
          </reference>
          <reference field="5" count="1">
            <x v="0"/>
          </reference>
        </references>
      </pivotArea>
    </format>
    <format dxfId="45">
      <pivotArea dataOnly="0" labelOnly="1" outline="0" fieldPosition="0">
        <references count="4">
          <reference field="0" count="1" selected="0">
            <x v="6"/>
          </reference>
          <reference field="1" count="1" selected="0">
            <x v="21"/>
          </reference>
          <reference field="4" count="1" selected="0">
            <x v="2"/>
          </reference>
          <reference field="5" count="1">
            <x v="0"/>
          </reference>
        </references>
      </pivotArea>
    </format>
    <format dxfId="44">
      <pivotArea dataOnly="0" labelOnly="1" outline="0" fieldPosition="0">
        <references count="4">
          <reference field="0" count="1" selected="0">
            <x v="6"/>
          </reference>
          <reference field="1" count="1" selected="0">
            <x v="27"/>
          </reference>
          <reference field="4" count="1" selected="0">
            <x v="2"/>
          </reference>
          <reference field="5" count="1">
            <x v="0"/>
          </reference>
        </references>
      </pivotArea>
    </format>
    <format dxfId="43">
      <pivotArea dataOnly="0" labelOnly="1" outline="0" fieldPosition="0">
        <references count="4">
          <reference field="0" count="1" selected="0">
            <x v="6"/>
          </reference>
          <reference field="1" count="1" selected="0">
            <x v="31"/>
          </reference>
          <reference field="4" count="1" selected="0">
            <x v="2"/>
          </reference>
          <reference field="5" count="1">
            <x v="0"/>
          </reference>
        </references>
      </pivotArea>
    </format>
    <format dxfId="42">
      <pivotArea dataOnly="0" labelOnly="1" outline="0" fieldPosition="0">
        <references count="4">
          <reference field="0" count="1" selected="0">
            <x v="6"/>
          </reference>
          <reference field="1" count="1" selected="0">
            <x v="37"/>
          </reference>
          <reference field="4" count="1" selected="0">
            <x v="2"/>
          </reference>
          <reference field="5" count="1">
            <x v="0"/>
          </reference>
        </references>
      </pivotArea>
    </format>
    <format dxfId="41">
      <pivotArea dataOnly="0" labelOnly="1" outline="0" fieldPosition="0">
        <references count="4">
          <reference field="0" count="1" selected="0">
            <x v="6"/>
          </reference>
          <reference field="1" count="1" selected="0">
            <x v="42"/>
          </reference>
          <reference field="4" count="1" selected="0">
            <x v="2"/>
          </reference>
          <reference field="5" count="1">
            <x v="0"/>
          </reference>
        </references>
      </pivotArea>
    </format>
    <format dxfId="40">
      <pivotArea dataOnly="0" labelOnly="1" outline="0" fieldPosition="0">
        <references count="4">
          <reference field="0" count="1" selected="0">
            <x v="6"/>
          </reference>
          <reference field="1" count="1" selected="0">
            <x v="43"/>
          </reference>
          <reference field="4" count="1" selected="0">
            <x v="2"/>
          </reference>
          <reference field="5" count="1">
            <x v="0"/>
          </reference>
        </references>
      </pivotArea>
    </format>
    <format dxfId="39">
      <pivotArea dataOnly="0" labelOnly="1" outline="0" fieldPosition="0">
        <references count="4">
          <reference field="0" count="1" selected="0">
            <x v="6"/>
          </reference>
          <reference field="1" count="1" selected="0">
            <x v="56"/>
          </reference>
          <reference field="4" count="1" selected="0">
            <x v="2"/>
          </reference>
          <reference field="5" count="1">
            <x v="0"/>
          </reference>
        </references>
      </pivotArea>
    </format>
    <format dxfId="38">
      <pivotArea dataOnly="0" labelOnly="1" outline="0" fieldPosition="0">
        <references count="4">
          <reference field="0" count="1" selected="0">
            <x v="7"/>
          </reference>
          <reference field="1" count="1" selected="0">
            <x v="22"/>
          </reference>
          <reference field="4" count="1" selected="0">
            <x v="0"/>
          </reference>
          <reference field="5" count="1">
            <x v="2"/>
          </reference>
        </references>
      </pivotArea>
    </format>
    <format dxfId="37">
      <pivotArea dataOnly="0" labelOnly="1" outline="0" fieldPosition="0">
        <references count="4">
          <reference field="0" count="1" selected="0">
            <x v="7"/>
          </reference>
          <reference field="1" count="1" selected="0">
            <x v="23"/>
          </reference>
          <reference field="4" count="1" selected="0">
            <x v="0"/>
          </reference>
          <reference field="5" count="1">
            <x v="2"/>
          </reference>
        </references>
      </pivotArea>
    </format>
    <format dxfId="36">
      <pivotArea dataOnly="0" labelOnly="1" outline="0" fieldPosition="0">
        <references count="4">
          <reference field="0" count="1" selected="0">
            <x v="8"/>
          </reference>
          <reference field="1" count="1" selected="0">
            <x v="24"/>
          </reference>
          <reference field="4" count="1" selected="0">
            <x v="0"/>
          </reference>
          <reference field="5" count="1">
            <x v="2"/>
          </reference>
        </references>
      </pivotArea>
    </format>
    <format dxfId="35">
      <pivotArea dataOnly="0" labelOnly="1" outline="0" fieldPosition="0">
        <references count="4">
          <reference field="0" count="1" selected="0">
            <x v="8"/>
          </reference>
          <reference field="1" count="1" selected="0">
            <x v="25"/>
          </reference>
          <reference field="4" count="1" selected="0">
            <x v="0"/>
          </reference>
          <reference field="5" count="1">
            <x v="2"/>
          </reference>
        </references>
      </pivotArea>
    </format>
    <format dxfId="34">
      <pivotArea dataOnly="0" labelOnly="1" outline="0" fieldPosition="0">
        <references count="4">
          <reference field="0" count="1" selected="0">
            <x v="8"/>
          </reference>
          <reference field="1" count="1" selected="0">
            <x v="26"/>
          </reference>
          <reference field="4" count="1" selected="0">
            <x v="0"/>
          </reference>
          <reference field="5" count="1">
            <x v="2"/>
          </reference>
        </references>
      </pivotArea>
    </format>
    <format dxfId="33">
      <pivotArea dataOnly="0" labelOnly="1" outline="0" fieldPosition="0">
        <references count="4">
          <reference field="0" count="1" selected="0">
            <x v="9"/>
          </reference>
          <reference field="1" count="1" selected="0">
            <x v="58"/>
          </reference>
          <reference field="4" count="1" selected="0">
            <x v="2"/>
          </reference>
          <reference field="5" count="1">
            <x v="0"/>
          </reference>
        </references>
      </pivotArea>
    </format>
    <format dxfId="32">
      <pivotArea dataOnly="0" labelOnly="1" outline="0" fieldPosition="0">
        <references count="4">
          <reference field="0" count="1" selected="0">
            <x v="9"/>
          </reference>
          <reference field="1" count="1" selected="0">
            <x v="59"/>
          </reference>
          <reference field="4" count="1" selected="0">
            <x v="2"/>
          </reference>
          <reference field="5" count="1">
            <x v="0"/>
          </reference>
        </references>
      </pivotArea>
    </format>
    <format dxfId="31">
      <pivotArea dataOnly="0" labelOnly="1" outline="0" fieldPosition="0">
        <references count="4">
          <reference field="0" count="1" selected="0">
            <x v="9"/>
          </reference>
          <reference field="1" count="1" selected="0">
            <x v="60"/>
          </reference>
          <reference field="4" count="1" selected="0">
            <x v="2"/>
          </reference>
          <reference field="5" count="1">
            <x v="0"/>
          </reference>
        </references>
      </pivotArea>
    </format>
    <format dxfId="30">
      <pivotArea dataOnly="0" labelOnly="1" outline="0" fieldPosition="0">
        <references count="4">
          <reference field="0" count="1" selected="0">
            <x v="10"/>
          </reference>
          <reference field="1" count="1" selected="0">
            <x v="28"/>
          </reference>
          <reference field="4" count="1" selected="0">
            <x v="0"/>
          </reference>
          <reference field="5" count="1">
            <x v="2"/>
          </reference>
        </references>
      </pivotArea>
    </format>
    <format dxfId="29">
      <pivotArea dataOnly="0" labelOnly="1" outline="0" fieldPosition="0">
        <references count="4">
          <reference field="0" count="1" selected="0">
            <x v="10"/>
          </reference>
          <reference field="1" count="1" selected="0">
            <x v="30"/>
          </reference>
          <reference field="4" count="1" selected="0">
            <x v="0"/>
          </reference>
          <reference field="5" count="1">
            <x v="2"/>
          </reference>
        </references>
      </pivotArea>
    </format>
    <format dxfId="28">
      <pivotArea dataOnly="0" labelOnly="1" outline="0" fieldPosition="0">
        <references count="4">
          <reference field="0" count="1" selected="0">
            <x v="11"/>
          </reference>
          <reference field="1" count="1" selected="0">
            <x v="3"/>
          </reference>
          <reference field="4" count="1" selected="0">
            <x v="2"/>
          </reference>
          <reference field="5" count="1">
            <x v="0"/>
          </reference>
        </references>
      </pivotArea>
    </format>
    <format dxfId="27">
      <pivotArea dataOnly="0" labelOnly="1" outline="0" fieldPosition="0">
        <references count="4">
          <reference field="0" count="1" selected="0">
            <x v="11"/>
          </reference>
          <reference field="1" count="1" selected="0">
            <x v="4"/>
          </reference>
          <reference field="4" count="1" selected="0">
            <x v="2"/>
          </reference>
          <reference field="5" count="1">
            <x v="0"/>
          </reference>
        </references>
      </pivotArea>
    </format>
    <format dxfId="26">
      <pivotArea dataOnly="0" labelOnly="1" outline="0" fieldPosition="0">
        <references count="4">
          <reference field="0" count="1" selected="0">
            <x v="11"/>
          </reference>
          <reference field="1" count="1" selected="0">
            <x v="32"/>
          </reference>
          <reference field="4" count="1" selected="0">
            <x v="2"/>
          </reference>
          <reference field="5" count="1">
            <x v="0"/>
          </reference>
        </references>
      </pivotArea>
    </format>
    <format dxfId="25">
      <pivotArea dataOnly="0" labelOnly="1" outline="0" fieldPosition="0">
        <references count="4">
          <reference field="0" count="1" selected="0">
            <x v="11"/>
          </reference>
          <reference field="1" count="1" selected="0">
            <x v="55"/>
          </reference>
          <reference field="4" count="1" selected="0">
            <x v="2"/>
          </reference>
          <reference field="5" count="1">
            <x v="0"/>
          </reference>
        </references>
      </pivotArea>
    </format>
    <format dxfId="24">
      <pivotArea dataOnly="0" labelOnly="1" outline="0" fieldPosition="0">
        <references count="4">
          <reference field="0" count="1" selected="0">
            <x v="12"/>
          </reference>
          <reference field="1" count="1" selected="0">
            <x v="38"/>
          </reference>
          <reference field="4" count="1" selected="0">
            <x v="0"/>
          </reference>
          <reference field="5" count="1">
            <x v="2"/>
          </reference>
        </references>
      </pivotArea>
    </format>
    <format dxfId="23">
      <pivotArea dataOnly="0" labelOnly="1" outline="0" fieldPosition="0">
        <references count="4">
          <reference field="0" count="1" selected="0">
            <x v="13"/>
          </reference>
          <reference field="1" count="1" selected="0">
            <x v="45"/>
          </reference>
          <reference field="4" count="1" selected="0">
            <x v="0"/>
          </reference>
          <reference field="5" count="1">
            <x v="2"/>
          </reference>
        </references>
      </pivotArea>
    </format>
    <format dxfId="22">
      <pivotArea dataOnly="0" labelOnly="1" outline="0" fieldPosition="0">
        <references count="4">
          <reference field="0" count="1" selected="0">
            <x v="13"/>
          </reference>
          <reference field="1" count="1" selected="0">
            <x v="50"/>
          </reference>
          <reference field="4" count="1" selected="0">
            <x v="0"/>
          </reference>
          <reference field="5" count="1">
            <x v="2"/>
          </reference>
        </references>
      </pivotArea>
    </format>
    <format dxfId="21">
      <pivotArea dataOnly="0" labelOnly="1" outline="0" fieldPosition="0">
        <references count="4">
          <reference field="0" count="1" selected="0">
            <x v="13"/>
          </reference>
          <reference field="1" count="1" selected="0">
            <x v="51"/>
          </reference>
          <reference field="4" count="1" selected="0">
            <x v="0"/>
          </reference>
          <reference field="5" count="1">
            <x v="2"/>
          </reference>
        </references>
      </pivotArea>
    </format>
    <format dxfId="20">
      <pivotArea dataOnly="0" labelOnly="1" outline="0" fieldPosition="0">
        <references count="4">
          <reference field="0" count="1" selected="0">
            <x v="14"/>
          </reference>
          <reference field="1" count="1" selected="0">
            <x v="19"/>
          </reference>
          <reference field="4" count="1" selected="0">
            <x v="2"/>
          </reference>
          <reference field="5" count="1">
            <x v="0"/>
          </reference>
        </references>
      </pivotArea>
    </format>
    <format dxfId="19">
      <pivotArea dataOnly="0" labelOnly="1" outline="0" fieldPosition="0">
        <references count="4">
          <reference field="0" count="1" selected="0">
            <x v="14"/>
          </reference>
          <reference field="1" count="1" selected="0">
            <x v="34"/>
          </reference>
          <reference field="4" count="1" selected="0">
            <x v="2"/>
          </reference>
          <reference field="5" count="1">
            <x v="0"/>
          </reference>
        </references>
      </pivotArea>
    </format>
    <format dxfId="18">
      <pivotArea dataOnly="0" labelOnly="1" outline="0" fieldPosition="0">
        <references count="4">
          <reference field="0" count="1" selected="0">
            <x v="14"/>
          </reference>
          <reference field="1" count="1" selected="0">
            <x v="35"/>
          </reference>
          <reference field="4" count="1" selected="0">
            <x v="2"/>
          </reference>
          <reference field="5" count="1">
            <x v="0"/>
          </reference>
        </references>
      </pivotArea>
    </format>
    <format dxfId="17">
      <pivotArea dataOnly="0" labelOnly="1" outline="0" fieldPosition="0">
        <references count="4">
          <reference field="0" count="1" selected="0">
            <x v="14"/>
          </reference>
          <reference field="1" count="1" selected="0">
            <x v="36"/>
          </reference>
          <reference field="4" count="1" selected="0">
            <x v="2"/>
          </reference>
          <reference field="5" count="1">
            <x v="0"/>
          </reference>
        </references>
      </pivotArea>
    </format>
    <format dxfId="16">
      <pivotArea dataOnly="0" labelOnly="1" outline="0" fieldPosition="0">
        <references count="4">
          <reference field="0" count="1" selected="0">
            <x v="14"/>
          </reference>
          <reference field="1" count="1" selected="0">
            <x v="41"/>
          </reference>
          <reference field="4" count="1" selected="0">
            <x v="2"/>
          </reference>
          <reference field="5" count="1">
            <x v="0"/>
          </reference>
        </references>
      </pivotArea>
    </format>
    <format dxfId="15">
      <pivotArea dataOnly="0" labelOnly="1" outline="0" fieldPosition="0">
        <references count="4">
          <reference field="0" count="1" selected="0">
            <x v="14"/>
          </reference>
          <reference field="1" count="1" selected="0">
            <x v="46"/>
          </reference>
          <reference field="4" count="1" selected="0">
            <x v="2"/>
          </reference>
          <reference field="5" count="1">
            <x v="0"/>
          </reference>
        </references>
      </pivotArea>
    </format>
    <format dxfId="14">
      <pivotArea dataOnly="0" labelOnly="1" outline="0" fieldPosition="0">
        <references count="4">
          <reference field="0" count="1" selected="0">
            <x v="14"/>
          </reference>
          <reference field="1" count="1" selected="0">
            <x v="47"/>
          </reference>
          <reference field="4" count="1" selected="0">
            <x v="2"/>
          </reference>
          <reference field="5" count="1">
            <x v="0"/>
          </reference>
        </references>
      </pivotArea>
    </format>
    <format dxfId="13">
      <pivotArea dataOnly="0" labelOnly="1" outline="0" fieldPosition="0">
        <references count="4">
          <reference field="0" count="1" selected="0">
            <x v="14"/>
          </reference>
          <reference field="1" count="1" selected="0">
            <x v="61"/>
          </reference>
          <reference field="4" count="1" selected="0">
            <x v="2"/>
          </reference>
          <reference field="5" count="1">
            <x v="0"/>
          </reference>
        </references>
      </pivotArea>
    </format>
    <format dxfId="12">
      <pivotArea dataOnly="0" labelOnly="1" outline="0" fieldPosition="0">
        <references count="4">
          <reference field="0" count="1" selected="0">
            <x v="15"/>
          </reference>
          <reference field="1" count="1" selected="0">
            <x v="40"/>
          </reference>
          <reference field="4" count="1" selected="0">
            <x v="0"/>
          </reference>
          <reference field="5" count="1">
            <x v="2"/>
          </reference>
        </references>
      </pivotArea>
    </format>
    <format dxfId="11">
      <pivotArea dataOnly="0" labelOnly="1" outline="0" fieldPosition="0">
        <references count="4">
          <reference field="0" count="1" selected="0">
            <x v="15"/>
          </reference>
          <reference field="1" count="1" selected="0">
            <x v="57"/>
          </reference>
          <reference field="4" count="1" selected="0">
            <x v="0"/>
          </reference>
          <reference field="5" count="1">
            <x v="2"/>
          </reference>
        </references>
      </pivotArea>
    </format>
    <format dxfId="10">
      <pivotArea dataOnly="0" labelOnly="1" outline="0" fieldPosition="0">
        <references count="4">
          <reference field="0" count="1" selected="0">
            <x v="16"/>
          </reference>
          <reference field="1" count="1" selected="0">
            <x v="0"/>
          </reference>
          <reference field="4" count="1" selected="0">
            <x v="3"/>
          </reference>
          <reference field="5" count="1">
            <x v="3"/>
          </reference>
        </references>
      </pivotArea>
    </format>
    <format dxfId="9">
      <pivotArea dataOnly="0" labelOnly="1" outline="0" fieldPosition="0">
        <references count="4">
          <reference field="0" count="1" selected="0">
            <x v="16"/>
          </reference>
          <reference field="1" count="1" selected="0">
            <x v="1"/>
          </reference>
          <reference field="4" count="1" selected="0">
            <x v="3"/>
          </reference>
          <reference field="5" count="1">
            <x v="3"/>
          </reference>
        </references>
      </pivotArea>
    </format>
    <format dxfId="8">
      <pivotArea dataOnly="0" labelOnly="1" outline="0" fieldPosition="0">
        <references count="4">
          <reference field="0" count="1" selected="0">
            <x v="17"/>
          </reference>
          <reference field="1" count="1" selected="0">
            <x v="49"/>
          </reference>
          <reference field="4" count="1" selected="0">
            <x v="0"/>
          </reference>
          <reference field="5" count="1">
            <x v="2"/>
          </reference>
        </references>
      </pivotArea>
    </format>
    <format dxfId="7">
      <pivotArea dataOnly="0" labelOnly="1" outline="0" fieldPosition="0">
        <references count="4">
          <reference field="0" count="1" selected="0">
            <x v="18"/>
          </reference>
          <reference field="1" count="1" selected="0">
            <x v="52"/>
          </reference>
          <reference field="4" count="1" selected="0">
            <x v="2"/>
          </reference>
          <reference field="5" count="1">
            <x v="0"/>
          </reference>
        </references>
      </pivotArea>
    </format>
    <format dxfId="6">
      <pivotArea dataOnly="0" labelOnly="1" outline="0" fieldPosition="0">
        <references count="4">
          <reference field="0" count="1" selected="0">
            <x v="18"/>
          </reference>
          <reference field="1" count="1" selected="0">
            <x v="53"/>
          </reference>
          <reference field="4" count="1" selected="0">
            <x v="2"/>
          </reference>
          <reference field="5" count="1">
            <x v="0"/>
          </reference>
        </references>
      </pivotArea>
    </format>
    <format dxfId="5">
      <pivotArea dataOnly="0" labelOnly="1" outline="0" fieldPosition="0">
        <references count="4">
          <reference field="0" count="1" selected="0">
            <x v="18"/>
          </reference>
          <reference field="1" count="1" selected="0">
            <x v="54"/>
          </reference>
          <reference field="4" count="1" selected="0">
            <x v="2"/>
          </reference>
          <reference field="5" count="1">
            <x v="0"/>
          </reference>
        </references>
      </pivotArea>
    </format>
    <format dxfId="4">
      <pivotArea dataOnly="0" labelOnly="1" outline="0" fieldPosition="0">
        <references count="4">
          <reference field="0" count="1" selected="0">
            <x v="19"/>
          </reference>
          <reference field="1" count="1" selected="0">
            <x v="33"/>
          </reference>
          <reference field="4" count="1" selected="0">
            <x v="1"/>
          </reference>
          <reference field="5" count="1">
            <x v="1"/>
          </reference>
        </references>
      </pivotArea>
    </format>
    <format dxfId="3">
      <pivotArea dataOnly="0" labelOnly="1" outline="0" fieldPosition="0">
        <references count="4">
          <reference field="0" count="1" selected="0">
            <x v="19"/>
          </reference>
          <reference field="1" count="1" selected="0">
            <x v="39"/>
          </reference>
          <reference field="4" count="1" selected="0">
            <x v="1"/>
          </reference>
          <reference field="5" count="1">
            <x v="1"/>
          </reference>
        </references>
      </pivotArea>
    </format>
    <format dxfId="2">
      <pivotArea dataOnly="0" labelOnly="1" outline="0" fieldPosition="0">
        <references count="4">
          <reference field="0" count="1" selected="0">
            <x v="9"/>
          </reference>
          <reference field="1" count="1" selected="0">
            <x v="58"/>
          </reference>
          <reference field="4" count="1" selected="0">
            <x v="2"/>
          </reference>
          <reference field="5" count="1">
            <x v="0"/>
          </reference>
        </references>
      </pivotArea>
    </format>
    <format dxfId="1">
      <pivotArea dataOnly="0" labelOnly="1" outline="0" fieldPosition="0">
        <references count="4">
          <reference field="0" count="1" selected="0">
            <x v="9"/>
          </reference>
          <reference field="1" count="1" selected="0">
            <x v="59"/>
          </reference>
          <reference field="4" count="1" selected="0">
            <x v="2"/>
          </reference>
          <reference field="5" count="1">
            <x v="0"/>
          </reference>
        </references>
      </pivotArea>
    </format>
    <format dxfId="0">
      <pivotArea dataOnly="0" labelOnly="1" outline="0" fieldPosition="0">
        <references count="4">
          <reference field="0" count="1" selected="0">
            <x v="9"/>
          </reference>
          <reference field="1" count="1" selected="0">
            <x v="60"/>
          </reference>
          <reference field="4" count="1" selected="0">
            <x v="2"/>
          </reference>
          <reference field="5"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5:A6" firstHeaderRow="1" firstDataRow="1" firstDataCol="0"/>
  <pivotFields count="10">
    <pivotField subtotalTop="0" showAll="0"/>
    <pivotField subtotalTop="0" showAll="0" sortType="descending">
      <autoSortScope>
        <pivotArea dataOnly="0" outline="0" fieldPosition="0">
          <references count="1">
            <reference field="4294967294" count="1" selected="0">
              <x v="0"/>
            </reference>
          </references>
        </pivotArea>
      </autoSortScope>
    </pivotField>
    <pivotField subtotalTop="0" showAll="0"/>
    <pivotField dataField="1" subtotalTop="0" showAll="0"/>
    <pivotField subtotalTop="0" showAll="0"/>
    <pivotField subtotalTop="0" showAll="0"/>
    <pivotField subtotalTop="0" showAll="0"/>
    <pivotField showAll="0"/>
    <pivotField showAll="0"/>
    <pivotField showAll="0"/>
  </pivotFields>
  <rowItems count="1">
    <i/>
  </rowItems>
  <colItems count="1">
    <i/>
  </colItems>
  <dataFields count="1">
    <dataField name="Count of Matricola"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17" Type="http://schemas.openxmlformats.org/officeDocument/2006/relationships/hyperlink" Target="mailto:davide.demartino@intesasanpaolo.com" TargetMode="External"/><Relationship Id="rId671" Type="http://schemas.openxmlformats.org/officeDocument/2006/relationships/hyperlink" Target="mailto:salvatore.catalanotto@intesasanpaolo.com" TargetMode="External"/><Relationship Id="rId769" Type="http://schemas.openxmlformats.org/officeDocument/2006/relationships/hyperlink" Target="mailto:gianluca.ramundo@intesasanpaolo.com" TargetMode="External"/><Relationship Id="rId21" Type="http://schemas.openxmlformats.org/officeDocument/2006/relationships/hyperlink" Target="mailto:ugo.pisanimassamormile@intesasanpaolo.com" TargetMode="External"/><Relationship Id="rId324" Type="http://schemas.openxmlformats.org/officeDocument/2006/relationships/hyperlink" Target="mailto:giuseppe.crisetti@intesasanpaolo.com" TargetMode="External"/><Relationship Id="rId531" Type="http://schemas.openxmlformats.org/officeDocument/2006/relationships/hyperlink" Target="mailto:enrico.biffi@intesasanpaolo.com" TargetMode="External"/><Relationship Id="rId629" Type="http://schemas.openxmlformats.org/officeDocument/2006/relationships/hyperlink" Target="mailto:giulio.padovani@intesasanpaolo.com" TargetMode="External"/><Relationship Id="rId170" Type="http://schemas.openxmlformats.org/officeDocument/2006/relationships/hyperlink" Target="mailto:nicola.bottioni@intesasanpaolo.com" TargetMode="External"/><Relationship Id="rId268" Type="http://schemas.openxmlformats.org/officeDocument/2006/relationships/hyperlink" Target="mailto:simona.bastianello@intesasanpaolo.com" TargetMode="External"/><Relationship Id="rId475" Type="http://schemas.openxmlformats.org/officeDocument/2006/relationships/hyperlink" Target="mailto:stefano.dalessio@intesasanpaolo.com" TargetMode="External"/><Relationship Id="rId682" Type="http://schemas.openxmlformats.org/officeDocument/2006/relationships/hyperlink" Target="mailto:andrea.richiardi@intesasanpaolo.com" TargetMode="External"/><Relationship Id="rId32" Type="http://schemas.openxmlformats.org/officeDocument/2006/relationships/hyperlink" Target="mailto:giorgio.einaudi@intesasanpaolo.com" TargetMode="External"/><Relationship Id="rId128" Type="http://schemas.openxmlformats.org/officeDocument/2006/relationships/hyperlink" Target="mailto:ilaria.rastelli@intesasanpaolo.com" TargetMode="External"/><Relationship Id="rId335" Type="http://schemas.openxmlformats.org/officeDocument/2006/relationships/hyperlink" Target="mailto:franco.madrigali@intesasanpaolo.com" TargetMode="External"/><Relationship Id="rId542" Type="http://schemas.openxmlformats.org/officeDocument/2006/relationships/hyperlink" Target="mailto:walter.marventano@intesasanpaolo.com" TargetMode="External"/><Relationship Id="rId181" Type="http://schemas.openxmlformats.org/officeDocument/2006/relationships/hyperlink" Target="mailto:dario.gorla@intesasanpaolo.com" TargetMode="External"/><Relationship Id="rId402" Type="http://schemas.openxmlformats.org/officeDocument/2006/relationships/hyperlink" Target="mailto:antonio.chojwa@intesasanpaolo.com" TargetMode="External"/><Relationship Id="rId279" Type="http://schemas.openxmlformats.org/officeDocument/2006/relationships/hyperlink" Target="mailto:claudio.degregori@intesasanpaolo.com" TargetMode="External"/><Relationship Id="rId486" Type="http://schemas.openxmlformats.org/officeDocument/2006/relationships/hyperlink" Target="mailto:gianmarco.ugenti@intesasanpaolo.com" TargetMode="External"/><Relationship Id="rId693" Type="http://schemas.openxmlformats.org/officeDocument/2006/relationships/hyperlink" Target="mailto:nicola.girardi@intesasanpaolo.com" TargetMode="External"/><Relationship Id="rId707" Type="http://schemas.openxmlformats.org/officeDocument/2006/relationships/hyperlink" Target="mailto:alessandro.bruno2@intesasanpaolo.com" TargetMode="External"/><Relationship Id="rId43" Type="http://schemas.openxmlformats.org/officeDocument/2006/relationships/hyperlink" Target="mailto:lorena.lupo@intesasanpaolo.com" TargetMode="External"/><Relationship Id="rId139" Type="http://schemas.openxmlformats.org/officeDocument/2006/relationships/hyperlink" Target="mailto:giuliano.grassi@intesasanpaolo.com" TargetMode="External"/><Relationship Id="rId346" Type="http://schemas.openxmlformats.org/officeDocument/2006/relationships/hyperlink" Target="mailto:renato.pegorin@intesasanpaolo.com" TargetMode="External"/><Relationship Id="rId553" Type="http://schemas.openxmlformats.org/officeDocument/2006/relationships/hyperlink" Target="mailto:michele.biroli@intesasanpaolo.com" TargetMode="External"/><Relationship Id="rId760" Type="http://schemas.openxmlformats.org/officeDocument/2006/relationships/hyperlink" Target="mailto:alessandro.cuccolini@intesasanpaolo.com" TargetMode="External"/><Relationship Id="rId192" Type="http://schemas.openxmlformats.org/officeDocument/2006/relationships/hyperlink" Target="mailto:fabio.ponzi@intesasanpaolo.com" TargetMode="External"/><Relationship Id="rId206" Type="http://schemas.openxmlformats.org/officeDocument/2006/relationships/hyperlink" Target="mailto:armando.dellabella@intesasanpaolo.com" TargetMode="External"/><Relationship Id="rId413" Type="http://schemas.openxmlformats.org/officeDocument/2006/relationships/hyperlink" Target="mailto:fabrizio.bonati@intesasanpaolo.com" TargetMode="External"/><Relationship Id="rId248" Type="http://schemas.openxmlformats.org/officeDocument/2006/relationships/hyperlink" Target="mailto:luca.salvini@intesasanpaolo.com" TargetMode="External"/><Relationship Id="rId455" Type="http://schemas.openxmlformats.org/officeDocument/2006/relationships/hyperlink" Target="mailto:marco.campoli@intesasanpaolo.com" TargetMode="External"/><Relationship Id="rId497" Type="http://schemas.openxmlformats.org/officeDocument/2006/relationships/hyperlink" Target="mailto:maurizio.manganiello@intesasanpaolo.com" TargetMode="External"/><Relationship Id="rId620" Type="http://schemas.openxmlformats.org/officeDocument/2006/relationships/hyperlink" Target="mailto:monica.garabello@intesasanpaolo.com" TargetMode="External"/><Relationship Id="rId662" Type="http://schemas.openxmlformats.org/officeDocument/2006/relationships/hyperlink" Target="mailto:massimo.derosa@intesasanpaolo.com" TargetMode="External"/><Relationship Id="rId718" Type="http://schemas.openxmlformats.org/officeDocument/2006/relationships/hyperlink" Target="mailto:antonino.cipollone@intesasanpaolo.com" TargetMode="External"/><Relationship Id="rId12" Type="http://schemas.openxmlformats.org/officeDocument/2006/relationships/hyperlink" Target="mailto:davide.dandrea@intesasanpaolo.com" TargetMode="External"/><Relationship Id="rId108" Type="http://schemas.openxmlformats.org/officeDocument/2006/relationships/hyperlink" Target="mailto:matteo.ricchetti@intesasanpaolo.com" TargetMode="External"/><Relationship Id="rId315" Type="http://schemas.openxmlformats.org/officeDocument/2006/relationships/hyperlink" Target="mailto:corrado.bevilacqua@intesasanpaolo.com" TargetMode="External"/><Relationship Id="rId357" Type="http://schemas.openxmlformats.org/officeDocument/2006/relationships/hyperlink" Target="mailto:francesco.abate@intesasanpaolo.com" TargetMode="External"/><Relationship Id="rId522" Type="http://schemas.openxmlformats.org/officeDocument/2006/relationships/hyperlink" Target="mailto:gianmarco.gozzi@intesasanpaolo.com" TargetMode="External"/><Relationship Id="rId54" Type="http://schemas.openxmlformats.org/officeDocument/2006/relationships/hyperlink" Target="mailto:dario.panarese@intesasanpaolo.com" TargetMode="External"/><Relationship Id="rId96" Type="http://schemas.openxmlformats.org/officeDocument/2006/relationships/hyperlink" Target="mailto:antonio.addario@intesasanpaolo.com" TargetMode="External"/><Relationship Id="rId161" Type="http://schemas.openxmlformats.org/officeDocument/2006/relationships/hyperlink" Target="mailto:roberto.morando@intesasanpaolo.com" TargetMode="External"/><Relationship Id="rId217" Type="http://schemas.openxmlformats.org/officeDocument/2006/relationships/hyperlink" Target="mailto:antonio.zen@intesasanpaolo.com" TargetMode="External"/><Relationship Id="rId399" Type="http://schemas.openxmlformats.org/officeDocument/2006/relationships/hyperlink" Target="mailto:marco.caricati@intesasanpaolo.com" TargetMode="External"/><Relationship Id="rId564" Type="http://schemas.openxmlformats.org/officeDocument/2006/relationships/hyperlink" Target="mailto:corrado.ventura@intesasanpaolo.com" TargetMode="External"/><Relationship Id="rId771" Type="http://schemas.openxmlformats.org/officeDocument/2006/relationships/hyperlink" Target="mailto:simona.rovere@intesasanpaolo.com" TargetMode="External"/><Relationship Id="rId259" Type="http://schemas.openxmlformats.org/officeDocument/2006/relationships/hyperlink" Target="mailto:massimo.carrabs@intesasanpaolo.com" TargetMode="External"/><Relationship Id="rId424" Type="http://schemas.openxmlformats.org/officeDocument/2006/relationships/hyperlink" Target="mailto:antonio.izzo@intesasanpaolo.com" TargetMode="External"/><Relationship Id="rId466" Type="http://schemas.openxmlformats.org/officeDocument/2006/relationships/hyperlink" Target="mailto:paolo.albertini1@intesasanpaolo.com" TargetMode="External"/><Relationship Id="rId631" Type="http://schemas.openxmlformats.org/officeDocument/2006/relationships/hyperlink" Target="mailto:gianluca.cantarelli@intesasanpaolo.com" TargetMode="External"/><Relationship Id="rId673" Type="http://schemas.openxmlformats.org/officeDocument/2006/relationships/hyperlink" Target="mailto:marta.fioravazzi@intesasanpaolo.com" TargetMode="External"/><Relationship Id="rId729" Type="http://schemas.openxmlformats.org/officeDocument/2006/relationships/hyperlink" Target="mailto:carlo.donnini@intesasanpaolo.com" TargetMode="External"/><Relationship Id="rId23" Type="http://schemas.openxmlformats.org/officeDocument/2006/relationships/hyperlink" Target="mailto:alessandro.raso@intesasanpaolo.com" TargetMode="External"/><Relationship Id="rId119" Type="http://schemas.openxmlformats.org/officeDocument/2006/relationships/hyperlink" Target="mailto:veaceslav.derli@intesasanpaolo.com" TargetMode="External"/><Relationship Id="rId270" Type="http://schemas.openxmlformats.org/officeDocument/2006/relationships/hyperlink" Target="mailto:davide.bonatti@intesasanpaolo.com" TargetMode="External"/><Relationship Id="rId326" Type="http://schemas.openxmlformats.org/officeDocument/2006/relationships/hyperlink" Target="mailto:raffaele.desantis@intesasanpaolo.com" TargetMode="External"/><Relationship Id="rId533" Type="http://schemas.openxmlformats.org/officeDocument/2006/relationships/hyperlink" Target="mailto:ilaria.bonati@intesasanpaolo.com" TargetMode="External"/><Relationship Id="rId65" Type="http://schemas.openxmlformats.org/officeDocument/2006/relationships/hyperlink" Target="mailto:davide.menardi@intesasanpaolo.com" TargetMode="External"/><Relationship Id="rId130" Type="http://schemas.openxmlformats.org/officeDocument/2006/relationships/hyperlink" Target="mailto:daniele.uccellatore@intesasanpaolo.com" TargetMode="External"/><Relationship Id="rId368" Type="http://schemas.openxmlformats.org/officeDocument/2006/relationships/hyperlink" Target="mailto:enrico.esposito@intesasanpaolo.com" TargetMode="External"/><Relationship Id="rId575" Type="http://schemas.openxmlformats.org/officeDocument/2006/relationships/hyperlink" Target="mailto:bruno.maccario@intesasanpaolo.com" TargetMode="External"/><Relationship Id="rId740" Type="http://schemas.openxmlformats.org/officeDocument/2006/relationships/hyperlink" Target="mailto:marco.busani@intesasanpaolo.com" TargetMode="External"/><Relationship Id="rId782" Type="http://schemas.openxmlformats.org/officeDocument/2006/relationships/hyperlink" Target="mailto:emanuela.antonelli@intesasanpaolo.com" TargetMode="External"/><Relationship Id="rId172" Type="http://schemas.openxmlformats.org/officeDocument/2006/relationships/hyperlink" Target="mailto:fabio.balzano@intesasanpaolo.com" TargetMode="External"/><Relationship Id="rId228" Type="http://schemas.openxmlformats.org/officeDocument/2006/relationships/hyperlink" Target="mailto:alessandro.simionato@intesasanpaolo.com" TargetMode="External"/><Relationship Id="rId435" Type="http://schemas.openxmlformats.org/officeDocument/2006/relationships/hyperlink" Target="mailto:giovanni.beccato@intesasanpaolo.com" TargetMode="External"/><Relationship Id="rId477" Type="http://schemas.openxmlformats.org/officeDocument/2006/relationships/hyperlink" Target="mailto:luca.giordani@intesasanpaolo.com" TargetMode="External"/><Relationship Id="rId600" Type="http://schemas.openxmlformats.org/officeDocument/2006/relationships/hyperlink" Target="mailto:diego.salvati@intesasanpaolo.com" TargetMode="External"/><Relationship Id="rId642" Type="http://schemas.openxmlformats.org/officeDocument/2006/relationships/hyperlink" Target="mailto:luciano.giovannini@intesasanpaolo.com" TargetMode="External"/><Relationship Id="rId684" Type="http://schemas.openxmlformats.org/officeDocument/2006/relationships/hyperlink" Target="mailto:damiano.vittone@intesasanpaolo.com" TargetMode="External"/><Relationship Id="rId281" Type="http://schemas.openxmlformats.org/officeDocument/2006/relationships/hyperlink" Target="mailto:marco.gerussi@intesasanpaolo.com" TargetMode="External"/><Relationship Id="rId337" Type="http://schemas.openxmlformats.org/officeDocument/2006/relationships/hyperlink" Target="mailto:cristiano.marchetti@intesasanpaolo.com" TargetMode="External"/><Relationship Id="rId502" Type="http://schemas.openxmlformats.org/officeDocument/2006/relationships/hyperlink" Target="mailto:oliviero.salerno@intesasanpaolo.com" TargetMode="External"/><Relationship Id="rId34" Type="http://schemas.openxmlformats.org/officeDocument/2006/relationships/hyperlink" Target="mailto:piero.andreis@intesasanpaolo.com" TargetMode="External"/><Relationship Id="rId76" Type="http://schemas.openxmlformats.org/officeDocument/2006/relationships/hyperlink" Target="mailto:anna.morabito@intesasanpaolo.com" TargetMode="External"/><Relationship Id="rId141" Type="http://schemas.openxmlformats.org/officeDocument/2006/relationships/hyperlink" Target="mailto:mauro.narducci@intesasanpaolo.com" TargetMode="External"/><Relationship Id="rId379" Type="http://schemas.openxmlformats.org/officeDocument/2006/relationships/hyperlink" Target="mailto:vincenzo.napolitano@intesasanpaolo.com" TargetMode="External"/><Relationship Id="rId544" Type="http://schemas.openxmlformats.org/officeDocument/2006/relationships/hyperlink" Target="mailto:danilo.filippi@intesasanpaolo.com" TargetMode="External"/><Relationship Id="rId586" Type="http://schemas.openxmlformats.org/officeDocument/2006/relationships/hyperlink" Target="mailto:stefano.majerna@intesasanpaolo.com" TargetMode="External"/><Relationship Id="rId751" Type="http://schemas.openxmlformats.org/officeDocument/2006/relationships/hyperlink" Target="mailto:sauro.bertozzi@intesasanpaolo.com" TargetMode="External"/><Relationship Id="rId793" Type="http://schemas.openxmlformats.org/officeDocument/2006/relationships/hyperlink" Target="mailto:davide.derosa@intesasanpaolo.com" TargetMode="External"/><Relationship Id="rId807" Type="http://schemas.openxmlformats.org/officeDocument/2006/relationships/hyperlink" Target="mailto:gabriele.massari@intesasanpaolo.com" TargetMode="External"/><Relationship Id="rId7" Type="http://schemas.openxmlformats.org/officeDocument/2006/relationships/hyperlink" Target="mailto:paolo.camino@intesasanpaolo.com" TargetMode="External"/><Relationship Id="rId183" Type="http://schemas.openxmlformats.org/officeDocument/2006/relationships/hyperlink" Target="mailto:tommaso.iannuzzi@intesasanpaolo.com" TargetMode="External"/><Relationship Id="rId239" Type="http://schemas.openxmlformats.org/officeDocument/2006/relationships/hyperlink" Target="mailto:donato.lucconavei@intesasanpaolo.com" TargetMode="External"/><Relationship Id="rId390" Type="http://schemas.openxmlformats.org/officeDocument/2006/relationships/hyperlink" Target="mailto:claudio.amoretti@intesasanpaolo.com" TargetMode="External"/><Relationship Id="rId404" Type="http://schemas.openxmlformats.org/officeDocument/2006/relationships/hyperlink" Target="mailto:luca.fiorillo@intesasanpaolo.com" TargetMode="External"/><Relationship Id="rId446" Type="http://schemas.openxmlformats.org/officeDocument/2006/relationships/hyperlink" Target="mailto:lodovico.ghisini@intesasanpaolo.com" TargetMode="External"/><Relationship Id="rId611" Type="http://schemas.openxmlformats.org/officeDocument/2006/relationships/hyperlink" Target="mailto:agnese.andrione@intesasanpaolo.com" TargetMode="External"/><Relationship Id="rId653" Type="http://schemas.openxmlformats.org/officeDocument/2006/relationships/hyperlink" Target="mailto:daniela.trevisan@intesasanpaolo.com" TargetMode="External"/><Relationship Id="rId250" Type="http://schemas.openxmlformats.org/officeDocument/2006/relationships/hyperlink" Target="mailto:alberto.socci@intesasanpaolo.com" TargetMode="External"/><Relationship Id="rId292" Type="http://schemas.openxmlformats.org/officeDocument/2006/relationships/hyperlink" Target="mailto:martina.spina@intesasanpaolo.com" TargetMode="External"/><Relationship Id="rId306" Type="http://schemas.openxmlformats.org/officeDocument/2006/relationships/hyperlink" Target="mailto:enrico.malacrino@intesasanpaolo.com" TargetMode="External"/><Relationship Id="rId488" Type="http://schemas.openxmlformats.org/officeDocument/2006/relationships/hyperlink" Target="mailto:paolo.zanotta@intesasanpaolo.com" TargetMode="External"/><Relationship Id="rId695" Type="http://schemas.openxmlformats.org/officeDocument/2006/relationships/hyperlink" Target="mailto:marco.luise@intesasanpaolo.com" TargetMode="External"/><Relationship Id="rId709" Type="http://schemas.openxmlformats.org/officeDocument/2006/relationships/hyperlink" Target="mailto:luca.giommoni@intesasanpaolo.com" TargetMode="External"/><Relationship Id="rId45" Type="http://schemas.openxmlformats.org/officeDocument/2006/relationships/hyperlink" Target="mailto:mirko.mureddu@intesasanpaolo.com" TargetMode="External"/><Relationship Id="rId87" Type="http://schemas.openxmlformats.org/officeDocument/2006/relationships/hyperlink" Target="mailto:mostafa.khalilibijargahi@intesasanpaolo.com" TargetMode="External"/><Relationship Id="rId110" Type="http://schemas.openxmlformats.org/officeDocument/2006/relationships/hyperlink" Target="mailto:fabio.tramontana@intesasanpaolo.com" TargetMode="External"/><Relationship Id="rId348" Type="http://schemas.openxmlformats.org/officeDocument/2006/relationships/hyperlink" Target="mailto:giuseppe.re@intesasanpaolo.com" TargetMode="External"/><Relationship Id="rId513" Type="http://schemas.openxmlformats.org/officeDocument/2006/relationships/hyperlink" Target="mailto:marco.merlini@intesasanpaolo.com" TargetMode="External"/><Relationship Id="rId555" Type="http://schemas.openxmlformats.org/officeDocument/2006/relationships/hyperlink" Target="mailto:massimo.facchinetti@intesasanpaolo.com" TargetMode="External"/><Relationship Id="rId597" Type="http://schemas.openxmlformats.org/officeDocument/2006/relationships/hyperlink" Target="mailto:paolo.parpanesi@intesasanpaolo.com" TargetMode="External"/><Relationship Id="rId720" Type="http://schemas.openxmlformats.org/officeDocument/2006/relationships/hyperlink" Target="mailto:jean.kanazebaze@intesasanpaolo.com" TargetMode="External"/><Relationship Id="rId762" Type="http://schemas.openxmlformats.org/officeDocument/2006/relationships/hyperlink" Target="mailto:fabio.derosa1@intesasanpaolo.com" TargetMode="External"/><Relationship Id="rId818" Type="http://schemas.openxmlformats.org/officeDocument/2006/relationships/hyperlink" Target="mailto:michele.spotti@intesasanpaolo.com" TargetMode="External"/><Relationship Id="rId152" Type="http://schemas.openxmlformats.org/officeDocument/2006/relationships/hyperlink" Target="mailto:luigi.digirolamo@intesasanpaolo.com" TargetMode="External"/><Relationship Id="rId194" Type="http://schemas.openxmlformats.org/officeDocument/2006/relationships/hyperlink" Target="mailto:marco.robuschi@intesasanpaolo.com" TargetMode="External"/><Relationship Id="rId208" Type="http://schemas.openxmlformats.org/officeDocument/2006/relationships/hyperlink" Target="mailto:daniele.forner@intesasanpaolo.com" TargetMode="External"/><Relationship Id="rId415" Type="http://schemas.openxmlformats.org/officeDocument/2006/relationships/hyperlink" Target="mailto:lorenzo.catalano@intesasanpaolo.com" TargetMode="External"/><Relationship Id="rId457" Type="http://schemas.openxmlformats.org/officeDocument/2006/relationships/hyperlink" Target="mailto:federico.chiovini@intesasanpaolo.com" TargetMode="External"/><Relationship Id="rId622" Type="http://schemas.openxmlformats.org/officeDocument/2006/relationships/hyperlink" Target="mailto:giuseppe.lietz@intesasanpaolo.com" TargetMode="External"/><Relationship Id="rId261" Type="http://schemas.openxmlformats.org/officeDocument/2006/relationships/hyperlink" Target="mailto:cristiano.galtarossa@intesasanpaolo.com" TargetMode="External"/><Relationship Id="rId499" Type="http://schemas.openxmlformats.org/officeDocument/2006/relationships/hyperlink" Target="mailto:massimiliano.pantaleone@intesasanpaolo.com" TargetMode="External"/><Relationship Id="rId664" Type="http://schemas.openxmlformats.org/officeDocument/2006/relationships/hyperlink" Target="mailto:federica.fantini@intesasanpaolo.com" TargetMode="External"/><Relationship Id="rId14" Type="http://schemas.openxmlformats.org/officeDocument/2006/relationships/hyperlink" Target="mailto:biagio.fraudatario@intesasanpaolo.com" TargetMode="External"/><Relationship Id="rId56" Type="http://schemas.openxmlformats.org/officeDocument/2006/relationships/hyperlink" Target="mailto:roberto.novaro@intesasanpaolo.com" TargetMode="External"/><Relationship Id="rId317" Type="http://schemas.openxmlformats.org/officeDocument/2006/relationships/hyperlink" Target="mailto:ivano.bizzarri@intesasanpaolo.com" TargetMode="External"/><Relationship Id="rId359" Type="http://schemas.openxmlformats.org/officeDocument/2006/relationships/hyperlink" Target="mailto:stefano.cifariello@intesasanpaolo.com" TargetMode="External"/><Relationship Id="rId524" Type="http://schemas.openxmlformats.org/officeDocument/2006/relationships/hyperlink" Target="mailto:luca.marchesi@intesasanpaolo.com" TargetMode="External"/><Relationship Id="rId566" Type="http://schemas.openxmlformats.org/officeDocument/2006/relationships/hyperlink" Target="mailto:somayeh.amayeh@intesasanpaolo.com" TargetMode="External"/><Relationship Id="rId731" Type="http://schemas.openxmlformats.org/officeDocument/2006/relationships/hyperlink" Target="mailto:antonio.gandolfi@intesasanpaolo.com" TargetMode="External"/><Relationship Id="rId773" Type="http://schemas.openxmlformats.org/officeDocument/2006/relationships/hyperlink" Target="mailto:khurram.saleem@intesasanpaolo.com" TargetMode="External"/><Relationship Id="rId98" Type="http://schemas.openxmlformats.org/officeDocument/2006/relationships/hyperlink" Target="mailto:alessandro.conconi@intesasanpaolo.com" TargetMode="External"/><Relationship Id="rId121" Type="http://schemas.openxmlformats.org/officeDocument/2006/relationships/hyperlink" Target="mailto:valentina.gozzi@intesasanpaolo.com" TargetMode="External"/><Relationship Id="rId163" Type="http://schemas.openxmlformats.org/officeDocument/2006/relationships/hyperlink" Target="mailto:marco.pomponi@intesasanpaolo.com" TargetMode="External"/><Relationship Id="rId219" Type="http://schemas.openxmlformats.org/officeDocument/2006/relationships/hyperlink" Target="mailto:stefano.andrioli@intesasanpaolo.com" TargetMode="External"/><Relationship Id="rId370" Type="http://schemas.openxmlformats.org/officeDocument/2006/relationships/hyperlink" Target="mailto:mario.lettieri@intesasanpaolo.com" TargetMode="External"/><Relationship Id="rId426" Type="http://schemas.openxmlformats.org/officeDocument/2006/relationships/hyperlink" Target="mailto:gionata.castellin@intesasanpaolo.com" TargetMode="External"/><Relationship Id="rId633" Type="http://schemas.openxmlformats.org/officeDocument/2006/relationships/hyperlink" Target="mailto:concetta.cautiero@intesasanpaolo.com" TargetMode="External"/><Relationship Id="rId230" Type="http://schemas.openxmlformats.org/officeDocument/2006/relationships/hyperlink" Target="mailto:nicola.allinoro@intesasanpaolo.com" TargetMode="External"/><Relationship Id="rId468" Type="http://schemas.openxmlformats.org/officeDocument/2006/relationships/hyperlink" Target="mailto:alessandro.biondo@intesasanpaolo.com" TargetMode="External"/><Relationship Id="rId675" Type="http://schemas.openxmlformats.org/officeDocument/2006/relationships/hyperlink" Target="mailto:sharjeel.khan@intesasanpaolo.com" TargetMode="External"/><Relationship Id="rId25" Type="http://schemas.openxmlformats.org/officeDocument/2006/relationships/hyperlink" Target="mailto:fabio.rossato@intesasanpaolo.com" TargetMode="External"/><Relationship Id="rId67" Type="http://schemas.openxmlformats.org/officeDocument/2006/relationships/hyperlink" Target="mailto:ezio.gribaudo@intesasanpaolo.com" TargetMode="External"/><Relationship Id="rId272" Type="http://schemas.openxmlformats.org/officeDocument/2006/relationships/hyperlink" Target="mailto:alessandro.carino@intesasanpaolo.com" TargetMode="External"/><Relationship Id="rId328" Type="http://schemas.openxmlformats.org/officeDocument/2006/relationships/hyperlink" Target="mailto:federico.ferroni@intesasanpaolo.com" TargetMode="External"/><Relationship Id="rId535" Type="http://schemas.openxmlformats.org/officeDocument/2006/relationships/hyperlink" Target="mailto:fausto.dellaragione@intesasanpaolo.com" TargetMode="External"/><Relationship Id="rId577" Type="http://schemas.openxmlformats.org/officeDocument/2006/relationships/hyperlink" Target="mailto:antonello.tenace@intesasanpaolo.com" TargetMode="External"/><Relationship Id="rId700" Type="http://schemas.openxmlformats.org/officeDocument/2006/relationships/hyperlink" Target="mailto:andrea.oliviero@intesasanpaolo.com" TargetMode="External"/><Relationship Id="rId742" Type="http://schemas.openxmlformats.org/officeDocument/2006/relationships/hyperlink" Target="mailto:simone.lazzari@intesasanpaolo.com" TargetMode="External"/><Relationship Id="rId132" Type="http://schemas.openxmlformats.org/officeDocument/2006/relationships/hyperlink" Target="mailto:michele.zilli@intesasanpaolo.com" TargetMode="External"/><Relationship Id="rId174" Type="http://schemas.openxmlformats.org/officeDocument/2006/relationships/hyperlink" Target="mailto:luca.bruseghini@intesasanpaolo.com" TargetMode="External"/><Relationship Id="rId381" Type="http://schemas.openxmlformats.org/officeDocument/2006/relationships/hyperlink" Target="mailto:alfredo.picardi@intesasanpaolo.com" TargetMode="External"/><Relationship Id="rId602" Type="http://schemas.openxmlformats.org/officeDocument/2006/relationships/hyperlink" Target="mailto:ludovico.calabro@intesasanpaolo.com" TargetMode="External"/><Relationship Id="rId784" Type="http://schemas.openxmlformats.org/officeDocument/2006/relationships/hyperlink" Target="mailto:alessandro.bambara@intesasanpaolo.com" TargetMode="External"/><Relationship Id="rId241" Type="http://schemas.openxmlformats.org/officeDocument/2006/relationships/hyperlink" Target="mailto:livio.musella@intesasanpaolo.com" TargetMode="External"/><Relationship Id="rId437" Type="http://schemas.openxmlformats.org/officeDocument/2006/relationships/hyperlink" Target="mailto:mattia.biggi@intesasanpaolo.com" TargetMode="External"/><Relationship Id="rId479" Type="http://schemas.openxmlformats.org/officeDocument/2006/relationships/hyperlink" Target="mailto:stefano.morato@intesasanpaolo.com" TargetMode="External"/><Relationship Id="rId644" Type="http://schemas.openxmlformats.org/officeDocument/2006/relationships/hyperlink" Target="mailto:serena.mazzieri@intesasanpaolo.com" TargetMode="External"/><Relationship Id="rId686" Type="http://schemas.openxmlformats.org/officeDocument/2006/relationships/hyperlink" Target="mailto:rino.andreani@intesasanpaolo.com" TargetMode="External"/><Relationship Id="rId36" Type="http://schemas.openxmlformats.org/officeDocument/2006/relationships/hyperlink" Target="mailto:liliana.carena@intesasanpaolo.com" TargetMode="External"/><Relationship Id="rId283" Type="http://schemas.openxmlformats.org/officeDocument/2006/relationships/hyperlink" Target="mailto:giulio.giandomenico@intesasanpaolo.com" TargetMode="External"/><Relationship Id="rId339" Type="http://schemas.openxmlformats.org/officeDocument/2006/relationships/hyperlink" Target="mailto:massimiliano.medici@intesasanpaolo.com" TargetMode="External"/><Relationship Id="rId490" Type="http://schemas.openxmlformats.org/officeDocument/2006/relationships/hyperlink" Target="mailto:fulvio.bianchini@intesasanpaolo.com" TargetMode="External"/><Relationship Id="rId504" Type="http://schemas.openxmlformats.org/officeDocument/2006/relationships/hyperlink" Target="mailto:dario.siracusa@intesasanpaolo.com" TargetMode="External"/><Relationship Id="rId546" Type="http://schemas.openxmlformats.org/officeDocument/2006/relationships/hyperlink" Target="mailto:margherita.giuliano@intesasanpaolo.com" TargetMode="External"/><Relationship Id="rId711" Type="http://schemas.openxmlformats.org/officeDocument/2006/relationships/hyperlink" Target="mailto:giuseppe.villari@intesasanpaolo.com" TargetMode="External"/><Relationship Id="rId753" Type="http://schemas.openxmlformats.org/officeDocument/2006/relationships/hyperlink" Target="mailto:maximilian.bravin@intesasanpaolo.com" TargetMode="External"/><Relationship Id="rId78" Type="http://schemas.openxmlformats.org/officeDocument/2006/relationships/hyperlink" Target="mailto:federica.pizzato@intesasanpaolo.com" TargetMode="External"/><Relationship Id="rId101" Type="http://schemas.openxmlformats.org/officeDocument/2006/relationships/hyperlink" Target="mailto:domenico.garibaldi@intesasanpaolo.com" TargetMode="External"/><Relationship Id="rId143" Type="http://schemas.openxmlformats.org/officeDocument/2006/relationships/hyperlink" Target="mailto:pierluigi.savani@intesasanpaolo.com" TargetMode="External"/><Relationship Id="rId185" Type="http://schemas.openxmlformats.org/officeDocument/2006/relationships/hyperlink" Target="mailto:giacomo.lupi@intesasanpaolo.com" TargetMode="External"/><Relationship Id="rId350" Type="http://schemas.openxmlformats.org/officeDocument/2006/relationships/hyperlink" Target="mailto:bruno.rolla@intesasanpaolo.com" TargetMode="External"/><Relationship Id="rId406" Type="http://schemas.openxmlformats.org/officeDocument/2006/relationships/hyperlink" Target="mailto:giancarlo.lanzara@intesasanpaolo.com" TargetMode="External"/><Relationship Id="rId588" Type="http://schemas.openxmlformats.org/officeDocument/2006/relationships/hyperlink" Target="mailto:federico.persiani@intesasanpaolo.com" TargetMode="External"/><Relationship Id="rId795" Type="http://schemas.openxmlformats.org/officeDocument/2006/relationships/hyperlink" Target="mailto:ornella.dileo@intesasanpaolo.com" TargetMode="External"/><Relationship Id="rId809" Type="http://schemas.openxmlformats.org/officeDocument/2006/relationships/hyperlink" Target="mailto:eleuterio.migliori@intesasanpaolo.com" TargetMode="External"/><Relationship Id="rId9" Type="http://schemas.openxmlformats.org/officeDocument/2006/relationships/hyperlink" Target="mailto:pietro.chiriaco@intesasanpaolo.com" TargetMode="External"/><Relationship Id="rId210" Type="http://schemas.openxmlformats.org/officeDocument/2006/relationships/hyperlink" Target="mailto:linter.guglielmi@intesasanpaolo.com" TargetMode="External"/><Relationship Id="rId392" Type="http://schemas.openxmlformats.org/officeDocument/2006/relationships/hyperlink" Target="mailto:paola.azzali@intesasanpaolo.com" TargetMode="External"/><Relationship Id="rId448" Type="http://schemas.openxmlformats.org/officeDocument/2006/relationships/hyperlink" Target="mailto:fabrizio.lusardi@intesasanpaolo.com" TargetMode="External"/><Relationship Id="rId613" Type="http://schemas.openxmlformats.org/officeDocument/2006/relationships/hyperlink" Target="mailto:dario.boni@intesasanpaolo.com" TargetMode="External"/><Relationship Id="rId655" Type="http://schemas.openxmlformats.org/officeDocument/2006/relationships/hyperlink" Target="mailto:francesco.mezzofranco@intesasanpaolo.com" TargetMode="External"/><Relationship Id="rId697" Type="http://schemas.openxmlformats.org/officeDocument/2006/relationships/hyperlink" Target="mailto:mariano.masullo@intesasanpaolo.com" TargetMode="External"/><Relationship Id="rId820" Type="http://schemas.openxmlformats.org/officeDocument/2006/relationships/hyperlink" Target="mailto:fabrizio.vincenzi@intesasanpaolo.com" TargetMode="External"/><Relationship Id="rId252" Type="http://schemas.openxmlformats.org/officeDocument/2006/relationships/hyperlink" Target="mailto:alessio.tonello@intesasanpaolo.com" TargetMode="External"/><Relationship Id="rId294" Type="http://schemas.openxmlformats.org/officeDocument/2006/relationships/hyperlink" Target="mailto:manuel.tucci@intesasanpaolo.com" TargetMode="External"/><Relationship Id="rId308" Type="http://schemas.openxmlformats.org/officeDocument/2006/relationships/hyperlink" Target="mailto:massimo.stabile@intesasanpaolo.com" TargetMode="External"/><Relationship Id="rId515" Type="http://schemas.openxmlformats.org/officeDocument/2006/relationships/hyperlink" Target="mailto:paolo.pavia@intesasanpaolo.com" TargetMode="External"/><Relationship Id="rId722" Type="http://schemas.openxmlformats.org/officeDocument/2006/relationships/hyperlink" Target="mailto:daniel.lacatusu@intesasanpaolo.com" TargetMode="External"/><Relationship Id="rId47" Type="http://schemas.openxmlformats.org/officeDocument/2006/relationships/hyperlink" Target="mailto:paolo.zuccone@intesasanpaolo.com" TargetMode="External"/><Relationship Id="rId89" Type="http://schemas.openxmlformats.org/officeDocument/2006/relationships/hyperlink" Target="mailto:francesca.olivetta@intesasanpaolo.com" TargetMode="External"/><Relationship Id="rId112" Type="http://schemas.openxmlformats.org/officeDocument/2006/relationships/hyperlink" Target="mailto:marco.anselmino@intesasanpaolo.com" TargetMode="External"/><Relationship Id="rId154" Type="http://schemas.openxmlformats.org/officeDocument/2006/relationships/hyperlink" Target="mailto:walter.fulli@intesasanpaolo.com" TargetMode="External"/><Relationship Id="rId361" Type="http://schemas.openxmlformats.org/officeDocument/2006/relationships/hyperlink" Target="mailto:alessandro.cosco@intesasanpaolo.com" TargetMode="External"/><Relationship Id="rId557" Type="http://schemas.openxmlformats.org/officeDocument/2006/relationships/hyperlink" Target="mailto:daniele.mastroti@intesasanpaolo.com" TargetMode="External"/><Relationship Id="rId599" Type="http://schemas.openxmlformats.org/officeDocument/2006/relationships/hyperlink" Target="mailto:gianmarco.poggi@intesasanpaolo.com" TargetMode="External"/><Relationship Id="rId764" Type="http://schemas.openxmlformats.org/officeDocument/2006/relationships/hyperlink" Target="mailto:paolo.dilabio@intesasanpaolo.com" TargetMode="External"/><Relationship Id="rId196" Type="http://schemas.openxmlformats.org/officeDocument/2006/relationships/hyperlink" Target="mailto:marcello.rotelli@intesasanpaolo.com" TargetMode="External"/><Relationship Id="rId417" Type="http://schemas.openxmlformats.org/officeDocument/2006/relationships/hyperlink" Target="mailto:armando.marchesi@intesasanpaolo.com" TargetMode="External"/><Relationship Id="rId459" Type="http://schemas.openxmlformats.org/officeDocument/2006/relationships/hyperlink" Target="mailto:paola.dalbon@intesasanpaolo.com" TargetMode="External"/><Relationship Id="rId624" Type="http://schemas.openxmlformats.org/officeDocument/2006/relationships/hyperlink" Target="mailto:roberto.pavan@intesasanpaolo.com" TargetMode="External"/><Relationship Id="rId666" Type="http://schemas.openxmlformats.org/officeDocument/2006/relationships/hyperlink" Target="mailto:alessio.miccoli@intesasanpaolo.com" TargetMode="External"/><Relationship Id="rId16" Type="http://schemas.openxmlformats.org/officeDocument/2006/relationships/hyperlink" Target="mailto:arianna.lotito@intesasanpaolo.com" TargetMode="External"/><Relationship Id="rId221" Type="http://schemas.openxmlformats.org/officeDocument/2006/relationships/hyperlink" Target="mailto:lorenzo.estienne@intesasanpaolo.com" TargetMode="External"/><Relationship Id="rId263" Type="http://schemas.openxmlformats.org/officeDocument/2006/relationships/hyperlink" Target="mailto:davide.moro@intesasanpaolo.com" TargetMode="External"/><Relationship Id="rId319" Type="http://schemas.openxmlformats.org/officeDocument/2006/relationships/hyperlink" Target="mailto:marco.calvarese@intesasanpaolo.com" TargetMode="External"/><Relationship Id="rId470" Type="http://schemas.openxmlformats.org/officeDocument/2006/relationships/hyperlink" Target="mailto:armando.campece@intesasanpaolo.com" TargetMode="External"/><Relationship Id="rId526" Type="http://schemas.openxmlformats.org/officeDocument/2006/relationships/hyperlink" Target="mailto:renzo.piatti@intesasanpaolo.com" TargetMode="External"/><Relationship Id="rId58" Type="http://schemas.openxmlformats.org/officeDocument/2006/relationships/hyperlink" Target="mailto:mariangela.centonze@intesasanpaolo.com" TargetMode="External"/><Relationship Id="rId123" Type="http://schemas.openxmlformats.org/officeDocument/2006/relationships/hyperlink" Target="mailto:florinda.monaco@intesasanpaolo.com" TargetMode="External"/><Relationship Id="rId330" Type="http://schemas.openxmlformats.org/officeDocument/2006/relationships/hyperlink" Target="mailto:ennio.gambazza@intesasanpaolo.com" TargetMode="External"/><Relationship Id="rId568" Type="http://schemas.openxmlformats.org/officeDocument/2006/relationships/hyperlink" Target="mailto:ahmad.bayat@intesasanpaolo.com" TargetMode="External"/><Relationship Id="rId733" Type="http://schemas.openxmlformats.org/officeDocument/2006/relationships/hyperlink" Target="mailto:roberto.patelli@intesasanpaolo.com" TargetMode="External"/><Relationship Id="rId775" Type="http://schemas.openxmlformats.org/officeDocument/2006/relationships/hyperlink" Target="mailto:maurizio.scarparo@intesasanpaolo.com" TargetMode="External"/><Relationship Id="rId165" Type="http://schemas.openxmlformats.org/officeDocument/2006/relationships/hyperlink" Target="mailto:angelo.schembri@intesasanpaolo.com" TargetMode="External"/><Relationship Id="rId372" Type="http://schemas.openxmlformats.org/officeDocument/2006/relationships/hyperlink" Target="mailto:carlo.lotito@intesasanpaolo.com" TargetMode="External"/><Relationship Id="rId428" Type="http://schemas.openxmlformats.org/officeDocument/2006/relationships/hyperlink" Target="mailto:alessandra.demaria@intesasanpaolo.com" TargetMode="External"/><Relationship Id="rId635" Type="http://schemas.openxmlformats.org/officeDocument/2006/relationships/hyperlink" Target="mailto:valerio.dangelo@intesasanpaolo.com" TargetMode="External"/><Relationship Id="rId677" Type="http://schemas.openxmlformats.org/officeDocument/2006/relationships/hyperlink" Target="mailto:federica.marra@intesasanpaolo.com" TargetMode="External"/><Relationship Id="rId800" Type="http://schemas.openxmlformats.org/officeDocument/2006/relationships/hyperlink" Target="mailto:mauro.franco@intesasanpaolo.com" TargetMode="External"/><Relationship Id="rId232" Type="http://schemas.openxmlformats.org/officeDocument/2006/relationships/hyperlink" Target="mailto:claudio.bernardelli@intesasanpaolo.com" TargetMode="External"/><Relationship Id="rId274" Type="http://schemas.openxmlformats.org/officeDocument/2006/relationships/hyperlink" Target="mailto:paolo.cavanus@intesasanpaolo.com" TargetMode="External"/><Relationship Id="rId481" Type="http://schemas.openxmlformats.org/officeDocument/2006/relationships/hyperlink" Target="mailto:valentino.nobile@intesasanpaolo.com" TargetMode="External"/><Relationship Id="rId702" Type="http://schemas.openxmlformats.org/officeDocument/2006/relationships/hyperlink" Target="mailto:alessio.rubini@intesasanpaolo.com" TargetMode="External"/><Relationship Id="rId27" Type="http://schemas.openxmlformats.org/officeDocument/2006/relationships/hyperlink" Target="mailto:michele.sanfilippo@intesasanpaolo.com" TargetMode="External"/><Relationship Id="rId69" Type="http://schemas.openxmlformats.org/officeDocument/2006/relationships/hyperlink" Target="mailto:marco.catalano1@intesasanpaolo.com" TargetMode="External"/><Relationship Id="rId134" Type="http://schemas.openxmlformats.org/officeDocument/2006/relationships/hyperlink" Target="mailto:bruno.calabrese@intesasanpaolo.com" TargetMode="External"/><Relationship Id="rId537" Type="http://schemas.openxmlformats.org/officeDocument/2006/relationships/hyperlink" Target="mailto:andrea.ferradini@intesasanpaolo.com" TargetMode="External"/><Relationship Id="rId579" Type="http://schemas.openxmlformats.org/officeDocument/2006/relationships/hyperlink" Target="mailto:nicola.ventra@intesasanpaolo.com" TargetMode="External"/><Relationship Id="rId744" Type="http://schemas.openxmlformats.org/officeDocument/2006/relationships/hyperlink" Target="mailto:marco.rognoni@intesasanpaolo.com" TargetMode="External"/><Relationship Id="rId786" Type="http://schemas.openxmlformats.org/officeDocument/2006/relationships/hyperlink" Target="mailto:renato.borsato@intesasanpaolo.com" TargetMode="External"/><Relationship Id="rId80" Type="http://schemas.openxmlformats.org/officeDocument/2006/relationships/hyperlink" Target="mailto:giovanni.bruno1@intesasanpaolo.com" TargetMode="External"/><Relationship Id="rId176" Type="http://schemas.openxmlformats.org/officeDocument/2006/relationships/hyperlink" Target="mailto:davide.cavalca@intesasanpaolo.com" TargetMode="External"/><Relationship Id="rId341" Type="http://schemas.openxmlformats.org/officeDocument/2006/relationships/hyperlink" Target="mailto:franco.omegna@intesasanpaolo.com" TargetMode="External"/><Relationship Id="rId383" Type="http://schemas.openxmlformats.org/officeDocument/2006/relationships/hyperlink" Target="mailto:mauro.rizzuto@intesasanpaolo.com" TargetMode="External"/><Relationship Id="rId439" Type="http://schemas.openxmlformats.org/officeDocument/2006/relationships/hyperlink" Target="mailto:cristina.chianca@intesasanpaolo.com" TargetMode="External"/><Relationship Id="rId590" Type="http://schemas.openxmlformats.org/officeDocument/2006/relationships/hyperlink" Target="mailto:andrea.amadori@intesasanpaolo.com" TargetMode="External"/><Relationship Id="rId604" Type="http://schemas.openxmlformats.org/officeDocument/2006/relationships/hyperlink" Target="mailto:franco.masera@intesasanpaolo.com" TargetMode="External"/><Relationship Id="rId646" Type="http://schemas.openxmlformats.org/officeDocument/2006/relationships/hyperlink" Target="mailto:simone.padovani@intesasanpaolo.com" TargetMode="External"/><Relationship Id="rId811" Type="http://schemas.openxmlformats.org/officeDocument/2006/relationships/hyperlink" Target="mailto:mauro.moschelli@intesasanpaolo.com" TargetMode="External"/><Relationship Id="rId201" Type="http://schemas.openxmlformats.org/officeDocument/2006/relationships/hyperlink" Target="mailto:enrico.basso@intesasanpaolo.com" TargetMode="External"/><Relationship Id="rId243" Type="http://schemas.openxmlformats.org/officeDocument/2006/relationships/hyperlink" Target="mailto:carlo.quattrocolo@intesasanpaolo.com" TargetMode="External"/><Relationship Id="rId285" Type="http://schemas.openxmlformats.org/officeDocument/2006/relationships/hyperlink" Target="mailto:roberto.giuffre@intesasanpaolo.com" TargetMode="External"/><Relationship Id="rId450" Type="http://schemas.openxmlformats.org/officeDocument/2006/relationships/hyperlink" Target="mailto:alessandro.scafidi@intesasanpaolo.com" TargetMode="External"/><Relationship Id="rId506" Type="http://schemas.openxmlformats.org/officeDocument/2006/relationships/hyperlink" Target="mailto:sergio.lancia@intesasanpaolo.com" TargetMode="External"/><Relationship Id="rId688" Type="http://schemas.openxmlformats.org/officeDocument/2006/relationships/hyperlink" Target="mailto:marco.caltagirone@intesasanpaolo.com" TargetMode="External"/><Relationship Id="rId38" Type="http://schemas.openxmlformats.org/officeDocument/2006/relationships/hyperlink" Target="mailto:alessandro.corgiolu@intesasanpaolo.com" TargetMode="External"/><Relationship Id="rId103" Type="http://schemas.openxmlformats.org/officeDocument/2006/relationships/hyperlink" Target="mailto:alessandro.marchisio@intesasanpaolo.com" TargetMode="External"/><Relationship Id="rId310" Type="http://schemas.openxmlformats.org/officeDocument/2006/relationships/hyperlink" Target="mailto:enrico.vair@intesasanpaolo.com" TargetMode="External"/><Relationship Id="rId492" Type="http://schemas.openxmlformats.org/officeDocument/2006/relationships/hyperlink" Target="mailto:alessandro.chiofalo@intesasanpaolo.com" TargetMode="External"/><Relationship Id="rId548" Type="http://schemas.openxmlformats.org/officeDocument/2006/relationships/hyperlink" Target="mailto:christopher.mangiaruga@intesasanpaolo.com" TargetMode="External"/><Relationship Id="rId713" Type="http://schemas.openxmlformats.org/officeDocument/2006/relationships/hyperlink" Target="mailto:andrea.avidano@intesasanpaolo.com" TargetMode="External"/><Relationship Id="rId755" Type="http://schemas.openxmlformats.org/officeDocument/2006/relationships/hyperlink" Target="mailto:renato.carella@intesasanpaolo.com" TargetMode="External"/><Relationship Id="rId797" Type="http://schemas.openxmlformats.org/officeDocument/2006/relationships/hyperlink" Target="mailto:antonio.donnarumma@intesasanpaolo.com" TargetMode="External"/><Relationship Id="rId91" Type="http://schemas.openxmlformats.org/officeDocument/2006/relationships/hyperlink" Target="mailto:andrea.parodi@intesasanpaolo.com" TargetMode="External"/><Relationship Id="rId145" Type="http://schemas.openxmlformats.org/officeDocument/2006/relationships/hyperlink" Target="mailto:luigi.ubaldini@intesasanpaolo.com" TargetMode="External"/><Relationship Id="rId187" Type="http://schemas.openxmlformats.org/officeDocument/2006/relationships/hyperlink" Target="mailto:paolo.maranzoni@intesasanpaolo.com" TargetMode="External"/><Relationship Id="rId352" Type="http://schemas.openxmlformats.org/officeDocument/2006/relationships/hyperlink" Target="mailto:luigi.stucchi@intesasanpaolo.com" TargetMode="External"/><Relationship Id="rId394" Type="http://schemas.openxmlformats.org/officeDocument/2006/relationships/hyperlink" Target="mailto:santi.berte@intesasanpaolo.com" TargetMode="External"/><Relationship Id="rId408" Type="http://schemas.openxmlformats.org/officeDocument/2006/relationships/hyperlink" Target="mailto:ivo.orlandini@intesasanpaolo.com" TargetMode="External"/><Relationship Id="rId615" Type="http://schemas.openxmlformats.org/officeDocument/2006/relationships/hyperlink" Target="mailto:daniela.ceretta@intesasanpaolo.com" TargetMode="External"/><Relationship Id="rId822" Type="http://schemas.openxmlformats.org/officeDocument/2006/relationships/printerSettings" Target="../printerSettings/printerSettings6.bin"/><Relationship Id="rId212" Type="http://schemas.openxmlformats.org/officeDocument/2006/relationships/hyperlink" Target="mailto:marco.marin@intesasanpaolo.com" TargetMode="External"/><Relationship Id="rId254" Type="http://schemas.openxmlformats.org/officeDocument/2006/relationships/hyperlink" Target="mailto:paolo.valpreda@intesasanpaolo.com" TargetMode="External"/><Relationship Id="rId657" Type="http://schemas.openxmlformats.org/officeDocument/2006/relationships/hyperlink" Target="mailto:luigi.bagno@intesasanpaolo.com" TargetMode="External"/><Relationship Id="rId699" Type="http://schemas.openxmlformats.org/officeDocument/2006/relationships/hyperlink" Target="mailto:alessandro.nicolati@intesasanpaolo.com" TargetMode="External"/><Relationship Id="rId49" Type="http://schemas.openxmlformats.org/officeDocument/2006/relationships/hyperlink" Target="mailto:daniela.busani@intesasanpaolo.com" TargetMode="External"/><Relationship Id="rId114" Type="http://schemas.openxmlformats.org/officeDocument/2006/relationships/hyperlink" Target="mailto:fabio.bernardo@intesasanpaolo.com" TargetMode="External"/><Relationship Id="rId296" Type="http://schemas.openxmlformats.org/officeDocument/2006/relationships/hyperlink" Target="mailto:antonio.valia@intesasanpaolo.com" TargetMode="External"/><Relationship Id="rId461" Type="http://schemas.openxmlformats.org/officeDocument/2006/relationships/hyperlink" Target="mailto:antonio.fraioli@intesasanpaolo.com" TargetMode="External"/><Relationship Id="rId517" Type="http://schemas.openxmlformats.org/officeDocument/2006/relationships/hyperlink" Target="mailto:daniele.barreca@intesasanpaolo.com" TargetMode="External"/><Relationship Id="rId559" Type="http://schemas.openxmlformats.org/officeDocument/2006/relationships/hyperlink" Target="mailto:lucio.radaelli@intesasanpaolo.com" TargetMode="External"/><Relationship Id="rId724" Type="http://schemas.openxmlformats.org/officeDocument/2006/relationships/hyperlink" Target="mailto:sergio.mangialardo@intesasanpaolo.com" TargetMode="External"/><Relationship Id="rId766" Type="http://schemas.openxmlformats.org/officeDocument/2006/relationships/hyperlink" Target="mailto:alberto.germano@intesasanpaolo.com" TargetMode="External"/><Relationship Id="rId60" Type="http://schemas.openxmlformats.org/officeDocument/2006/relationships/hyperlink" Target="mailto:milena.chialva@intesasanpaolo.com" TargetMode="External"/><Relationship Id="rId156" Type="http://schemas.openxmlformats.org/officeDocument/2006/relationships/hyperlink" Target="mailto:sebastiano.gibilisco@intesasanpaolo.com" TargetMode="External"/><Relationship Id="rId198" Type="http://schemas.openxmlformats.org/officeDocument/2006/relationships/hyperlink" Target="mailto:leonardo.ubaldi@intesasanpaolo.com" TargetMode="External"/><Relationship Id="rId321" Type="http://schemas.openxmlformats.org/officeDocument/2006/relationships/hyperlink" Target="mailto:domenico.catino@intesasanpaolo.com" TargetMode="External"/><Relationship Id="rId363" Type="http://schemas.openxmlformats.org/officeDocument/2006/relationships/hyperlink" Target="mailto:ugo.delindemann@intesasanpaolo.com" TargetMode="External"/><Relationship Id="rId419" Type="http://schemas.openxmlformats.org/officeDocument/2006/relationships/hyperlink" Target="mailto:martina.montecroci@intesasanpaolo.com" TargetMode="External"/><Relationship Id="rId570" Type="http://schemas.openxmlformats.org/officeDocument/2006/relationships/hyperlink" Target="mailto:manju.comerci@intesasanpaolo.com" TargetMode="External"/><Relationship Id="rId626" Type="http://schemas.openxmlformats.org/officeDocument/2006/relationships/hyperlink" Target="mailto:nicolo.pollara@intesasanpaolo.com" TargetMode="External"/><Relationship Id="rId223" Type="http://schemas.openxmlformats.org/officeDocument/2006/relationships/hyperlink" Target="mailto:riccardo.pagan@intesasanpaolo.com" TargetMode="External"/><Relationship Id="rId430" Type="http://schemas.openxmlformats.org/officeDocument/2006/relationships/hyperlink" Target="mailto:claudio.garagnani@intesasanpaolo.com" TargetMode="External"/><Relationship Id="rId668" Type="http://schemas.openxmlformats.org/officeDocument/2006/relationships/hyperlink" Target="mailto:pierangelo.terzulli@intesasanpaolo.com" TargetMode="External"/><Relationship Id="rId18" Type="http://schemas.openxmlformats.org/officeDocument/2006/relationships/hyperlink" Target="mailto:mauro.melli@intesasanpaolo.com" TargetMode="External"/><Relationship Id="rId265" Type="http://schemas.openxmlformats.org/officeDocument/2006/relationships/hyperlink" Target="mailto:marco.serra1@intesasanpaolo.com" TargetMode="External"/><Relationship Id="rId472" Type="http://schemas.openxmlformats.org/officeDocument/2006/relationships/hyperlink" Target="mailto:stefano.ceglia@intesasanpaolo.com" TargetMode="External"/><Relationship Id="rId528" Type="http://schemas.openxmlformats.org/officeDocument/2006/relationships/hyperlink" Target="mailto:raffaele.sicignano@intesasanpaolo.com" TargetMode="External"/><Relationship Id="rId735" Type="http://schemas.openxmlformats.org/officeDocument/2006/relationships/hyperlink" Target="mailto:giuliano.sina@intesasanpaolo.com" TargetMode="External"/><Relationship Id="rId125" Type="http://schemas.openxmlformats.org/officeDocument/2006/relationships/hyperlink" Target="mailto:roberto.oppici@intesasanpaolo.com" TargetMode="External"/><Relationship Id="rId167" Type="http://schemas.openxmlformats.org/officeDocument/2006/relationships/hyperlink" Target="mailto:abel.vintur@intesasanpaolo.com" TargetMode="External"/><Relationship Id="rId332" Type="http://schemas.openxmlformats.org/officeDocument/2006/relationships/hyperlink" Target="mailto:federico.giacon@intesasanpaolo.com" TargetMode="External"/><Relationship Id="rId374" Type="http://schemas.openxmlformats.org/officeDocument/2006/relationships/hyperlink" Target="mailto:marco.maffucci@intesasanpaolo.com" TargetMode="External"/><Relationship Id="rId581" Type="http://schemas.openxmlformats.org/officeDocument/2006/relationships/hyperlink" Target="mailto:paolo.baldina@intesasanpaolo.com" TargetMode="External"/><Relationship Id="rId777" Type="http://schemas.openxmlformats.org/officeDocument/2006/relationships/hyperlink" Target="mailto:elisa.stroscio@intesasanpaolo.com" TargetMode="External"/><Relationship Id="rId71" Type="http://schemas.openxmlformats.org/officeDocument/2006/relationships/hyperlink" Target="mailto:francesco.compari@intesasanpaolo.com" TargetMode="External"/><Relationship Id="rId234" Type="http://schemas.openxmlformats.org/officeDocument/2006/relationships/hyperlink" Target="mailto:paolo.bocchio@intesasanpaolo.com" TargetMode="External"/><Relationship Id="rId637" Type="http://schemas.openxmlformats.org/officeDocument/2006/relationships/hyperlink" Target="mailto:dario.derasmo@intesasanpaolo.com" TargetMode="External"/><Relationship Id="rId679" Type="http://schemas.openxmlformats.org/officeDocument/2006/relationships/hyperlink" Target="mailto:francesco.menchetti@intesasanpaolo.com" TargetMode="External"/><Relationship Id="rId802" Type="http://schemas.openxmlformats.org/officeDocument/2006/relationships/hyperlink" Target="mailto:ennio.gorlato@intesasanpaolo.com" TargetMode="External"/><Relationship Id="rId2" Type="http://schemas.openxmlformats.org/officeDocument/2006/relationships/hyperlink" Target="mailto:marco.aruta@intesasanpaolo.com" TargetMode="External"/><Relationship Id="rId29" Type="http://schemas.openxmlformats.org/officeDocument/2006/relationships/hyperlink" Target="mailto:liberato.striano@intesasanpaolo.com" TargetMode="External"/><Relationship Id="rId276" Type="http://schemas.openxmlformats.org/officeDocument/2006/relationships/hyperlink" Target="mailto:luigi.colombo@intesasanpaolo.com" TargetMode="External"/><Relationship Id="rId441" Type="http://schemas.openxmlformats.org/officeDocument/2006/relationships/hyperlink" Target="mailto:luca.corbani@intesasanpaolo.com" TargetMode="External"/><Relationship Id="rId483" Type="http://schemas.openxmlformats.org/officeDocument/2006/relationships/hyperlink" Target="mailto:mariano.romeo@intesasanpaolo.com" TargetMode="External"/><Relationship Id="rId539" Type="http://schemas.openxmlformats.org/officeDocument/2006/relationships/hyperlink" Target="mailto:michele.gervasoni@intesasanpaolo.com" TargetMode="External"/><Relationship Id="rId690" Type="http://schemas.openxmlformats.org/officeDocument/2006/relationships/hyperlink" Target="mailto:sandro.fornasier@intesasanpaolo.com" TargetMode="External"/><Relationship Id="rId704" Type="http://schemas.openxmlformats.org/officeDocument/2006/relationships/hyperlink" Target="mailto:alessia.suma@intesasanpaolo.com" TargetMode="External"/><Relationship Id="rId746" Type="http://schemas.openxmlformats.org/officeDocument/2006/relationships/hyperlink" Target="mailto:massimo.sassi@intesasanpaolo.com" TargetMode="External"/><Relationship Id="rId40" Type="http://schemas.openxmlformats.org/officeDocument/2006/relationships/hyperlink" Target="mailto:eugenio.garruto@intesasanpaolo.com" TargetMode="External"/><Relationship Id="rId136" Type="http://schemas.openxmlformats.org/officeDocument/2006/relationships/hyperlink" Target="mailto:luciano.cavalli@intesasanpaolo.com" TargetMode="External"/><Relationship Id="rId178" Type="http://schemas.openxmlformats.org/officeDocument/2006/relationships/hyperlink" Target="mailto:simone.galeotti@intesasanpaolo.com" TargetMode="External"/><Relationship Id="rId301" Type="http://schemas.openxmlformats.org/officeDocument/2006/relationships/hyperlink" Target="mailto:gianluca.castiglione@intesasanpaolo.com" TargetMode="External"/><Relationship Id="rId343" Type="http://schemas.openxmlformats.org/officeDocument/2006/relationships/hyperlink" Target="mailto:orietta.palazzo@intesasanpaolo.com" TargetMode="External"/><Relationship Id="rId550" Type="http://schemas.openxmlformats.org/officeDocument/2006/relationships/hyperlink" Target="mailto:andrea.schillaci@intesasanpaolo.com" TargetMode="External"/><Relationship Id="rId788" Type="http://schemas.openxmlformats.org/officeDocument/2006/relationships/hyperlink" Target="mailto:roberto.brescia@intesasanpaolo.com" TargetMode="External"/><Relationship Id="rId82" Type="http://schemas.openxmlformats.org/officeDocument/2006/relationships/hyperlink" Target="mailto:cristina.anelli@intesasanpaolo.com" TargetMode="External"/><Relationship Id="rId203" Type="http://schemas.openxmlformats.org/officeDocument/2006/relationships/hyperlink" Target="mailto:andrea.bettin@intesasanpaolo.com" TargetMode="External"/><Relationship Id="rId385" Type="http://schemas.openxmlformats.org/officeDocument/2006/relationships/hyperlink" Target="mailto:giuseppe.scognamiglio@intesasanpaolo.com" TargetMode="External"/><Relationship Id="rId592" Type="http://schemas.openxmlformats.org/officeDocument/2006/relationships/hyperlink" Target="mailto:cosimo.catalano@intesasanpaolo.com" TargetMode="External"/><Relationship Id="rId606" Type="http://schemas.openxmlformats.org/officeDocument/2006/relationships/hyperlink" Target="mailto:franco.monti@intesasanpaolo.com" TargetMode="External"/><Relationship Id="rId648" Type="http://schemas.openxmlformats.org/officeDocument/2006/relationships/hyperlink" Target="mailto:barbara.romanini@intesasanpaolo.com" TargetMode="External"/><Relationship Id="rId813" Type="http://schemas.openxmlformats.org/officeDocument/2006/relationships/hyperlink" Target="mailto:davide.piazza@intesasanpaolo.com" TargetMode="External"/><Relationship Id="rId245" Type="http://schemas.openxmlformats.org/officeDocument/2006/relationships/hyperlink" Target="mailto:fabrizio.ravasio@intesasanpaolo.com" TargetMode="External"/><Relationship Id="rId287" Type="http://schemas.openxmlformats.org/officeDocument/2006/relationships/hyperlink" Target="mailto:carlo.pincelli@intesasanpaolo.com" TargetMode="External"/><Relationship Id="rId410" Type="http://schemas.openxmlformats.org/officeDocument/2006/relationships/hyperlink" Target="mailto:paolo.zagni@intesasanpaolo.com" TargetMode="External"/><Relationship Id="rId452" Type="http://schemas.openxmlformats.org/officeDocument/2006/relationships/hyperlink" Target="mailto:andrea.contardi@intesasanpaolo.com" TargetMode="External"/><Relationship Id="rId494" Type="http://schemas.openxmlformats.org/officeDocument/2006/relationships/hyperlink" Target="mailto:umberto.dortona@intesasanpaolo.com" TargetMode="External"/><Relationship Id="rId508" Type="http://schemas.openxmlformats.org/officeDocument/2006/relationships/hyperlink" Target="mailto:gianluca.costantino@intesasanpaolo.com" TargetMode="External"/><Relationship Id="rId715" Type="http://schemas.openxmlformats.org/officeDocument/2006/relationships/hyperlink" Target="mailto:fabio.biondi@intesasanpaolo.com" TargetMode="External"/><Relationship Id="rId105" Type="http://schemas.openxmlformats.org/officeDocument/2006/relationships/hyperlink" Target="mailto:carlo.morello@intesasanpaolo.com" TargetMode="External"/><Relationship Id="rId147" Type="http://schemas.openxmlformats.org/officeDocument/2006/relationships/hyperlink" Target="mailto:sergiu.axinte@intesasanpaolo.com" TargetMode="External"/><Relationship Id="rId312" Type="http://schemas.openxmlformats.org/officeDocument/2006/relationships/hyperlink" Target="mailto:alessandro.ametrano@intesasanpaolo.com" TargetMode="External"/><Relationship Id="rId354" Type="http://schemas.openxmlformats.org/officeDocument/2006/relationships/hyperlink" Target="mailto:vincenzo.venturiero@intesasanpaolo.com" TargetMode="External"/><Relationship Id="rId757" Type="http://schemas.openxmlformats.org/officeDocument/2006/relationships/hyperlink" Target="mailto:fabrizio.celli@intesasanpaolo.com" TargetMode="External"/><Relationship Id="rId799" Type="http://schemas.openxmlformats.org/officeDocument/2006/relationships/hyperlink" Target="mailto:riccardo.fontanot@intesasanpaolo.com" TargetMode="External"/><Relationship Id="rId51" Type="http://schemas.openxmlformats.org/officeDocument/2006/relationships/hyperlink" Target="mailto:davide.dacunto@intesasanpaolo.com" TargetMode="External"/><Relationship Id="rId93" Type="http://schemas.openxmlformats.org/officeDocument/2006/relationships/hyperlink" Target="mailto:enrico.trombin@intesasanpaolo.com" TargetMode="External"/><Relationship Id="rId189" Type="http://schemas.openxmlformats.org/officeDocument/2006/relationships/hyperlink" Target="mailto:fabio.murgia@intesasanpaolo.com" TargetMode="External"/><Relationship Id="rId396" Type="http://schemas.openxmlformats.org/officeDocument/2006/relationships/hyperlink" Target="mailto:adriano.bosetti@intesasanpaolo.com" TargetMode="External"/><Relationship Id="rId561" Type="http://schemas.openxmlformats.org/officeDocument/2006/relationships/hyperlink" Target="mailto:ledio.ruci@intesasanpaolo.com" TargetMode="External"/><Relationship Id="rId617" Type="http://schemas.openxmlformats.org/officeDocument/2006/relationships/hyperlink" Target="mailto:franco.decesare@intesasanpaolo.com" TargetMode="External"/><Relationship Id="rId659" Type="http://schemas.openxmlformats.org/officeDocument/2006/relationships/hyperlink" Target="mailto:ignazio.ciccolella@intesasanpaolo.com" TargetMode="External"/><Relationship Id="rId214" Type="http://schemas.openxmlformats.org/officeDocument/2006/relationships/hyperlink" Target="mailto:damiano.secchiero@intesasanpaolo.com" TargetMode="External"/><Relationship Id="rId256" Type="http://schemas.openxmlformats.org/officeDocument/2006/relationships/hyperlink" Target="mailto:marco.loddo@intesasanpaolo.com" TargetMode="External"/><Relationship Id="rId298" Type="http://schemas.openxmlformats.org/officeDocument/2006/relationships/hyperlink" Target="mailto:paola.viola1@intesasanpaolo.com" TargetMode="External"/><Relationship Id="rId421" Type="http://schemas.openxmlformats.org/officeDocument/2006/relationships/hyperlink" Target="mailto:alessandra.pucci@intesasanpaolo.com" TargetMode="External"/><Relationship Id="rId463" Type="http://schemas.openxmlformats.org/officeDocument/2006/relationships/hyperlink" Target="mailto:simone.mazzotta@intesasanpaolo.com" TargetMode="External"/><Relationship Id="rId519" Type="http://schemas.openxmlformats.org/officeDocument/2006/relationships/hyperlink" Target="mailto:diego.braga@intesasanpaolo.com" TargetMode="External"/><Relationship Id="rId670" Type="http://schemas.openxmlformats.org/officeDocument/2006/relationships/hyperlink" Target="mailto:gabriele.paquola@intesasanpaolo.com" TargetMode="External"/><Relationship Id="rId116" Type="http://schemas.openxmlformats.org/officeDocument/2006/relationships/hyperlink" Target="mailto:cristian.curatolo@intesasanpaolo.com" TargetMode="External"/><Relationship Id="rId158" Type="http://schemas.openxmlformats.org/officeDocument/2006/relationships/hyperlink" Target="mailto:alessandro.maia@intesasanpaolo.com" TargetMode="External"/><Relationship Id="rId323" Type="http://schemas.openxmlformats.org/officeDocument/2006/relationships/hyperlink" Target="mailto:claudio.coppola@intesasanpaolo.com" TargetMode="External"/><Relationship Id="rId530" Type="http://schemas.openxmlformats.org/officeDocument/2006/relationships/hyperlink" Target="mailto:umberto.bianchi@intesasanpaolo.com" TargetMode="External"/><Relationship Id="rId726" Type="http://schemas.openxmlformats.org/officeDocument/2006/relationships/hyperlink" Target="mailto:marco.senno@intesasanpaolo.com" TargetMode="External"/><Relationship Id="rId768" Type="http://schemas.openxmlformats.org/officeDocument/2006/relationships/hyperlink" Target="mailto:flavia.latino@intesasanpaolo.com" TargetMode="External"/><Relationship Id="rId20" Type="http://schemas.openxmlformats.org/officeDocument/2006/relationships/hyperlink" Target="mailto:marco.pillon@intesasanpaolo.com" TargetMode="External"/><Relationship Id="rId62" Type="http://schemas.openxmlformats.org/officeDocument/2006/relationships/hyperlink" Target="mailto:emmanuele.lacavalla@intesasanpaolo.com" TargetMode="External"/><Relationship Id="rId365" Type="http://schemas.openxmlformats.org/officeDocument/2006/relationships/hyperlink" Target="mailto:gianfranco.dibonito@intesasanpaolo.com" TargetMode="External"/><Relationship Id="rId572" Type="http://schemas.openxmlformats.org/officeDocument/2006/relationships/hyperlink" Target="mailto:daniele.fuda@intesasanpaolo.com" TargetMode="External"/><Relationship Id="rId628" Type="http://schemas.openxmlformats.org/officeDocument/2006/relationships/hyperlink" Target="mailto:salvatore.talluto@intesasanpaolo.com" TargetMode="External"/><Relationship Id="rId225" Type="http://schemas.openxmlformats.org/officeDocument/2006/relationships/hyperlink" Target="mailto:mirko.piazza@intesasanpaolo.com" TargetMode="External"/><Relationship Id="rId267" Type="http://schemas.openxmlformats.org/officeDocument/2006/relationships/hyperlink" Target="mailto:giuseppe.alessandrino@intesasanpaolo.com" TargetMode="External"/><Relationship Id="rId432" Type="http://schemas.openxmlformats.org/officeDocument/2006/relationships/hyperlink" Target="mailto:giuseppe.vitale1@intesasanpaolo.com" TargetMode="External"/><Relationship Id="rId474" Type="http://schemas.openxmlformats.org/officeDocument/2006/relationships/hyperlink" Target="mailto:oscar.cominetti@intesasanpaolo.com" TargetMode="External"/><Relationship Id="rId127" Type="http://schemas.openxmlformats.org/officeDocument/2006/relationships/hyperlink" Target="mailto:ciro.petitto@intesasanpaolo.com" TargetMode="External"/><Relationship Id="rId681" Type="http://schemas.openxmlformats.org/officeDocument/2006/relationships/hyperlink" Target="mailto:leandro.puccio@intesasanpaolo.com" TargetMode="External"/><Relationship Id="rId737" Type="http://schemas.openxmlformats.org/officeDocument/2006/relationships/hyperlink" Target="mailto:fabio.vannoni@intesasanpaolo.com" TargetMode="External"/><Relationship Id="rId779" Type="http://schemas.openxmlformats.org/officeDocument/2006/relationships/hyperlink" Target="mailto:simone.tron@intesasanpaolo.com" TargetMode="External"/><Relationship Id="rId31" Type="http://schemas.openxmlformats.org/officeDocument/2006/relationships/hyperlink" Target="mailto:valter.vacchiano@intesasanpaolo.com" TargetMode="External"/><Relationship Id="rId73" Type="http://schemas.openxmlformats.org/officeDocument/2006/relationships/hyperlink" Target="mailto:manuel.durando@intesasanpaolo.com" TargetMode="External"/><Relationship Id="rId169" Type="http://schemas.openxmlformats.org/officeDocument/2006/relationships/hyperlink" Target="mailto:jure.zovko@intesasanpaolo.com" TargetMode="External"/><Relationship Id="rId334" Type="http://schemas.openxmlformats.org/officeDocument/2006/relationships/hyperlink" Target="mailto:valter.lavagetto@intesasanpaolo.com" TargetMode="External"/><Relationship Id="rId376" Type="http://schemas.openxmlformats.org/officeDocument/2006/relationships/hyperlink" Target="mailto:ernesto.marino@intesasanpaolo.com" TargetMode="External"/><Relationship Id="rId541" Type="http://schemas.openxmlformats.org/officeDocument/2006/relationships/hyperlink" Target="mailto:fabio.marventano@intesasanpaolo.com" TargetMode="External"/><Relationship Id="rId583" Type="http://schemas.openxmlformats.org/officeDocument/2006/relationships/hyperlink" Target="mailto:domenico.barletta@intesasanpaolo.com" TargetMode="External"/><Relationship Id="rId639" Type="http://schemas.openxmlformats.org/officeDocument/2006/relationships/hyperlink" Target="mailto:francesco.ferrari3@intesasanpaolo.com" TargetMode="External"/><Relationship Id="rId790" Type="http://schemas.openxmlformats.org/officeDocument/2006/relationships/hyperlink" Target="mailto:fabrizio.cena@intesasanpaolo.com" TargetMode="External"/><Relationship Id="rId804" Type="http://schemas.openxmlformats.org/officeDocument/2006/relationships/hyperlink" Target="mailto:gilberto.maldini@intesasanpaolo.com" TargetMode="External"/><Relationship Id="rId4" Type="http://schemas.openxmlformats.org/officeDocument/2006/relationships/hyperlink" Target="mailto:elio.bellucci@intesasanpaolo.com" TargetMode="External"/><Relationship Id="rId180" Type="http://schemas.openxmlformats.org/officeDocument/2006/relationships/hyperlink" Target="mailto:giorgio.ghinelli@intesasanpaolo.com" TargetMode="External"/><Relationship Id="rId236" Type="http://schemas.openxmlformats.org/officeDocument/2006/relationships/hyperlink" Target="mailto:alessandro.dimonte@intesasanpaolo.com" TargetMode="External"/><Relationship Id="rId278" Type="http://schemas.openxmlformats.org/officeDocument/2006/relationships/hyperlink" Target="mailto:piergiuseppe.denardo@intesasanpaolo.com" TargetMode="External"/><Relationship Id="rId401" Type="http://schemas.openxmlformats.org/officeDocument/2006/relationships/hyperlink" Target="mailto:francesco.cavalli@intesasanpaolo.com" TargetMode="External"/><Relationship Id="rId443" Type="http://schemas.openxmlformats.org/officeDocument/2006/relationships/hyperlink" Target="mailto:enea.federici@intesasanpaolo.com" TargetMode="External"/><Relationship Id="rId650" Type="http://schemas.openxmlformats.org/officeDocument/2006/relationships/hyperlink" Target="mailto:alessandro.sartori@intesasanpaolo.com" TargetMode="External"/><Relationship Id="rId303" Type="http://schemas.openxmlformats.org/officeDocument/2006/relationships/hyperlink" Target="mailto:francesco.cutolo@intesasanpaolo.com" TargetMode="External"/><Relationship Id="rId485" Type="http://schemas.openxmlformats.org/officeDocument/2006/relationships/hyperlink" Target="mailto:monica.spinelli@intesasanpaolo.com" TargetMode="External"/><Relationship Id="rId692" Type="http://schemas.openxmlformats.org/officeDocument/2006/relationships/hyperlink" Target="mailto:davide.fusaro@intesasanpaolo.com" TargetMode="External"/><Relationship Id="rId706" Type="http://schemas.openxmlformats.org/officeDocument/2006/relationships/hyperlink" Target="mailto:giuseppe.zampino@intesasanpaolo.com" TargetMode="External"/><Relationship Id="rId748" Type="http://schemas.openxmlformats.org/officeDocument/2006/relationships/hyperlink" Target="mailto:cristina.barrera@intesasanpaolo.com" TargetMode="External"/><Relationship Id="rId42" Type="http://schemas.openxmlformats.org/officeDocument/2006/relationships/hyperlink" Target="mailto:riccardo.lombardi@intesasanpaolo.com" TargetMode="External"/><Relationship Id="rId84" Type="http://schemas.openxmlformats.org/officeDocument/2006/relationships/hyperlink" Target="mailto:ermanno.bertolotti@intesasanpaolo.com" TargetMode="External"/><Relationship Id="rId138" Type="http://schemas.openxmlformats.org/officeDocument/2006/relationships/hyperlink" Target="mailto:roberto.dimaio@intesasanpaolo.com" TargetMode="External"/><Relationship Id="rId345" Type="http://schemas.openxmlformats.org/officeDocument/2006/relationships/hyperlink" Target="mailto:pierpaolo.patruno@intesasanpaolo.com" TargetMode="External"/><Relationship Id="rId387" Type="http://schemas.openxmlformats.org/officeDocument/2006/relationships/hyperlink" Target="mailto:andrea.simonetti@intesasanpaolo.com" TargetMode="External"/><Relationship Id="rId510" Type="http://schemas.openxmlformats.org/officeDocument/2006/relationships/hyperlink" Target="mailto:roberto.gorla1@intesasanpaolo.com" TargetMode="External"/><Relationship Id="rId552" Type="http://schemas.openxmlformats.org/officeDocument/2006/relationships/hyperlink" Target="mailto:antonio.barilla@intesasanpaolo.com" TargetMode="External"/><Relationship Id="rId594" Type="http://schemas.openxmlformats.org/officeDocument/2006/relationships/hyperlink" Target="mailto:lorenzo.gatto@intesasanpaolo.com" TargetMode="External"/><Relationship Id="rId608" Type="http://schemas.openxmlformats.org/officeDocument/2006/relationships/hyperlink" Target="mailto:sergio.spina@intesasanpaolo.com" TargetMode="External"/><Relationship Id="rId815" Type="http://schemas.openxmlformats.org/officeDocument/2006/relationships/hyperlink" Target="mailto:giovanni.piron@intesasanpaolo.com" TargetMode="External"/><Relationship Id="rId191" Type="http://schemas.openxmlformats.org/officeDocument/2006/relationships/hyperlink" Target="mailto:matteo.pellerzi@intesasanpaolo.com" TargetMode="External"/><Relationship Id="rId205" Type="http://schemas.openxmlformats.org/officeDocument/2006/relationships/hyperlink" Target="mailto:stefano.ciriello@intesasanpaolo.com" TargetMode="External"/><Relationship Id="rId247" Type="http://schemas.openxmlformats.org/officeDocument/2006/relationships/hyperlink" Target="mailto:mauro.russo@intesasanpaolo.com" TargetMode="External"/><Relationship Id="rId412" Type="http://schemas.openxmlformats.org/officeDocument/2006/relationships/hyperlink" Target="mailto:beatrice.bernuzzi@intesasanpaolo.com" TargetMode="External"/><Relationship Id="rId107" Type="http://schemas.openxmlformats.org/officeDocument/2006/relationships/hyperlink" Target="mailto:ciro.ragone@intesasanpaolo.com" TargetMode="External"/><Relationship Id="rId289" Type="http://schemas.openxmlformats.org/officeDocument/2006/relationships/hyperlink" Target="mailto:gianluca.salvadori@intesasanpaolo.com" TargetMode="External"/><Relationship Id="rId454" Type="http://schemas.openxmlformats.org/officeDocument/2006/relationships/hyperlink" Target="mailto:josemanuel.adriani@intesasanpaolo.com" TargetMode="External"/><Relationship Id="rId496" Type="http://schemas.openxmlformats.org/officeDocument/2006/relationships/hyperlink" Target="mailto:cristiana.franco@intesasanpaolo.com" TargetMode="External"/><Relationship Id="rId661" Type="http://schemas.openxmlformats.org/officeDocument/2006/relationships/hyperlink" Target="mailto:antonio.debari@intesasanpaolo.com" TargetMode="External"/><Relationship Id="rId717" Type="http://schemas.openxmlformats.org/officeDocument/2006/relationships/hyperlink" Target="mailto:raffaele.centomani@intesasanpaolo.com" TargetMode="External"/><Relationship Id="rId759" Type="http://schemas.openxmlformats.org/officeDocument/2006/relationships/hyperlink" Target="mailto:filippo.cottone@intesasanpaolo.com" TargetMode="External"/><Relationship Id="rId11" Type="http://schemas.openxmlformats.org/officeDocument/2006/relationships/hyperlink" Target="mailto:francesco.conti1@intesasanpaolo.com" TargetMode="External"/><Relationship Id="rId53" Type="http://schemas.openxmlformats.org/officeDocument/2006/relationships/hyperlink" Target="mailto:roberto.forti@intesasanpaolo.com" TargetMode="External"/><Relationship Id="rId149" Type="http://schemas.openxmlformats.org/officeDocument/2006/relationships/hyperlink" Target="mailto:michela.bauducco@intesasanpaolo.com" TargetMode="External"/><Relationship Id="rId314" Type="http://schemas.openxmlformats.org/officeDocument/2006/relationships/hyperlink" Target="mailto:pierluigi.bensi@intesasanpaolo.com" TargetMode="External"/><Relationship Id="rId356" Type="http://schemas.openxmlformats.org/officeDocument/2006/relationships/hyperlink" Target="mailto:francesca.crispino@intesasanpaolo.com" TargetMode="External"/><Relationship Id="rId398" Type="http://schemas.openxmlformats.org/officeDocument/2006/relationships/hyperlink" Target="mailto:fabio.caglio@intesasanpaolo.com" TargetMode="External"/><Relationship Id="rId521" Type="http://schemas.openxmlformats.org/officeDocument/2006/relationships/hyperlink" Target="mailto:simone.cardinale@intesasanpaolo.com" TargetMode="External"/><Relationship Id="rId563" Type="http://schemas.openxmlformats.org/officeDocument/2006/relationships/hyperlink" Target="mailto:michael.varrese@intesasanpaolo.com" TargetMode="External"/><Relationship Id="rId619" Type="http://schemas.openxmlformats.org/officeDocument/2006/relationships/hyperlink" Target="mailto:enzo.fucci@intesasanpaolo.com" TargetMode="External"/><Relationship Id="rId770" Type="http://schemas.openxmlformats.org/officeDocument/2006/relationships/hyperlink" Target="mailto:giovanni.romano3@intesasanpaolo.com" TargetMode="External"/><Relationship Id="rId95" Type="http://schemas.openxmlformats.org/officeDocument/2006/relationships/hyperlink" Target="mailto:flavio.fasano@intesasanpaolo.com" TargetMode="External"/><Relationship Id="rId160" Type="http://schemas.openxmlformats.org/officeDocument/2006/relationships/hyperlink" Target="mailto:giuseppe.mittica@intesasanpaolo.com" TargetMode="External"/><Relationship Id="rId216" Type="http://schemas.openxmlformats.org/officeDocument/2006/relationships/hyperlink" Target="mailto:maria.zampieri@intesasanpaolo.com" TargetMode="External"/><Relationship Id="rId423" Type="http://schemas.openxmlformats.org/officeDocument/2006/relationships/hyperlink" Target="mailto:raffaella.viani@intesasanpaolo.com" TargetMode="External"/><Relationship Id="rId258" Type="http://schemas.openxmlformats.org/officeDocument/2006/relationships/hyperlink" Target="mailto:giambattista.azzini@intesasanpaolo.com" TargetMode="External"/><Relationship Id="rId465" Type="http://schemas.openxmlformats.org/officeDocument/2006/relationships/hyperlink" Target="mailto:marco.quintili@intesasanpaolo.com" TargetMode="External"/><Relationship Id="rId630" Type="http://schemas.openxmlformats.org/officeDocument/2006/relationships/hyperlink" Target="mailto:luca.avanzini@intesasanpaolo.com" TargetMode="External"/><Relationship Id="rId672" Type="http://schemas.openxmlformats.org/officeDocument/2006/relationships/hyperlink" Target="mailto:angelo.dabrosca@intesasanpaolo.com" TargetMode="External"/><Relationship Id="rId728" Type="http://schemas.openxmlformats.org/officeDocument/2006/relationships/hyperlink" Target="mailto:eugenio.livigni@intesasanpaolo.com" TargetMode="External"/><Relationship Id="rId22" Type="http://schemas.openxmlformats.org/officeDocument/2006/relationships/hyperlink" Target="mailto:guido.pompeo@intesasanpaolo.com" TargetMode="External"/><Relationship Id="rId64" Type="http://schemas.openxmlformats.org/officeDocument/2006/relationships/hyperlink" Target="mailto:giovanni.mastronardi@intesasanpaolo.com" TargetMode="External"/><Relationship Id="rId118" Type="http://schemas.openxmlformats.org/officeDocument/2006/relationships/hyperlink" Target="mailto:giuseppe.delliquadri@intesasanpaolo.com" TargetMode="External"/><Relationship Id="rId325" Type="http://schemas.openxmlformats.org/officeDocument/2006/relationships/hyperlink" Target="mailto:carlo.dambrosio@intesasanpaolo.com" TargetMode="External"/><Relationship Id="rId367" Type="http://schemas.openxmlformats.org/officeDocument/2006/relationships/hyperlink" Target="mailto:attilio.diguida@intesasanpaolo.com" TargetMode="External"/><Relationship Id="rId532" Type="http://schemas.openxmlformats.org/officeDocument/2006/relationships/hyperlink" Target="mailto:mattia.bocchi@intesasanpaolo.com" TargetMode="External"/><Relationship Id="rId574" Type="http://schemas.openxmlformats.org/officeDocument/2006/relationships/hyperlink" Target="mailto:marco.gregorio@intesasanpaolo.com" TargetMode="External"/><Relationship Id="rId171" Type="http://schemas.openxmlformats.org/officeDocument/2006/relationships/hyperlink" Target="mailto:massimo.azzali@intesasanpaolo.com" TargetMode="External"/><Relationship Id="rId227" Type="http://schemas.openxmlformats.org/officeDocument/2006/relationships/hyperlink" Target="mailto:eugenio.scarica@intesasanpaolo.com" TargetMode="External"/><Relationship Id="rId781" Type="http://schemas.openxmlformats.org/officeDocument/2006/relationships/hyperlink" Target="mailto:roberto.aiello@intesasanpaolo.com" TargetMode="External"/><Relationship Id="rId269" Type="http://schemas.openxmlformats.org/officeDocument/2006/relationships/hyperlink" Target="mailto:aurelio.birolini@intesasanpaolo.com" TargetMode="External"/><Relationship Id="rId434" Type="http://schemas.openxmlformats.org/officeDocument/2006/relationships/hyperlink" Target="mailto:gabriele.allegretti@intesasanpaolo.com" TargetMode="External"/><Relationship Id="rId476" Type="http://schemas.openxmlformats.org/officeDocument/2006/relationships/hyperlink" Target="mailto:alberto.dangelo@intesasanpaolo.com" TargetMode="External"/><Relationship Id="rId641" Type="http://schemas.openxmlformats.org/officeDocument/2006/relationships/hyperlink" Target="mailto:ilaria.ganazzoli@intesasanpaolo.com" TargetMode="External"/><Relationship Id="rId683" Type="http://schemas.openxmlformats.org/officeDocument/2006/relationships/hyperlink" Target="mailto:lorenzo.varvelli@intesasanpaolo.com" TargetMode="External"/><Relationship Id="rId739" Type="http://schemas.openxmlformats.org/officeDocument/2006/relationships/hyperlink" Target="mailto:roberto.bosi1@intesasanpaolo.com" TargetMode="External"/><Relationship Id="rId33" Type="http://schemas.openxmlformats.org/officeDocument/2006/relationships/hyperlink" Target="mailto:walter.alessandria@intesasanpaolo.com" TargetMode="External"/><Relationship Id="rId129" Type="http://schemas.openxmlformats.org/officeDocument/2006/relationships/hyperlink" Target="mailto:simone.santacroce@intesasanpaolo.com" TargetMode="External"/><Relationship Id="rId280" Type="http://schemas.openxmlformats.org/officeDocument/2006/relationships/hyperlink" Target="mailto:luca.distaso@intesasanpaolo.com" TargetMode="External"/><Relationship Id="rId336" Type="http://schemas.openxmlformats.org/officeDocument/2006/relationships/hyperlink" Target="mailto:biagio.maglione@intesasanpaolo.com" TargetMode="External"/><Relationship Id="rId501" Type="http://schemas.openxmlformats.org/officeDocument/2006/relationships/hyperlink" Target="mailto:giorgio.rugora@intesasanpaolo.com" TargetMode="External"/><Relationship Id="rId543" Type="http://schemas.openxmlformats.org/officeDocument/2006/relationships/hyperlink" Target="mailto:andrea.roncaglio@intesasanpaolo.com" TargetMode="External"/><Relationship Id="rId75" Type="http://schemas.openxmlformats.org/officeDocument/2006/relationships/hyperlink" Target="mailto:giuliano.manciagli@intesasanpaolo.com" TargetMode="External"/><Relationship Id="rId140" Type="http://schemas.openxmlformats.org/officeDocument/2006/relationships/hyperlink" Target="mailto:andrea.guida@intesasanpaolo.com" TargetMode="External"/><Relationship Id="rId182" Type="http://schemas.openxmlformats.org/officeDocument/2006/relationships/hyperlink" Target="mailto:roberto.iacono@intesasanpaolo.com" TargetMode="External"/><Relationship Id="rId378" Type="http://schemas.openxmlformats.org/officeDocument/2006/relationships/hyperlink" Target="mailto:antonio.milano@intesasanpaolo.com" TargetMode="External"/><Relationship Id="rId403" Type="http://schemas.openxmlformats.org/officeDocument/2006/relationships/hyperlink" Target="mailto:emanuela.debernardi@intesasanpaolo.com" TargetMode="External"/><Relationship Id="rId585" Type="http://schemas.openxmlformats.org/officeDocument/2006/relationships/hyperlink" Target="mailto:roberto.chiavettieri@intesasanpaolo.com" TargetMode="External"/><Relationship Id="rId750" Type="http://schemas.openxmlformats.org/officeDocument/2006/relationships/hyperlink" Target="mailto:davide.belfiore@intesasanpaolo.com" TargetMode="External"/><Relationship Id="rId792" Type="http://schemas.openxmlformats.org/officeDocument/2006/relationships/hyperlink" Target="mailto:pietro.contegiacomo@intesasanpaolo.com" TargetMode="External"/><Relationship Id="rId806" Type="http://schemas.openxmlformats.org/officeDocument/2006/relationships/hyperlink" Target="mailto:umberto.marotta@intesasanpaolo.com" TargetMode="External"/><Relationship Id="rId6" Type="http://schemas.openxmlformats.org/officeDocument/2006/relationships/hyperlink" Target="mailto:mario.buccigrossi@intesasanpaolo.com" TargetMode="External"/><Relationship Id="rId238" Type="http://schemas.openxmlformats.org/officeDocument/2006/relationships/hyperlink" Target="mailto:daniele.giaimo@intesasanpaolo.com" TargetMode="External"/><Relationship Id="rId445" Type="http://schemas.openxmlformats.org/officeDocument/2006/relationships/hyperlink" Target="mailto:nadia.galassi@intesasanpaolo.com" TargetMode="External"/><Relationship Id="rId487" Type="http://schemas.openxmlformats.org/officeDocument/2006/relationships/hyperlink" Target="mailto:matteo.zanetti@intesasanpaolo.com" TargetMode="External"/><Relationship Id="rId610" Type="http://schemas.openxmlformats.org/officeDocument/2006/relationships/hyperlink" Target="mailto:giovanni.allocco@intesasanpaolo.com" TargetMode="External"/><Relationship Id="rId652" Type="http://schemas.openxmlformats.org/officeDocument/2006/relationships/hyperlink" Target="mailto:michele.tignonsini@intesasanpaolo.com" TargetMode="External"/><Relationship Id="rId694" Type="http://schemas.openxmlformats.org/officeDocument/2006/relationships/hyperlink" Target="mailto:enrico.grasso@intesasanpaolo.com" TargetMode="External"/><Relationship Id="rId708" Type="http://schemas.openxmlformats.org/officeDocument/2006/relationships/hyperlink" Target="mailto:samuele.dedomenico@intesasanpaolo.com" TargetMode="External"/><Relationship Id="rId291" Type="http://schemas.openxmlformats.org/officeDocument/2006/relationships/hyperlink" Target="mailto:luca.sammito@intesasanpaolo.com" TargetMode="External"/><Relationship Id="rId305" Type="http://schemas.openxmlformats.org/officeDocument/2006/relationships/hyperlink" Target="mailto:fabio.greco1@intesasanpaolo.com" TargetMode="External"/><Relationship Id="rId347" Type="http://schemas.openxmlformats.org/officeDocument/2006/relationships/hyperlink" Target="mailto:andrea.pepi@intesasanpaolo.com" TargetMode="External"/><Relationship Id="rId512" Type="http://schemas.openxmlformats.org/officeDocument/2006/relationships/hyperlink" Target="mailto:andrea.manclossi@intesasanpaolo.com" TargetMode="External"/><Relationship Id="rId44" Type="http://schemas.openxmlformats.org/officeDocument/2006/relationships/hyperlink" Target="mailto:elena.maiarota@intesasanpaolo.com" TargetMode="External"/><Relationship Id="rId86" Type="http://schemas.openxmlformats.org/officeDocument/2006/relationships/hyperlink" Target="mailto:giulia.genta@intesasanpaolo.com" TargetMode="External"/><Relationship Id="rId151" Type="http://schemas.openxmlformats.org/officeDocument/2006/relationships/hyperlink" Target="mailto:francesco.demartino1@intesasanpaolo.com" TargetMode="External"/><Relationship Id="rId389" Type="http://schemas.openxmlformats.org/officeDocument/2006/relationships/hyperlink" Target="mailto:gianpaolo.vinci@intesasanpaolo.com" TargetMode="External"/><Relationship Id="rId554" Type="http://schemas.openxmlformats.org/officeDocument/2006/relationships/hyperlink" Target="mailto:fabio.doglio@intesasanpaolo.com" TargetMode="External"/><Relationship Id="rId596" Type="http://schemas.openxmlformats.org/officeDocument/2006/relationships/hyperlink" Target="mailto:enrico.mondino@intesasanpaolo.com" TargetMode="External"/><Relationship Id="rId761" Type="http://schemas.openxmlformats.org/officeDocument/2006/relationships/hyperlink" Target="mailto:fabio.decrescenzo@intesasanpaolo.com" TargetMode="External"/><Relationship Id="rId817" Type="http://schemas.openxmlformats.org/officeDocument/2006/relationships/hyperlink" Target="mailto:franco.ripamonti@intesasanpaolo.com" TargetMode="External"/><Relationship Id="rId193" Type="http://schemas.openxmlformats.org/officeDocument/2006/relationships/hyperlink" Target="mailto:daniele.raiteri@intesasanpaolo.com" TargetMode="External"/><Relationship Id="rId207" Type="http://schemas.openxmlformats.org/officeDocument/2006/relationships/hyperlink" Target="mailto:stefano.dimeo@intesasanpaolo.com" TargetMode="External"/><Relationship Id="rId249" Type="http://schemas.openxmlformats.org/officeDocument/2006/relationships/hyperlink" Target="mailto:leonardo.sampietro@intesasanpaolo.com" TargetMode="External"/><Relationship Id="rId414" Type="http://schemas.openxmlformats.org/officeDocument/2006/relationships/hyperlink" Target="mailto:graziano.castelli@intesasanpaolo.com" TargetMode="External"/><Relationship Id="rId456" Type="http://schemas.openxmlformats.org/officeDocument/2006/relationships/hyperlink" Target="mailto:alessandro.cancellario@intesasanpaolo.com" TargetMode="External"/><Relationship Id="rId498" Type="http://schemas.openxmlformats.org/officeDocument/2006/relationships/hyperlink" Target="mailto:vittorio.mattei@intesasanpaolo.com" TargetMode="External"/><Relationship Id="rId621" Type="http://schemas.openxmlformats.org/officeDocument/2006/relationships/hyperlink" Target="mailto:giampiero.giacalone@intesasanpaolo.com" TargetMode="External"/><Relationship Id="rId663" Type="http://schemas.openxmlformats.org/officeDocument/2006/relationships/hyperlink" Target="mailto:alfredo.esposito@intesasanpaolo.com" TargetMode="External"/><Relationship Id="rId13" Type="http://schemas.openxmlformats.org/officeDocument/2006/relationships/hyperlink" Target="mailto:massimo.dapice@intesasanpaolo.com" TargetMode="External"/><Relationship Id="rId109" Type="http://schemas.openxmlformats.org/officeDocument/2006/relationships/hyperlink" Target="mailto:alessandro.santini@intesasanpaolo.com" TargetMode="External"/><Relationship Id="rId260" Type="http://schemas.openxmlformats.org/officeDocument/2006/relationships/hyperlink" Target="mailto:ferruccio.cinquesanti@intesasanpaolo.com" TargetMode="External"/><Relationship Id="rId316" Type="http://schemas.openxmlformats.org/officeDocument/2006/relationships/hyperlink" Target="mailto:marco.bianchi1@intesasanpaolo.com" TargetMode="External"/><Relationship Id="rId523" Type="http://schemas.openxmlformats.org/officeDocument/2006/relationships/hyperlink" Target="mailto:manfredi.mangano@intesasanpaolo.com" TargetMode="External"/><Relationship Id="rId719" Type="http://schemas.openxmlformats.org/officeDocument/2006/relationships/hyperlink" Target="mailto:francesco.giordano@intesasanpaolo.com" TargetMode="External"/><Relationship Id="rId55" Type="http://schemas.openxmlformats.org/officeDocument/2006/relationships/hyperlink" Target="mailto:bruno.sbrana@intesasanpaolo.com" TargetMode="External"/><Relationship Id="rId97" Type="http://schemas.openxmlformats.org/officeDocument/2006/relationships/hyperlink" Target="mailto:elisabetta.carita@intesasanpaolo.com" TargetMode="External"/><Relationship Id="rId120" Type="http://schemas.openxmlformats.org/officeDocument/2006/relationships/hyperlink" Target="mailto:roberto.fogliasso@intesasanpaolo.com" TargetMode="External"/><Relationship Id="rId358" Type="http://schemas.openxmlformats.org/officeDocument/2006/relationships/hyperlink" Target="mailto:claudia.aloi@intesasanpaolo.com" TargetMode="External"/><Relationship Id="rId565" Type="http://schemas.openxmlformats.org/officeDocument/2006/relationships/hyperlink" Target="mailto:giorgio.roberto@intesasanpaolo.com" TargetMode="External"/><Relationship Id="rId730" Type="http://schemas.openxmlformats.org/officeDocument/2006/relationships/hyperlink" Target="mailto:gianpaolo.franco@intesasanpaolo.com" TargetMode="External"/><Relationship Id="rId772" Type="http://schemas.openxmlformats.org/officeDocument/2006/relationships/hyperlink" Target="mailto:alessandro.rubba@intesasanpaolo.com" TargetMode="External"/><Relationship Id="rId162" Type="http://schemas.openxmlformats.org/officeDocument/2006/relationships/hyperlink" Target="mailto:marco.pizzigati@intesasanpaolo.com" TargetMode="External"/><Relationship Id="rId218" Type="http://schemas.openxmlformats.org/officeDocument/2006/relationships/hyperlink" Target="mailto:claudio.tinaglia@intesasanpaolo.com" TargetMode="External"/><Relationship Id="rId425" Type="http://schemas.openxmlformats.org/officeDocument/2006/relationships/hyperlink" Target="mailto:gianluca.belvisi@intesasanpaolo.com" TargetMode="External"/><Relationship Id="rId467" Type="http://schemas.openxmlformats.org/officeDocument/2006/relationships/hyperlink" Target="mailto:flavio.biancardi@intesasanpaolo.com" TargetMode="External"/><Relationship Id="rId632" Type="http://schemas.openxmlformats.org/officeDocument/2006/relationships/hyperlink" Target="mailto:paolo.cantoni@intesasanpaolo.com" TargetMode="External"/><Relationship Id="rId271" Type="http://schemas.openxmlformats.org/officeDocument/2006/relationships/hyperlink" Target="mailto:veronica.bonsignore@intesasanpaolo.com" TargetMode="External"/><Relationship Id="rId674" Type="http://schemas.openxmlformats.org/officeDocument/2006/relationships/hyperlink" Target="mailto:luciano.giaconegriva@intesasanpaolo.com" TargetMode="External"/><Relationship Id="rId24" Type="http://schemas.openxmlformats.org/officeDocument/2006/relationships/hyperlink" Target="mailto:lorenzo.rivotto@intesasanpaolo.com" TargetMode="External"/><Relationship Id="rId66" Type="http://schemas.openxmlformats.org/officeDocument/2006/relationships/hyperlink" Target="mailto:angelo.piras@intesasanpaolo.com" TargetMode="External"/><Relationship Id="rId131" Type="http://schemas.openxmlformats.org/officeDocument/2006/relationships/hyperlink" Target="mailto:stefano.zuliani@intesasanpaolo.com" TargetMode="External"/><Relationship Id="rId327" Type="http://schemas.openxmlformats.org/officeDocument/2006/relationships/hyperlink" Target="mailto:antonello.dimitri@intesasanpaolo.com" TargetMode="External"/><Relationship Id="rId369" Type="http://schemas.openxmlformats.org/officeDocument/2006/relationships/hyperlink" Target="mailto:mauro.giuliani@intesasanpaolo.com" TargetMode="External"/><Relationship Id="rId534" Type="http://schemas.openxmlformats.org/officeDocument/2006/relationships/hyperlink" Target="mailto:anna.delvecchio@intesasanpaolo.com" TargetMode="External"/><Relationship Id="rId576" Type="http://schemas.openxmlformats.org/officeDocument/2006/relationships/hyperlink" Target="mailto:claudio.miatello@intesasanpaolo.com" TargetMode="External"/><Relationship Id="rId741" Type="http://schemas.openxmlformats.org/officeDocument/2006/relationships/hyperlink" Target="mailto:alessandro.fragni@intesasanpaolo.com" TargetMode="External"/><Relationship Id="rId783" Type="http://schemas.openxmlformats.org/officeDocument/2006/relationships/hyperlink" Target="mailto:massimo.audero@intesasanpaolo.com" TargetMode="External"/><Relationship Id="rId173" Type="http://schemas.openxmlformats.org/officeDocument/2006/relationships/hyperlink" Target="mailto:tiziano.battilocchi@intesasanpaolo.com" TargetMode="External"/><Relationship Id="rId229" Type="http://schemas.openxmlformats.org/officeDocument/2006/relationships/hyperlink" Target="mailto:mario.morino@intesasanpaolo.com" TargetMode="External"/><Relationship Id="rId380" Type="http://schemas.openxmlformats.org/officeDocument/2006/relationships/hyperlink" Target="mailto:simone.pellegrino@intesasanpaolo.com" TargetMode="External"/><Relationship Id="rId436" Type="http://schemas.openxmlformats.org/officeDocument/2006/relationships/hyperlink" Target="mailto:fabio.berti@intesasanpaolo.com" TargetMode="External"/><Relationship Id="rId601" Type="http://schemas.openxmlformats.org/officeDocument/2006/relationships/hyperlink" Target="mailto:kevin.turra@intesasanpaolo.com" TargetMode="External"/><Relationship Id="rId643" Type="http://schemas.openxmlformats.org/officeDocument/2006/relationships/hyperlink" Target="mailto:andrea.lanaro@intesasanpaolo.com" TargetMode="External"/><Relationship Id="rId240" Type="http://schemas.openxmlformats.org/officeDocument/2006/relationships/hyperlink" Target="mailto:valter.mari@intesasanpaolo.com" TargetMode="External"/><Relationship Id="rId478" Type="http://schemas.openxmlformats.org/officeDocument/2006/relationships/hyperlink" Target="mailto:matteo.ingegneri@intesasanpaolo.com" TargetMode="External"/><Relationship Id="rId685" Type="http://schemas.openxmlformats.org/officeDocument/2006/relationships/hyperlink" Target="mailto:andrea.crea@intesasanpaolo.com" TargetMode="External"/><Relationship Id="rId35" Type="http://schemas.openxmlformats.org/officeDocument/2006/relationships/hyperlink" Target="mailto:danilo.canuto@intesasanpaolo.com" TargetMode="External"/><Relationship Id="rId77" Type="http://schemas.openxmlformats.org/officeDocument/2006/relationships/hyperlink" Target="mailto:piero.occelli@intesasanpaolo.com" TargetMode="External"/><Relationship Id="rId100" Type="http://schemas.openxmlformats.org/officeDocument/2006/relationships/hyperlink" Target="mailto:andrea.folli@intesasanpaolo.com" TargetMode="External"/><Relationship Id="rId282" Type="http://schemas.openxmlformats.org/officeDocument/2006/relationships/hyperlink" Target="mailto:claudio.gherardi@intesasanpaolo.com" TargetMode="External"/><Relationship Id="rId338" Type="http://schemas.openxmlformats.org/officeDocument/2006/relationships/hyperlink" Target="mailto:roberto.marzaduri@intesasanpaolo.com" TargetMode="External"/><Relationship Id="rId503" Type="http://schemas.openxmlformats.org/officeDocument/2006/relationships/hyperlink" Target="mailto:antonio.sali@intesasanpaolo.com" TargetMode="External"/><Relationship Id="rId545" Type="http://schemas.openxmlformats.org/officeDocument/2006/relationships/hyperlink" Target="mailto:massimo.ferrari2@intesasanpaolo.com" TargetMode="External"/><Relationship Id="rId587" Type="http://schemas.openxmlformats.org/officeDocument/2006/relationships/hyperlink" Target="mailto:mauro.novi@intesasanpaolo.com" TargetMode="External"/><Relationship Id="rId710" Type="http://schemas.openxmlformats.org/officeDocument/2006/relationships/hyperlink" Target="mailto:federico.vibrati@intesasanpaolo.com" TargetMode="External"/><Relationship Id="rId752" Type="http://schemas.openxmlformats.org/officeDocument/2006/relationships/hyperlink" Target="mailto:stefano.brasa@intesasanpaolo.com" TargetMode="External"/><Relationship Id="rId808" Type="http://schemas.openxmlformats.org/officeDocument/2006/relationships/hyperlink" Target="mailto:serena.mattalia@intesasanpaolo.com" TargetMode="External"/><Relationship Id="rId8" Type="http://schemas.openxmlformats.org/officeDocument/2006/relationships/hyperlink" Target="mailto:lorenzo.caraco@intesasanpaolo.com" TargetMode="External"/><Relationship Id="rId142" Type="http://schemas.openxmlformats.org/officeDocument/2006/relationships/hyperlink" Target="mailto:paolo.rocca1@intesasanpaolo.com" TargetMode="External"/><Relationship Id="rId184" Type="http://schemas.openxmlformats.org/officeDocument/2006/relationships/hyperlink" Target="mailto:ruggero.loi@intesasanpaolo.com" TargetMode="External"/><Relationship Id="rId391" Type="http://schemas.openxmlformats.org/officeDocument/2006/relationships/hyperlink" Target="mailto:giovanni.anelli@intesasanpaolo.com" TargetMode="External"/><Relationship Id="rId405" Type="http://schemas.openxmlformats.org/officeDocument/2006/relationships/hyperlink" Target="mailto:iacopo.inverardi@intesasanpaolo.com" TargetMode="External"/><Relationship Id="rId447" Type="http://schemas.openxmlformats.org/officeDocument/2006/relationships/hyperlink" Target="mailto:francesco.grammatico@intesasanpaolo.com" TargetMode="External"/><Relationship Id="rId612" Type="http://schemas.openxmlformats.org/officeDocument/2006/relationships/hyperlink" Target="mailto:luciana.apis@intesasanpaolo.com" TargetMode="External"/><Relationship Id="rId794" Type="http://schemas.openxmlformats.org/officeDocument/2006/relationships/hyperlink" Target="mailto:tommaso.delre@intesasanpaolo.com" TargetMode="External"/><Relationship Id="rId251" Type="http://schemas.openxmlformats.org/officeDocument/2006/relationships/hyperlink" Target="mailto:ottavio.tolve@intesasanpaolo.com" TargetMode="External"/><Relationship Id="rId489" Type="http://schemas.openxmlformats.org/officeDocument/2006/relationships/hyperlink" Target="mailto:romano.ruberti@intesasanpaolo.com" TargetMode="External"/><Relationship Id="rId654" Type="http://schemas.openxmlformats.org/officeDocument/2006/relationships/hyperlink" Target="mailto:sergio.villa@intesasanpaolo.com" TargetMode="External"/><Relationship Id="rId696" Type="http://schemas.openxmlformats.org/officeDocument/2006/relationships/hyperlink" Target="mailto:fulvio.marsiglia@intesasanpaolo.com" TargetMode="External"/><Relationship Id="rId46" Type="http://schemas.openxmlformats.org/officeDocument/2006/relationships/hyperlink" Target="mailto:antonio.revelli@intesasanpaolo.com" TargetMode="External"/><Relationship Id="rId293" Type="http://schemas.openxmlformats.org/officeDocument/2006/relationships/hyperlink" Target="mailto:sara.troullier@intesasanpaolo.com" TargetMode="External"/><Relationship Id="rId307" Type="http://schemas.openxmlformats.org/officeDocument/2006/relationships/hyperlink" Target="mailto:carlo.piedepalumbo@intesasanpaolo.com" TargetMode="External"/><Relationship Id="rId349" Type="http://schemas.openxmlformats.org/officeDocument/2006/relationships/hyperlink" Target="mailto:marco.rinaldi@intesasanpaolo.com" TargetMode="External"/><Relationship Id="rId514" Type="http://schemas.openxmlformats.org/officeDocument/2006/relationships/hyperlink" Target="mailto:daniel.nardin@intesasanpaolo.com" TargetMode="External"/><Relationship Id="rId556" Type="http://schemas.openxmlformats.org/officeDocument/2006/relationships/hyperlink" Target="mailto:giorgio.magliano@intesasanpaolo.com" TargetMode="External"/><Relationship Id="rId721" Type="http://schemas.openxmlformats.org/officeDocument/2006/relationships/hyperlink" Target="mailto:luca.lastella@intesasanpaolo.com" TargetMode="External"/><Relationship Id="rId763" Type="http://schemas.openxmlformats.org/officeDocument/2006/relationships/hyperlink" Target="mailto:fabrizio.dettoni@intesasanpaolo.com" TargetMode="External"/><Relationship Id="rId88" Type="http://schemas.openxmlformats.org/officeDocument/2006/relationships/hyperlink" Target="mailto:fabrizio.labate@intesasanpaolo.com" TargetMode="External"/><Relationship Id="rId111" Type="http://schemas.openxmlformats.org/officeDocument/2006/relationships/hyperlink" Target="mailto:gianmario.parisi@intesasanpaolo.com" TargetMode="External"/><Relationship Id="rId153" Type="http://schemas.openxmlformats.org/officeDocument/2006/relationships/hyperlink" Target="mailto:george.dragos@intesasanpaolo.com" TargetMode="External"/><Relationship Id="rId195" Type="http://schemas.openxmlformats.org/officeDocument/2006/relationships/hyperlink" Target="mailto:marco.rossetti@intesasanpaolo.com" TargetMode="External"/><Relationship Id="rId209" Type="http://schemas.openxmlformats.org/officeDocument/2006/relationships/hyperlink" Target="mailto:mario.giaretta@intesasanpaolo.com" TargetMode="External"/><Relationship Id="rId360" Type="http://schemas.openxmlformats.org/officeDocument/2006/relationships/hyperlink" Target="mailto:mariella.colaizzi@intesasanpaolo.com" TargetMode="External"/><Relationship Id="rId416" Type="http://schemas.openxmlformats.org/officeDocument/2006/relationships/hyperlink" Target="mailto:carlo.ghidini@intesasanpaolo.com" TargetMode="External"/><Relationship Id="rId598" Type="http://schemas.openxmlformats.org/officeDocument/2006/relationships/hyperlink" Target="mailto:mariano.pietrangelo@intesasanpaolo.com" TargetMode="External"/><Relationship Id="rId819" Type="http://schemas.openxmlformats.org/officeDocument/2006/relationships/hyperlink" Target="mailto:alberto.tamietti@intesasanpaolo.com" TargetMode="External"/><Relationship Id="rId220" Type="http://schemas.openxmlformats.org/officeDocument/2006/relationships/hyperlink" Target="mailto:bruno.berti@intesasanpaolo.com" TargetMode="External"/><Relationship Id="rId458" Type="http://schemas.openxmlformats.org/officeDocument/2006/relationships/hyperlink" Target="mailto:tommaso.cuomo@intesasanpaolo.com" TargetMode="External"/><Relationship Id="rId623" Type="http://schemas.openxmlformats.org/officeDocument/2006/relationships/hyperlink" Target="mailto:tiziana.maero@intesasanpaolo.com" TargetMode="External"/><Relationship Id="rId665" Type="http://schemas.openxmlformats.org/officeDocument/2006/relationships/hyperlink" Target="mailto:massimo.giordan@intesasanpaolo.com" TargetMode="External"/><Relationship Id="rId15" Type="http://schemas.openxmlformats.org/officeDocument/2006/relationships/hyperlink" Target="mailto:daniele.lombardi@intesasanpaolo.com" TargetMode="External"/><Relationship Id="rId57" Type="http://schemas.openxmlformats.org/officeDocument/2006/relationships/hyperlink" Target="mailto:erik.cenci@intesasanpaolo.com" TargetMode="External"/><Relationship Id="rId262" Type="http://schemas.openxmlformats.org/officeDocument/2006/relationships/hyperlink" Target="mailto:yuri.luccoborlera@intesasanpaolo.com" TargetMode="External"/><Relationship Id="rId318" Type="http://schemas.openxmlformats.org/officeDocument/2006/relationships/hyperlink" Target="mailto:bruno.borello@intesasanpaolo.com" TargetMode="External"/><Relationship Id="rId525" Type="http://schemas.openxmlformats.org/officeDocument/2006/relationships/hyperlink" Target="mailto:laura.nova@intesasanpaolo.com" TargetMode="External"/><Relationship Id="rId567" Type="http://schemas.openxmlformats.org/officeDocument/2006/relationships/hyperlink" Target="mailto:elena.battisti@intesasanpaolo.com" TargetMode="External"/><Relationship Id="rId732" Type="http://schemas.openxmlformats.org/officeDocument/2006/relationships/hyperlink" Target="mailto:gianpaolo.giovanelli@intesasanpaolo.com" TargetMode="External"/><Relationship Id="rId99" Type="http://schemas.openxmlformats.org/officeDocument/2006/relationships/hyperlink" Target="mailto:andrea.crovagna@intesasanpaolo.com" TargetMode="External"/><Relationship Id="rId122" Type="http://schemas.openxmlformats.org/officeDocument/2006/relationships/hyperlink" Target="mailto:roberto.lombardo@intesasanpaolo.com" TargetMode="External"/><Relationship Id="rId164" Type="http://schemas.openxmlformats.org/officeDocument/2006/relationships/hyperlink" Target="mailto:andrea.sardo@intesasanpaolo.com" TargetMode="External"/><Relationship Id="rId371" Type="http://schemas.openxmlformats.org/officeDocument/2006/relationships/hyperlink" Target="mailto:alfredo.liardo@intesasanpaolo.com" TargetMode="External"/><Relationship Id="rId774" Type="http://schemas.openxmlformats.org/officeDocument/2006/relationships/hyperlink" Target="mailto:antonia.saponaro@intesasanpaolo.com" TargetMode="External"/><Relationship Id="rId427" Type="http://schemas.openxmlformats.org/officeDocument/2006/relationships/hyperlink" Target="mailto:mauro.cheli@intesasanpaolo.com" TargetMode="External"/><Relationship Id="rId469" Type="http://schemas.openxmlformats.org/officeDocument/2006/relationships/hyperlink" Target="mailto:paolo.brega@intesasanpaolo.com" TargetMode="External"/><Relationship Id="rId634" Type="http://schemas.openxmlformats.org/officeDocument/2006/relationships/hyperlink" Target="mailto:francesco.ceci@intesasanpaolo.com" TargetMode="External"/><Relationship Id="rId676" Type="http://schemas.openxmlformats.org/officeDocument/2006/relationships/hyperlink" Target="mailto:silvia.marocco@intesasanpaolo.com" TargetMode="External"/><Relationship Id="rId26" Type="http://schemas.openxmlformats.org/officeDocument/2006/relationships/hyperlink" Target="mailto:enrico.rutigliano@intesasanpaolo.com" TargetMode="External"/><Relationship Id="rId231" Type="http://schemas.openxmlformats.org/officeDocument/2006/relationships/hyperlink" Target="mailto:giovanni.bardella@intesasanpaolo.com" TargetMode="External"/><Relationship Id="rId273" Type="http://schemas.openxmlformats.org/officeDocument/2006/relationships/hyperlink" Target="mailto:giovanni.caselli@intesasanpaolo.com" TargetMode="External"/><Relationship Id="rId329" Type="http://schemas.openxmlformats.org/officeDocument/2006/relationships/hyperlink" Target="mailto:sandro.gabaglio@intesasanpaolo.com" TargetMode="External"/><Relationship Id="rId480" Type="http://schemas.openxmlformats.org/officeDocument/2006/relationships/hyperlink" Target="mailto:davide.munegato@intesasanpaolo.com" TargetMode="External"/><Relationship Id="rId536" Type="http://schemas.openxmlformats.org/officeDocument/2006/relationships/hyperlink" Target="mailto:antonio.dibiase@intesasanpaolo.com" TargetMode="External"/><Relationship Id="rId701" Type="http://schemas.openxmlformats.org/officeDocument/2006/relationships/hyperlink" Target="mailto:francesco.pavan@intesasanpaolo.com" TargetMode="External"/><Relationship Id="rId68" Type="http://schemas.openxmlformats.org/officeDocument/2006/relationships/hyperlink" Target="mailto:giovanni.binello@intesasanpaolo.com" TargetMode="External"/><Relationship Id="rId133" Type="http://schemas.openxmlformats.org/officeDocument/2006/relationships/hyperlink" Target="mailto:massimo.borrini@intesasanpaolo.com" TargetMode="External"/><Relationship Id="rId175" Type="http://schemas.openxmlformats.org/officeDocument/2006/relationships/hyperlink" Target="mailto:crescenzo.capuano@intesasanpaolo.com" TargetMode="External"/><Relationship Id="rId340" Type="http://schemas.openxmlformats.org/officeDocument/2006/relationships/hyperlink" Target="mailto:alessandro.moressa@intesasanpaolo.com" TargetMode="External"/><Relationship Id="rId578" Type="http://schemas.openxmlformats.org/officeDocument/2006/relationships/hyperlink" Target="mailto:davide.valsania@intesasanpaolo.com" TargetMode="External"/><Relationship Id="rId743" Type="http://schemas.openxmlformats.org/officeDocument/2006/relationships/hyperlink" Target="mailto:gabriele.morza@intesasanpaolo.com" TargetMode="External"/><Relationship Id="rId785" Type="http://schemas.openxmlformats.org/officeDocument/2006/relationships/hyperlink" Target="mailto:gianfranco.bellingeri@intesasanpaolo.com" TargetMode="External"/><Relationship Id="rId200" Type="http://schemas.openxmlformats.org/officeDocument/2006/relationships/hyperlink" Target="mailto:massimo.garbellini@intesasanpaolo.com" TargetMode="External"/><Relationship Id="rId382" Type="http://schemas.openxmlformats.org/officeDocument/2006/relationships/hyperlink" Target="mailto:fabrizio.rippa@intesasanpaolo.com" TargetMode="External"/><Relationship Id="rId438" Type="http://schemas.openxmlformats.org/officeDocument/2006/relationships/hyperlink" Target="mailto:enrico.camosso@intesasanpaolo.com" TargetMode="External"/><Relationship Id="rId603" Type="http://schemas.openxmlformats.org/officeDocument/2006/relationships/hyperlink" Target="mailto:simone.boaretto@intesasanpaolo.com" TargetMode="External"/><Relationship Id="rId645" Type="http://schemas.openxmlformats.org/officeDocument/2006/relationships/hyperlink" Target="mailto:maurizio.mossini@intesasanpaolo.com" TargetMode="External"/><Relationship Id="rId687" Type="http://schemas.openxmlformats.org/officeDocument/2006/relationships/hyperlink" Target="mailto:roberto.bontempo@intesasanpaolo.com" TargetMode="External"/><Relationship Id="rId810" Type="http://schemas.openxmlformats.org/officeDocument/2006/relationships/hyperlink" Target="mailto:flavio.monticone@intesasanpaolo.com" TargetMode="External"/><Relationship Id="rId242" Type="http://schemas.openxmlformats.org/officeDocument/2006/relationships/hyperlink" Target="mailto:aldo.piazza@intesasanpaolo.com" TargetMode="External"/><Relationship Id="rId284" Type="http://schemas.openxmlformats.org/officeDocument/2006/relationships/hyperlink" Target="mailto:luigi.gianni@intesasanpaolo.com" TargetMode="External"/><Relationship Id="rId491" Type="http://schemas.openxmlformats.org/officeDocument/2006/relationships/hyperlink" Target="mailto:giovanni.canaliderossi@intesasanpaolo.com" TargetMode="External"/><Relationship Id="rId505" Type="http://schemas.openxmlformats.org/officeDocument/2006/relationships/hyperlink" Target="mailto:olivio.villo@intesasanpaolo.com" TargetMode="External"/><Relationship Id="rId712" Type="http://schemas.openxmlformats.org/officeDocument/2006/relationships/hyperlink" Target="mailto:alessandro.giorcelli@intesasanpaolo.com" TargetMode="External"/><Relationship Id="rId37" Type="http://schemas.openxmlformats.org/officeDocument/2006/relationships/hyperlink" Target="mailto:floriana.chiara@intesasanpaolo.com" TargetMode="External"/><Relationship Id="rId79" Type="http://schemas.openxmlformats.org/officeDocument/2006/relationships/hyperlink" Target="mailto:ioannis.vlachodimos@intesasanpaolo.com" TargetMode="External"/><Relationship Id="rId102" Type="http://schemas.openxmlformats.org/officeDocument/2006/relationships/hyperlink" Target="mailto:valeria.mangiapane1@intesasanpaolo.com" TargetMode="External"/><Relationship Id="rId144" Type="http://schemas.openxmlformats.org/officeDocument/2006/relationships/hyperlink" Target="mailto:alfredo.somma@intesasanpaolo.com" TargetMode="External"/><Relationship Id="rId547" Type="http://schemas.openxmlformats.org/officeDocument/2006/relationships/hyperlink" Target="mailto:piervittorio.larocca@intesasanpaolo.com" TargetMode="External"/><Relationship Id="rId589" Type="http://schemas.openxmlformats.org/officeDocument/2006/relationships/hyperlink" Target="mailto:gianmaria.cogni@intesasanpaolo.com" TargetMode="External"/><Relationship Id="rId754" Type="http://schemas.openxmlformats.org/officeDocument/2006/relationships/hyperlink" Target="mailto:luca.capaccio@intesasanpaolo.com" TargetMode="External"/><Relationship Id="rId796" Type="http://schemas.openxmlformats.org/officeDocument/2006/relationships/hyperlink" Target="mailto:enzo.diroma@intesasanpaolo.com" TargetMode="External"/><Relationship Id="rId90" Type="http://schemas.openxmlformats.org/officeDocument/2006/relationships/hyperlink" Target="mailto:christian.ollari@intesasanpaolo.com" TargetMode="External"/><Relationship Id="rId186" Type="http://schemas.openxmlformats.org/officeDocument/2006/relationships/hyperlink" Target="mailto:alessandro.maini@intesasanpaolo.com" TargetMode="External"/><Relationship Id="rId351" Type="http://schemas.openxmlformats.org/officeDocument/2006/relationships/hyperlink" Target="mailto:massimiliano.sorato@intesasanpaolo.com" TargetMode="External"/><Relationship Id="rId393" Type="http://schemas.openxmlformats.org/officeDocument/2006/relationships/hyperlink" Target="mailto:rito.barri@intesasanpaolo.com" TargetMode="External"/><Relationship Id="rId407" Type="http://schemas.openxmlformats.org/officeDocument/2006/relationships/hyperlink" Target="mailto:massimo.meo@intesasanpaolo.com" TargetMode="External"/><Relationship Id="rId449" Type="http://schemas.openxmlformats.org/officeDocument/2006/relationships/hyperlink" Target="mailto:michele.querze@intesasanpaolo.com" TargetMode="External"/><Relationship Id="rId614" Type="http://schemas.openxmlformats.org/officeDocument/2006/relationships/hyperlink" Target="mailto:sergio.cangemi@intesasanpaolo.com" TargetMode="External"/><Relationship Id="rId656" Type="http://schemas.openxmlformats.org/officeDocument/2006/relationships/hyperlink" Target="mailto:antonio.accarino@intesasanpaolo.com" TargetMode="External"/><Relationship Id="rId821" Type="http://schemas.openxmlformats.org/officeDocument/2006/relationships/hyperlink" Target="mailto:monica.visioli@intesasanpaolo.com" TargetMode="External"/><Relationship Id="rId211" Type="http://schemas.openxmlformats.org/officeDocument/2006/relationships/hyperlink" Target="mailto:antonio.loreggian@intesasanpaolo.com" TargetMode="External"/><Relationship Id="rId253" Type="http://schemas.openxmlformats.org/officeDocument/2006/relationships/hyperlink" Target="mailto:michele.traficante@intesasanpaolo.com" TargetMode="External"/><Relationship Id="rId295" Type="http://schemas.openxmlformats.org/officeDocument/2006/relationships/hyperlink" Target="mailto:claudia.vai@intesasanpaolo.com" TargetMode="External"/><Relationship Id="rId309" Type="http://schemas.openxmlformats.org/officeDocument/2006/relationships/hyperlink" Target="mailto:andrea.trombotto@intesasanpaolo.com" TargetMode="External"/><Relationship Id="rId460" Type="http://schemas.openxmlformats.org/officeDocument/2006/relationships/hyperlink" Target="mailto:eleonora.distefano@intesasanpaolo.com" TargetMode="External"/><Relationship Id="rId516" Type="http://schemas.openxmlformats.org/officeDocument/2006/relationships/hyperlink" Target="mailto:giuseppe.dallera@intesasanpaolo.com" TargetMode="External"/><Relationship Id="rId698" Type="http://schemas.openxmlformats.org/officeDocument/2006/relationships/hyperlink" Target="mailto:enzo.milanesio@intesasanpaolo.com" TargetMode="External"/><Relationship Id="rId48" Type="http://schemas.openxmlformats.org/officeDocument/2006/relationships/hyperlink" Target="mailto:gianluca.traficante@intesasanpaolo.com" TargetMode="External"/><Relationship Id="rId113" Type="http://schemas.openxmlformats.org/officeDocument/2006/relationships/hyperlink" Target="mailto:daniele.balbisettino@intesasanpaolo.com" TargetMode="External"/><Relationship Id="rId320" Type="http://schemas.openxmlformats.org/officeDocument/2006/relationships/hyperlink" Target="mailto:riccardo.carosso@intesasanpaolo.com" TargetMode="External"/><Relationship Id="rId558" Type="http://schemas.openxmlformats.org/officeDocument/2006/relationships/hyperlink" Target="mailto:angelo.pepe@intesasanpaolo.com" TargetMode="External"/><Relationship Id="rId723" Type="http://schemas.openxmlformats.org/officeDocument/2006/relationships/hyperlink" Target="mailto:alessandro.leuzzi@intesasanpaolo.com" TargetMode="External"/><Relationship Id="rId765" Type="http://schemas.openxmlformats.org/officeDocument/2006/relationships/hyperlink" Target="mailto:bruno.ferrarese@intesasanpaolo.com" TargetMode="External"/><Relationship Id="rId155" Type="http://schemas.openxmlformats.org/officeDocument/2006/relationships/hyperlink" Target="mailto:luciano.giardini@intesasanpaolo.com" TargetMode="External"/><Relationship Id="rId197" Type="http://schemas.openxmlformats.org/officeDocument/2006/relationships/hyperlink" Target="mailto:luca.scaccaglia@intesasanpaolo.com" TargetMode="External"/><Relationship Id="rId362" Type="http://schemas.openxmlformats.org/officeDocument/2006/relationships/hyperlink" Target="mailto:massimo.defrancesco@intesasanpaolo.com" TargetMode="External"/><Relationship Id="rId418" Type="http://schemas.openxmlformats.org/officeDocument/2006/relationships/hyperlink" Target="mailto:barbara.marchesi@intesasanpaolo.com" TargetMode="External"/><Relationship Id="rId625" Type="http://schemas.openxmlformats.org/officeDocument/2006/relationships/hyperlink" Target="mailto:nadia.peracchi@intesasanpaolo.com" TargetMode="External"/><Relationship Id="rId222" Type="http://schemas.openxmlformats.org/officeDocument/2006/relationships/hyperlink" Target="mailto:yuriy.kuntsyak@intesasanpaolo.com" TargetMode="External"/><Relationship Id="rId264" Type="http://schemas.openxmlformats.org/officeDocument/2006/relationships/hyperlink" Target="mailto:martina.rizzati@intesasanpaolo.com" TargetMode="External"/><Relationship Id="rId471" Type="http://schemas.openxmlformats.org/officeDocument/2006/relationships/hyperlink" Target="mailto:marco.cefalo@intesasanpaolo.com" TargetMode="External"/><Relationship Id="rId667" Type="http://schemas.openxmlformats.org/officeDocument/2006/relationships/hyperlink" Target="mailto:elena.monfroglio@intesasanpaolo.com" TargetMode="External"/><Relationship Id="rId17" Type="http://schemas.openxmlformats.org/officeDocument/2006/relationships/hyperlink" Target="mailto:tommaso.marano@intesasanpaolo.com" TargetMode="External"/><Relationship Id="rId59" Type="http://schemas.openxmlformats.org/officeDocument/2006/relationships/hyperlink" Target="mailto:stefano.cerrina@intesasanpaolo.com" TargetMode="External"/><Relationship Id="rId124" Type="http://schemas.openxmlformats.org/officeDocument/2006/relationships/hyperlink" Target="mailto:giuseppe.monardo@intesasanpaolo.com" TargetMode="External"/><Relationship Id="rId527" Type="http://schemas.openxmlformats.org/officeDocument/2006/relationships/hyperlink" Target="mailto:roberto.reibaldi@intesasanpaolo.com" TargetMode="External"/><Relationship Id="rId569" Type="http://schemas.openxmlformats.org/officeDocument/2006/relationships/hyperlink" Target="mailto:renato.carrer@intesasanpaolo.com" TargetMode="External"/><Relationship Id="rId734" Type="http://schemas.openxmlformats.org/officeDocument/2006/relationships/hyperlink" Target="mailto:cristiano.pedrazzini@intesasanpaolo.com" TargetMode="External"/><Relationship Id="rId776" Type="http://schemas.openxmlformats.org/officeDocument/2006/relationships/hyperlink" Target="mailto:andrea.sorgente@intesasanpaolo.com" TargetMode="External"/><Relationship Id="rId70" Type="http://schemas.openxmlformats.org/officeDocument/2006/relationships/hyperlink" Target="mailto:marco.chiantello@intesasanpaolo.com" TargetMode="External"/><Relationship Id="rId166" Type="http://schemas.openxmlformats.org/officeDocument/2006/relationships/hyperlink" Target="mailto:daniele.tempo@intesasanpaolo.com" TargetMode="External"/><Relationship Id="rId331" Type="http://schemas.openxmlformats.org/officeDocument/2006/relationships/hyperlink" Target="mailto:emilio.ghitti@intesasanpaolo.com" TargetMode="External"/><Relationship Id="rId373" Type="http://schemas.openxmlformats.org/officeDocument/2006/relationships/hyperlink" Target="mailto:luciano.lucci@intesasanpaolo.com" TargetMode="External"/><Relationship Id="rId429" Type="http://schemas.openxmlformats.org/officeDocument/2006/relationships/hyperlink" Target="mailto:silvia.dianin@intesasanpaolo.com" TargetMode="External"/><Relationship Id="rId580" Type="http://schemas.openxmlformats.org/officeDocument/2006/relationships/hyperlink" Target="mailto:danilo.sala@intesasanpaolo.com" TargetMode="External"/><Relationship Id="rId636" Type="http://schemas.openxmlformats.org/officeDocument/2006/relationships/hyperlink" Target="mailto:rochy.desiena@intesasanpaolo.com" TargetMode="External"/><Relationship Id="rId801" Type="http://schemas.openxmlformats.org/officeDocument/2006/relationships/hyperlink" Target="mailto:mauro.garavaglia@intesasanpaolo.com" TargetMode="External"/><Relationship Id="rId1" Type="http://schemas.openxmlformats.org/officeDocument/2006/relationships/hyperlink" Target="mailto:marco.cavaliere@intesasanpaolo.com" TargetMode="External"/><Relationship Id="rId233" Type="http://schemas.openxmlformats.org/officeDocument/2006/relationships/hyperlink" Target="mailto:diego.biscuola@intesasanpaolo.com" TargetMode="External"/><Relationship Id="rId440" Type="http://schemas.openxmlformats.org/officeDocument/2006/relationships/hyperlink" Target="mailto:giuseppe.cirillo@intesasanpaolo.com" TargetMode="External"/><Relationship Id="rId678" Type="http://schemas.openxmlformats.org/officeDocument/2006/relationships/hyperlink" Target="mailto:roberto.martinetto@intesasanpaolo.com" TargetMode="External"/><Relationship Id="rId28" Type="http://schemas.openxmlformats.org/officeDocument/2006/relationships/hyperlink" Target="mailto:stefano.spadaro@intesasanpaolo.com" TargetMode="External"/><Relationship Id="rId275" Type="http://schemas.openxmlformats.org/officeDocument/2006/relationships/hyperlink" Target="mailto:fabio.colabona@intesasanpaolo.com" TargetMode="External"/><Relationship Id="rId300" Type="http://schemas.openxmlformats.org/officeDocument/2006/relationships/hyperlink" Target="mailto:annalisa.lionetti@intesasanpaolo.com" TargetMode="External"/><Relationship Id="rId482" Type="http://schemas.openxmlformats.org/officeDocument/2006/relationships/hyperlink" Target="mailto:stefano.passarella@intesasanpaolo.com" TargetMode="External"/><Relationship Id="rId538" Type="http://schemas.openxmlformats.org/officeDocument/2006/relationships/hyperlink" Target="mailto:alessandro.galassi@intesasanpaolo.com" TargetMode="External"/><Relationship Id="rId703" Type="http://schemas.openxmlformats.org/officeDocument/2006/relationships/hyperlink" Target="mailto:gregorio.scialpi@intesasanpaolo.com" TargetMode="External"/><Relationship Id="rId745" Type="http://schemas.openxmlformats.org/officeDocument/2006/relationships/hyperlink" Target="mailto:stefano.salvini@intesasanpaolo.com" TargetMode="External"/><Relationship Id="rId81" Type="http://schemas.openxmlformats.org/officeDocument/2006/relationships/hyperlink" Target="mailto:piermario.alloisio@intesasanpaolo.com" TargetMode="External"/><Relationship Id="rId135" Type="http://schemas.openxmlformats.org/officeDocument/2006/relationships/hyperlink" Target="mailto:giovanni.catallo@intesasanpaolo.com" TargetMode="External"/><Relationship Id="rId177" Type="http://schemas.openxmlformats.org/officeDocument/2006/relationships/hyperlink" Target="mailto:andrea.comelli@intesasanpaolo.com" TargetMode="External"/><Relationship Id="rId342" Type="http://schemas.openxmlformats.org/officeDocument/2006/relationships/hyperlink" Target="mailto:antonio.ongaro@intesasanpaolo.com" TargetMode="External"/><Relationship Id="rId384" Type="http://schemas.openxmlformats.org/officeDocument/2006/relationships/hyperlink" Target="mailto:marco.rossetti1@intesasanpaolo.com" TargetMode="External"/><Relationship Id="rId591" Type="http://schemas.openxmlformats.org/officeDocument/2006/relationships/hyperlink" Target="mailto:stefano.borla@intesasanpaolo.com" TargetMode="External"/><Relationship Id="rId605" Type="http://schemas.openxmlformats.org/officeDocument/2006/relationships/hyperlink" Target="mailto:gabriele.masseroni@intesasanpaolo.com" TargetMode="External"/><Relationship Id="rId787" Type="http://schemas.openxmlformats.org/officeDocument/2006/relationships/hyperlink" Target="mailto:cosimo.botrugno@intesasanpaolo.com" TargetMode="External"/><Relationship Id="rId812" Type="http://schemas.openxmlformats.org/officeDocument/2006/relationships/hyperlink" Target="mailto:luca.negossi@intesasanpaolo.com" TargetMode="External"/><Relationship Id="rId202" Type="http://schemas.openxmlformats.org/officeDocument/2006/relationships/hyperlink" Target="mailto:lorenzo.belle@intesasanpaolo.com" TargetMode="External"/><Relationship Id="rId244" Type="http://schemas.openxmlformats.org/officeDocument/2006/relationships/hyperlink" Target="mailto:orazio.raciti@intesasanpaolo.com" TargetMode="External"/><Relationship Id="rId647" Type="http://schemas.openxmlformats.org/officeDocument/2006/relationships/hyperlink" Target="mailto:alberto.peracchi@intesasanpaolo.com" TargetMode="External"/><Relationship Id="rId689" Type="http://schemas.openxmlformats.org/officeDocument/2006/relationships/hyperlink" Target="mailto:antonio.culcasi@intesasanpaolo.com" TargetMode="External"/><Relationship Id="rId39" Type="http://schemas.openxmlformats.org/officeDocument/2006/relationships/hyperlink" Target="mailto:alessia.cutrupi@intesasanpaolo.com" TargetMode="External"/><Relationship Id="rId286" Type="http://schemas.openxmlformats.org/officeDocument/2006/relationships/hyperlink" Target="mailto:damiano.manzoni@intesasanpaolo.com" TargetMode="External"/><Relationship Id="rId451" Type="http://schemas.openxmlformats.org/officeDocument/2006/relationships/hyperlink" Target="mailto:andrea.zanella@intesasanpaolo.com" TargetMode="External"/><Relationship Id="rId493" Type="http://schemas.openxmlformats.org/officeDocument/2006/relationships/hyperlink" Target="mailto:domenico.consalvi@intesasanpaolo.com" TargetMode="External"/><Relationship Id="rId507" Type="http://schemas.openxmlformats.org/officeDocument/2006/relationships/hyperlink" Target="mailto:carmela.cannatagalante@intesasanpaolo.com" TargetMode="External"/><Relationship Id="rId549" Type="http://schemas.openxmlformats.org/officeDocument/2006/relationships/hyperlink" Target="mailto:alberto.prior@intesasanpaolo.com" TargetMode="External"/><Relationship Id="rId714" Type="http://schemas.openxmlformats.org/officeDocument/2006/relationships/hyperlink" Target="mailto:paolo.ballone@intesasanpaolo.com" TargetMode="External"/><Relationship Id="rId756" Type="http://schemas.openxmlformats.org/officeDocument/2006/relationships/hyperlink" Target="mailto:fabio.carta@intesasanpaolo.com" TargetMode="External"/><Relationship Id="rId50" Type="http://schemas.openxmlformats.org/officeDocument/2006/relationships/hyperlink" Target="mailto:roberto.cogni@intesasanpaolo.com" TargetMode="External"/><Relationship Id="rId104" Type="http://schemas.openxmlformats.org/officeDocument/2006/relationships/hyperlink" Target="mailto:paolo.moncalero@intesasanpaolo.com" TargetMode="External"/><Relationship Id="rId146" Type="http://schemas.openxmlformats.org/officeDocument/2006/relationships/hyperlink" Target="mailto:marco.franceschinis@intesasanpaolo.com" TargetMode="External"/><Relationship Id="rId188" Type="http://schemas.openxmlformats.org/officeDocument/2006/relationships/hyperlink" Target="mailto:angelo.milardi@intesasanpaolo.com" TargetMode="External"/><Relationship Id="rId311" Type="http://schemas.openxmlformats.org/officeDocument/2006/relationships/hyperlink" Target="mailto:stefano.leoni@intesasanpaolo.com" TargetMode="External"/><Relationship Id="rId353" Type="http://schemas.openxmlformats.org/officeDocument/2006/relationships/hyperlink" Target="mailto:donatella.turi@intesasanpaolo.com" TargetMode="External"/><Relationship Id="rId395" Type="http://schemas.openxmlformats.org/officeDocument/2006/relationships/hyperlink" Target="mailto:giovanni.bonadeo@intesasanpaolo.com" TargetMode="External"/><Relationship Id="rId409" Type="http://schemas.openxmlformats.org/officeDocument/2006/relationships/hyperlink" Target="mailto:paolo.pasquale@intesasanpaolo.com" TargetMode="External"/><Relationship Id="rId560" Type="http://schemas.openxmlformats.org/officeDocument/2006/relationships/hyperlink" Target="mailto:davide.rendiniello@intesasanpaolo.com" TargetMode="External"/><Relationship Id="rId798" Type="http://schemas.openxmlformats.org/officeDocument/2006/relationships/hyperlink" Target="mailto:emanuele.fava@intesasanpaolo.com" TargetMode="External"/><Relationship Id="rId92" Type="http://schemas.openxmlformats.org/officeDocument/2006/relationships/hyperlink" Target="mailto:raffaele.saggino@intesasanpaolo.com" TargetMode="External"/><Relationship Id="rId213" Type="http://schemas.openxmlformats.org/officeDocument/2006/relationships/hyperlink" Target="mailto:michele.sciacovelli@intesasanpaolo.com" TargetMode="External"/><Relationship Id="rId420" Type="http://schemas.openxmlformats.org/officeDocument/2006/relationships/hyperlink" Target="mailto:giorgio.nocciolati@intesasanpaolo.com" TargetMode="External"/><Relationship Id="rId616" Type="http://schemas.openxmlformats.org/officeDocument/2006/relationships/hyperlink" Target="mailto:valeria.davite@intesasanpaolo.com" TargetMode="External"/><Relationship Id="rId658" Type="http://schemas.openxmlformats.org/officeDocument/2006/relationships/hyperlink" Target="mailto:michele.campanella@intesasanpaolo.com" TargetMode="External"/><Relationship Id="rId255" Type="http://schemas.openxmlformats.org/officeDocument/2006/relationships/hyperlink" Target="mailto:bruno.vernero@intesasanpaolo.com" TargetMode="External"/><Relationship Id="rId297" Type="http://schemas.openxmlformats.org/officeDocument/2006/relationships/hyperlink" Target="mailto:fabrizio.villano@intesasanpaolo.com" TargetMode="External"/><Relationship Id="rId462" Type="http://schemas.openxmlformats.org/officeDocument/2006/relationships/hyperlink" Target="mailto:andrea.garcia@intesasanpaolo.com" TargetMode="External"/><Relationship Id="rId518" Type="http://schemas.openxmlformats.org/officeDocument/2006/relationships/hyperlink" Target="mailto:silvano.bellatorre@intesasanpaolo.com" TargetMode="External"/><Relationship Id="rId725" Type="http://schemas.openxmlformats.org/officeDocument/2006/relationships/hyperlink" Target="mailto:giovanni.monteferrante@intesasanpaolo.com" TargetMode="External"/><Relationship Id="rId115" Type="http://schemas.openxmlformats.org/officeDocument/2006/relationships/hyperlink" Target="mailto:chiara.broglia@intesasanpaolo.com" TargetMode="External"/><Relationship Id="rId157" Type="http://schemas.openxmlformats.org/officeDocument/2006/relationships/hyperlink" Target="mailto:marco.gori@intesasanpaolo.com" TargetMode="External"/><Relationship Id="rId322" Type="http://schemas.openxmlformats.org/officeDocument/2006/relationships/hyperlink" Target="mailto:massimo.clementi@intesasanpaolo.com" TargetMode="External"/><Relationship Id="rId364" Type="http://schemas.openxmlformats.org/officeDocument/2006/relationships/hyperlink" Target="mailto:biagio.dibennardo@intesasanpaolo.com" TargetMode="External"/><Relationship Id="rId767" Type="http://schemas.openxmlformats.org/officeDocument/2006/relationships/hyperlink" Target="mailto:enzo.giacalone@intesasanpaolo.com" TargetMode="External"/><Relationship Id="rId61" Type="http://schemas.openxmlformats.org/officeDocument/2006/relationships/hyperlink" Target="mailto:salvatore.grasso@intesasanpaolo.com" TargetMode="External"/><Relationship Id="rId199" Type="http://schemas.openxmlformats.org/officeDocument/2006/relationships/hyperlink" Target="mailto:andrea.verona@intesasanpaolo.com" TargetMode="External"/><Relationship Id="rId571" Type="http://schemas.openxmlformats.org/officeDocument/2006/relationships/hyperlink" Target="mailto:enrico.coste@intesasanpaolo.com" TargetMode="External"/><Relationship Id="rId627" Type="http://schemas.openxmlformats.org/officeDocument/2006/relationships/hyperlink" Target="mailto:donatella.santagata@intesasanpaolo.com" TargetMode="External"/><Relationship Id="rId669" Type="http://schemas.openxmlformats.org/officeDocument/2006/relationships/hyperlink" Target="mailto:danilo.testa1@intesasanpaolo.com" TargetMode="External"/><Relationship Id="rId19" Type="http://schemas.openxmlformats.org/officeDocument/2006/relationships/hyperlink" Target="mailto:arianna.miola@intesasanpaolo.com" TargetMode="External"/><Relationship Id="rId224" Type="http://schemas.openxmlformats.org/officeDocument/2006/relationships/hyperlink" Target="mailto:luciano.piantoni@intesasanpaolo.com" TargetMode="External"/><Relationship Id="rId266" Type="http://schemas.openxmlformats.org/officeDocument/2006/relationships/hyperlink" Target="mailto:roberto.vecchierelli@intesasanpaolo.com" TargetMode="External"/><Relationship Id="rId431" Type="http://schemas.openxmlformats.org/officeDocument/2006/relationships/hyperlink" Target="mailto:claudio.tosi@intesasanpaolo.com" TargetMode="External"/><Relationship Id="rId473" Type="http://schemas.openxmlformats.org/officeDocument/2006/relationships/hyperlink" Target="mailto:vito.colella@intesasanpaolo.com" TargetMode="External"/><Relationship Id="rId529" Type="http://schemas.openxmlformats.org/officeDocument/2006/relationships/hyperlink" Target="mailto:luca.barbiero@intesasanpaolo.com" TargetMode="External"/><Relationship Id="rId680" Type="http://schemas.openxmlformats.org/officeDocument/2006/relationships/hyperlink" Target="mailto:marco.peca@intesasanpaolo.com" TargetMode="External"/><Relationship Id="rId736" Type="http://schemas.openxmlformats.org/officeDocument/2006/relationships/hyperlink" Target="mailto:giuseppe.soavi@intesasanpaolo.com" TargetMode="External"/><Relationship Id="rId30" Type="http://schemas.openxmlformats.org/officeDocument/2006/relationships/hyperlink" Target="mailto:massimo.torrengo@intesasanpaolo.com" TargetMode="External"/><Relationship Id="rId126" Type="http://schemas.openxmlformats.org/officeDocument/2006/relationships/hyperlink" Target="mailto:luigi.perfetti@intesasanpaolo.com" TargetMode="External"/><Relationship Id="rId168" Type="http://schemas.openxmlformats.org/officeDocument/2006/relationships/hyperlink" Target="mailto:roberto.viscuso@intesasanpaolo.com" TargetMode="External"/><Relationship Id="rId333" Type="http://schemas.openxmlformats.org/officeDocument/2006/relationships/hyperlink" Target="mailto:mario.grigolato@intesasanpaolo.com" TargetMode="External"/><Relationship Id="rId540" Type="http://schemas.openxmlformats.org/officeDocument/2006/relationships/hyperlink" Target="mailto:carlo.grazioli@intesasanpaolo.com" TargetMode="External"/><Relationship Id="rId778" Type="http://schemas.openxmlformats.org/officeDocument/2006/relationships/hyperlink" Target="mailto:krist.thimjo@intesasanpaolo.com" TargetMode="External"/><Relationship Id="rId72" Type="http://schemas.openxmlformats.org/officeDocument/2006/relationships/hyperlink" Target="mailto:nunzio.dagostino@intesasanpaolo.com" TargetMode="External"/><Relationship Id="rId375" Type="http://schemas.openxmlformats.org/officeDocument/2006/relationships/hyperlink" Target="mailto:alfredo.margio@intesasanpaolo.com" TargetMode="External"/><Relationship Id="rId582" Type="http://schemas.openxmlformats.org/officeDocument/2006/relationships/hyperlink" Target="mailto:alessandro.barbieri2@intesasanpaolo.com" TargetMode="External"/><Relationship Id="rId638" Type="http://schemas.openxmlformats.org/officeDocument/2006/relationships/hyperlink" Target="mailto:lorenzo.duca@intesasanpaolo.com" TargetMode="External"/><Relationship Id="rId803" Type="http://schemas.openxmlformats.org/officeDocument/2006/relationships/hyperlink" Target="mailto:stefano.incannila@intesasanpaolo.com" TargetMode="External"/><Relationship Id="rId3" Type="http://schemas.openxmlformats.org/officeDocument/2006/relationships/hyperlink" Target="mailto:flavio.astorino@intesasanpaolo.com" TargetMode="External"/><Relationship Id="rId235" Type="http://schemas.openxmlformats.org/officeDocument/2006/relationships/hyperlink" Target="mailto:emilio.demartino@intesasanpaolo.com" TargetMode="External"/><Relationship Id="rId277" Type="http://schemas.openxmlformats.org/officeDocument/2006/relationships/hyperlink" Target="mailto:claudio.dalba@intesasanpaolo.com" TargetMode="External"/><Relationship Id="rId400" Type="http://schemas.openxmlformats.org/officeDocument/2006/relationships/hyperlink" Target="mailto:stefano.catellani@intesasanpaolo.com" TargetMode="External"/><Relationship Id="rId442" Type="http://schemas.openxmlformats.org/officeDocument/2006/relationships/hyperlink" Target="mailto:claudio.defrancesco@intesasanpaolo.com" TargetMode="External"/><Relationship Id="rId484" Type="http://schemas.openxmlformats.org/officeDocument/2006/relationships/hyperlink" Target="mailto:fabio.scaramastra@intesasanpaolo.com" TargetMode="External"/><Relationship Id="rId705" Type="http://schemas.openxmlformats.org/officeDocument/2006/relationships/hyperlink" Target="mailto:luca.vincelli@intesasanpaolo.com" TargetMode="External"/><Relationship Id="rId137" Type="http://schemas.openxmlformats.org/officeDocument/2006/relationships/hyperlink" Target="mailto:daniele.delfini@intesasanpaolo.com" TargetMode="External"/><Relationship Id="rId302" Type="http://schemas.openxmlformats.org/officeDocument/2006/relationships/hyperlink" Target="mailto:chiara.cerrato@intesasanpaolo.com" TargetMode="External"/><Relationship Id="rId344" Type="http://schemas.openxmlformats.org/officeDocument/2006/relationships/hyperlink" Target="mailto:luca.pastorino@intesasanpaolo.com" TargetMode="External"/><Relationship Id="rId691" Type="http://schemas.openxmlformats.org/officeDocument/2006/relationships/hyperlink" Target="mailto:yoshika.fratello@intesasanpaolo.com" TargetMode="External"/><Relationship Id="rId747" Type="http://schemas.openxmlformats.org/officeDocument/2006/relationships/hyperlink" Target="mailto:giuseppe.franzi@intesasanpaolo.com" TargetMode="External"/><Relationship Id="rId789" Type="http://schemas.openxmlformats.org/officeDocument/2006/relationships/hyperlink" Target="mailto:roberto.cannaviello@intesasanpaolo.com" TargetMode="External"/><Relationship Id="rId41" Type="http://schemas.openxmlformats.org/officeDocument/2006/relationships/hyperlink" Target="mailto:silvia.gili@intesasanpaolo.com" TargetMode="External"/><Relationship Id="rId83" Type="http://schemas.openxmlformats.org/officeDocument/2006/relationships/hyperlink" Target="mailto:francesco.bellini@intesasanpaolo.com" TargetMode="External"/><Relationship Id="rId179" Type="http://schemas.openxmlformats.org/officeDocument/2006/relationships/hyperlink" Target="mailto:piergiorgio.gavarini@intesasanpaolo.com" TargetMode="External"/><Relationship Id="rId386" Type="http://schemas.openxmlformats.org/officeDocument/2006/relationships/hyperlink" Target="mailto:emmanuele.serino@intesasanpaolo.com" TargetMode="External"/><Relationship Id="rId551" Type="http://schemas.openxmlformats.org/officeDocument/2006/relationships/hyperlink" Target="mailto:roberto.varotto@intesasanpaolo.com" TargetMode="External"/><Relationship Id="rId593" Type="http://schemas.openxmlformats.org/officeDocument/2006/relationships/hyperlink" Target="mailto:luca.dellorto@intesasanpaolo.com" TargetMode="External"/><Relationship Id="rId607" Type="http://schemas.openxmlformats.org/officeDocument/2006/relationships/hyperlink" Target="mailto:fabio.paparo@intesasanpaolo.com" TargetMode="External"/><Relationship Id="rId649" Type="http://schemas.openxmlformats.org/officeDocument/2006/relationships/hyperlink" Target="mailto:antonio.salviati@intesasanpaolo.com" TargetMode="External"/><Relationship Id="rId814" Type="http://schemas.openxmlformats.org/officeDocument/2006/relationships/hyperlink" Target="mailto:alessandro.pieri@intesasanpaolo.com" TargetMode="External"/><Relationship Id="rId190" Type="http://schemas.openxmlformats.org/officeDocument/2006/relationships/hyperlink" Target="mailto:massimo.parodi@intesasanpaolo.com" TargetMode="External"/><Relationship Id="rId204" Type="http://schemas.openxmlformats.org/officeDocument/2006/relationships/hyperlink" Target="mailto:piergiorgio.centenaro@intesasanpaolo.com" TargetMode="External"/><Relationship Id="rId246" Type="http://schemas.openxmlformats.org/officeDocument/2006/relationships/hyperlink" Target="mailto:gabriele.romeo@intesasanpaolo.com" TargetMode="External"/><Relationship Id="rId288" Type="http://schemas.openxmlformats.org/officeDocument/2006/relationships/hyperlink" Target="mailto:marco.ragusa@intesasanpaolo.com" TargetMode="External"/><Relationship Id="rId411" Type="http://schemas.openxmlformats.org/officeDocument/2006/relationships/hyperlink" Target="mailto:eliana.zatti@intesasanpaolo.com" TargetMode="External"/><Relationship Id="rId453" Type="http://schemas.openxmlformats.org/officeDocument/2006/relationships/hyperlink" Target="mailto:tiziano.acqua@intesasanpaolo.com" TargetMode="External"/><Relationship Id="rId509" Type="http://schemas.openxmlformats.org/officeDocument/2006/relationships/hyperlink" Target="mailto:fabio.donsi@intesasanpaolo.com" TargetMode="External"/><Relationship Id="rId660" Type="http://schemas.openxmlformats.org/officeDocument/2006/relationships/hyperlink" Target="mailto:marco.corti@intesasanpaolo.com" TargetMode="External"/><Relationship Id="rId106" Type="http://schemas.openxmlformats.org/officeDocument/2006/relationships/hyperlink" Target="mailto:mario.musso@intesasanpaolo.com" TargetMode="External"/><Relationship Id="rId313" Type="http://schemas.openxmlformats.org/officeDocument/2006/relationships/hyperlink" Target="mailto:roberto.battiato@intesasanpaolo.com" TargetMode="External"/><Relationship Id="rId495" Type="http://schemas.openxmlformats.org/officeDocument/2006/relationships/hyperlink" Target="mailto:franco.esposito@intesasanpaolo.com" TargetMode="External"/><Relationship Id="rId716" Type="http://schemas.openxmlformats.org/officeDocument/2006/relationships/hyperlink" Target="mailto:fiorenzo.carpi@intesasanpaolo.com" TargetMode="External"/><Relationship Id="rId758" Type="http://schemas.openxmlformats.org/officeDocument/2006/relationships/hyperlink" Target="mailto:pasquale.chiaravalle@intesasanpaolo.com" TargetMode="External"/><Relationship Id="rId10" Type="http://schemas.openxmlformats.org/officeDocument/2006/relationships/hyperlink" Target="mailto:giovanni.colombrita@intesasanpaolo.com" TargetMode="External"/><Relationship Id="rId52" Type="http://schemas.openxmlformats.org/officeDocument/2006/relationships/hyperlink" Target="mailto:roberto.dami@intesasanpaolo.com" TargetMode="External"/><Relationship Id="rId94" Type="http://schemas.openxmlformats.org/officeDocument/2006/relationships/hyperlink" Target="mailto:gabriella.vezzani@intesasanpaolo.com" TargetMode="External"/><Relationship Id="rId148" Type="http://schemas.openxmlformats.org/officeDocument/2006/relationships/hyperlink" Target="mailto:francesco.bartoli@intesasanpaolo.com" TargetMode="External"/><Relationship Id="rId355" Type="http://schemas.openxmlformats.org/officeDocument/2006/relationships/hyperlink" Target="mailto:claudio.vitalini@intesasanpaolo.com" TargetMode="External"/><Relationship Id="rId397" Type="http://schemas.openxmlformats.org/officeDocument/2006/relationships/hyperlink" Target="mailto:roberto.buzzi@intesasanpaolo.com" TargetMode="External"/><Relationship Id="rId520" Type="http://schemas.openxmlformats.org/officeDocument/2006/relationships/hyperlink" Target="mailto:giulia.cardillo@intesasanpaolo.com" TargetMode="External"/><Relationship Id="rId562" Type="http://schemas.openxmlformats.org/officeDocument/2006/relationships/hyperlink" Target="mailto:massimo.tagliabue@intesasanpaolo.com" TargetMode="External"/><Relationship Id="rId618" Type="http://schemas.openxmlformats.org/officeDocument/2006/relationships/hyperlink" Target="mailto:antonio.delisio@intesasanpaolo.com" TargetMode="External"/><Relationship Id="rId215" Type="http://schemas.openxmlformats.org/officeDocument/2006/relationships/hyperlink" Target="mailto:daniele.villa@intesasanpaolo.com" TargetMode="External"/><Relationship Id="rId257" Type="http://schemas.openxmlformats.org/officeDocument/2006/relationships/hyperlink" Target="mailto:michele.ambrogio@intesasanpaolo.com" TargetMode="External"/><Relationship Id="rId422" Type="http://schemas.openxmlformats.org/officeDocument/2006/relationships/hyperlink" Target="mailto:marco.raboni@intesasanpaolo.com" TargetMode="External"/><Relationship Id="rId464" Type="http://schemas.openxmlformats.org/officeDocument/2006/relationships/hyperlink" Target="mailto:mauro.mussini@intesasanpaolo.com" TargetMode="External"/><Relationship Id="rId299" Type="http://schemas.openxmlformats.org/officeDocument/2006/relationships/hyperlink" Target="mailto:davide.zucchi@intesasanpaolo.com" TargetMode="External"/><Relationship Id="rId727" Type="http://schemas.openxmlformats.org/officeDocument/2006/relationships/hyperlink" Target="mailto:alessandro.zelferino@intesasanpaolo.com" TargetMode="External"/><Relationship Id="rId63" Type="http://schemas.openxmlformats.org/officeDocument/2006/relationships/hyperlink" Target="mailto:silvia.massi@intesasanpaolo.com" TargetMode="External"/><Relationship Id="rId159" Type="http://schemas.openxmlformats.org/officeDocument/2006/relationships/hyperlink" Target="mailto:fabio.martina@intesasanpaolo.com" TargetMode="External"/><Relationship Id="rId366" Type="http://schemas.openxmlformats.org/officeDocument/2006/relationships/hyperlink" Target="mailto:matteo.didomenico@intesasanpaolo.com" TargetMode="External"/><Relationship Id="rId573" Type="http://schemas.openxmlformats.org/officeDocument/2006/relationships/hyperlink" Target="mailto:paolo.gelato@intesasanpaolo.com" TargetMode="External"/><Relationship Id="rId780" Type="http://schemas.openxmlformats.org/officeDocument/2006/relationships/hyperlink" Target="mailto:paola.zanellato@intesasanpaolo.com" TargetMode="External"/><Relationship Id="rId226" Type="http://schemas.openxmlformats.org/officeDocument/2006/relationships/hyperlink" Target="mailto:denis.rapiti@intesasanpaolo.com" TargetMode="External"/><Relationship Id="rId433" Type="http://schemas.openxmlformats.org/officeDocument/2006/relationships/hyperlink" Target="mailto:michele.vignali@intesasanpaolo.com" TargetMode="External"/><Relationship Id="rId640" Type="http://schemas.openxmlformats.org/officeDocument/2006/relationships/hyperlink" Target="mailto:federico.fortini@intesasanpaolo.com" TargetMode="External"/><Relationship Id="rId738" Type="http://schemas.openxmlformats.org/officeDocument/2006/relationships/hyperlink" Target="mailto:andrea.longagnani@intesasanpaolo.com" TargetMode="External"/><Relationship Id="rId74" Type="http://schemas.openxmlformats.org/officeDocument/2006/relationships/hyperlink" Target="mailto:nicola.fucilli@intesasanpaolo.com" TargetMode="External"/><Relationship Id="rId377" Type="http://schemas.openxmlformats.org/officeDocument/2006/relationships/hyperlink" Target="mailto:fabio.matta1@intesasanpaolo.com" TargetMode="External"/><Relationship Id="rId500" Type="http://schemas.openxmlformats.org/officeDocument/2006/relationships/hyperlink" Target="mailto:vincenzo.prevete@intesasanpaolo.com" TargetMode="External"/><Relationship Id="rId584" Type="http://schemas.openxmlformats.org/officeDocument/2006/relationships/hyperlink" Target="mailto:massimo.cellini@intesasanpaolo.com" TargetMode="External"/><Relationship Id="rId805" Type="http://schemas.openxmlformats.org/officeDocument/2006/relationships/hyperlink" Target="mailto:gianluca.marciano@intesasanpaolo.com" TargetMode="External"/><Relationship Id="rId5" Type="http://schemas.openxmlformats.org/officeDocument/2006/relationships/hyperlink" Target="mailto:sara.benincasa@intesasanpaolo.com" TargetMode="External"/><Relationship Id="rId237" Type="http://schemas.openxmlformats.org/officeDocument/2006/relationships/hyperlink" Target="mailto:francesco.falbo@intesasanpaolo.com" TargetMode="External"/><Relationship Id="rId791" Type="http://schemas.openxmlformats.org/officeDocument/2006/relationships/hyperlink" Target="mailto:valentino.coletta@intesasanpaolo.com" TargetMode="External"/><Relationship Id="rId444" Type="http://schemas.openxmlformats.org/officeDocument/2006/relationships/hyperlink" Target="mailto:valeria.foddai@intesasanpaolo.com" TargetMode="External"/><Relationship Id="rId651" Type="http://schemas.openxmlformats.org/officeDocument/2006/relationships/hyperlink" Target="mailto:giorgio.stecconi@intesasanpaolo.com" TargetMode="External"/><Relationship Id="rId749" Type="http://schemas.openxmlformats.org/officeDocument/2006/relationships/hyperlink" Target="mailto:alice.battaglio@intesasanpaolo.com" TargetMode="External"/><Relationship Id="rId290" Type="http://schemas.openxmlformats.org/officeDocument/2006/relationships/hyperlink" Target="mailto:marco.sambruna@intesasanpaolo.com" TargetMode="External"/><Relationship Id="rId304" Type="http://schemas.openxmlformats.org/officeDocument/2006/relationships/hyperlink" Target="mailto:salvatore.flauto@intesasanpaolo.com" TargetMode="External"/><Relationship Id="rId388" Type="http://schemas.openxmlformats.org/officeDocument/2006/relationships/hyperlink" Target="mailto:sergio.torresi@intesasanpaolo.com" TargetMode="External"/><Relationship Id="rId511" Type="http://schemas.openxmlformats.org/officeDocument/2006/relationships/hyperlink" Target="mailto:giuseppe.maddiona@intesasanpaolo.com" TargetMode="External"/><Relationship Id="rId609" Type="http://schemas.openxmlformats.org/officeDocument/2006/relationships/hyperlink" Target="mailto:paolo.bonandin@intesasanpaolo.com" TargetMode="External"/><Relationship Id="rId85" Type="http://schemas.openxmlformats.org/officeDocument/2006/relationships/hyperlink" Target="mailto:giuseppe.capobianco@intesasanpaolo.com" TargetMode="External"/><Relationship Id="rId150" Type="http://schemas.openxmlformats.org/officeDocument/2006/relationships/hyperlink" Target="mailto:luca.chiarella@intesasanpaolo.com" TargetMode="External"/><Relationship Id="rId595" Type="http://schemas.openxmlformats.org/officeDocument/2006/relationships/hyperlink" Target="mailto:massimo.giribono@intesasanpaolo.com" TargetMode="External"/><Relationship Id="rId816" Type="http://schemas.openxmlformats.org/officeDocument/2006/relationships/hyperlink" Target="mailto:roberto.recchioni@intesasanpaolo.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59999389629810485"/>
  </sheetPr>
  <dimension ref="B1:M17"/>
  <sheetViews>
    <sheetView showGridLines="0" workbookViewId="0">
      <selection activeCell="F32" sqref="F32"/>
    </sheetView>
  </sheetViews>
  <sheetFormatPr defaultRowHeight="15" x14ac:dyDescent="0.25"/>
  <sheetData>
    <row r="1" spans="2:13" ht="15.75" thickBot="1" x14ac:dyDescent="0.3">
      <c r="B1" s="28"/>
      <c r="C1" s="28"/>
      <c r="D1" s="28"/>
      <c r="E1" s="28"/>
      <c r="F1" s="28"/>
      <c r="G1" s="28"/>
      <c r="H1" s="28"/>
      <c r="I1" s="28"/>
      <c r="J1" s="28"/>
      <c r="K1" s="28"/>
      <c r="L1" s="28"/>
      <c r="M1" s="28"/>
    </row>
    <row r="2" spans="2:13" x14ac:dyDescent="0.25">
      <c r="B2" s="10"/>
      <c r="C2" s="11"/>
      <c r="D2" s="11"/>
      <c r="E2" s="11"/>
      <c r="F2" s="11"/>
      <c r="G2" s="11"/>
      <c r="H2" s="11"/>
      <c r="I2" s="11"/>
      <c r="J2" s="11"/>
      <c r="K2" s="11"/>
      <c r="L2" s="11"/>
      <c r="M2" s="12"/>
    </row>
    <row r="3" spans="2:13" x14ac:dyDescent="0.25">
      <c r="B3" s="13"/>
      <c r="C3" s="1"/>
      <c r="D3" s="1"/>
      <c r="E3" s="1"/>
      <c r="F3" s="1"/>
      <c r="G3" s="1"/>
      <c r="H3" s="1"/>
      <c r="I3" s="1"/>
      <c r="J3" s="1"/>
      <c r="K3" s="1"/>
      <c r="L3" s="1"/>
      <c r="M3" s="14"/>
    </row>
    <row r="4" spans="2:13" x14ac:dyDescent="0.25">
      <c r="B4" s="13"/>
      <c r="C4" s="1"/>
      <c r="D4" s="1"/>
      <c r="E4" s="1"/>
      <c r="F4" s="1"/>
      <c r="G4" s="1"/>
      <c r="H4" s="1"/>
      <c r="I4" s="1"/>
      <c r="J4" s="1"/>
      <c r="K4" s="1"/>
      <c r="L4" s="1"/>
      <c r="M4" s="14"/>
    </row>
    <row r="5" spans="2:13" x14ac:dyDescent="0.25">
      <c r="B5" s="13"/>
      <c r="C5" s="1"/>
      <c r="D5" s="1"/>
      <c r="E5" s="1"/>
      <c r="F5" s="1"/>
      <c r="G5" s="1"/>
      <c r="H5" s="1"/>
      <c r="I5" s="1"/>
      <c r="J5" s="1"/>
      <c r="K5" s="1"/>
      <c r="L5" s="1"/>
      <c r="M5" s="14"/>
    </row>
    <row r="6" spans="2:13" x14ac:dyDescent="0.25">
      <c r="B6" s="13"/>
      <c r="C6" s="1"/>
      <c r="D6" s="1"/>
      <c r="E6" s="1"/>
      <c r="F6" s="1"/>
      <c r="G6" s="1"/>
      <c r="H6" s="1"/>
      <c r="I6" s="1"/>
      <c r="J6" s="1"/>
      <c r="K6" s="1"/>
      <c r="L6" s="1"/>
      <c r="M6" s="14"/>
    </row>
    <row r="7" spans="2:13" x14ac:dyDescent="0.25">
      <c r="B7" s="13"/>
      <c r="C7" s="1"/>
      <c r="D7" s="1"/>
      <c r="E7" s="1"/>
      <c r="F7" s="1"/>
      <c r="G7" s="1"/>
      <c r="H7" s="1"/>
      <c r="I7" s="1"/>
      <c r="J7" s="1"/>
      <c r="K7" s="1"/>
      <c r="L7" s="1"/>
      <c r="M7" s="14"/>
    </row>
    <row r="8" spans="2:13" x14ac:dyDescent="0.25">
      <c r="B8" s="13"/>
      <c r="C8" s="1"/>
      <c r="D8" s="1"/>
      <c r="E8" s="1"/>
      <c r="F8" s="1"/>
      <c r="G8" s="1"/>
      <c r="H8" s="1"/>
      <c r="I8" s="1"/>
      <c r="J8" s="1"/>
      <c r="K8" s="1"/>
      <c r="L8" s="1"/>
      <c r="M8" s="14"/>
    </row>
    <row r="9" spans="2:13" x14ac:dyDescent="0.25">
      <c r="B9" s="13"/>
      <c r="C9" s="1"/>
      <c r="D9" s="1"/>
      <c r="E9" s="1"/>
      <c r="F9" s="1"/>
      <c r="G9" s="1"/>
      <c r="H9" s="1"/>
      <c r="I9" s="1"/>
      <c r="J9" s="1"/>
      <c r="K9" s="1"/>
      <c r="L9" s="1"/>
      <c r="M9" s="14"/>
    </row>
    <row r="10" spans="2:13" x14ac:dyDescent="0.25">
      <c r="B10" s="13"/>
      <c r="C10" s="1"/>
      <c r="D10" s="1"/>
      <c r="E10" s="1"/>
      <c r="F10" s="1"/>
      <c r="G10" s="1"/>
      <c r="H10" s="1"/>
      <c r="I10" s="1"/>
      <c r="J10" s="1"/>
      <c r="K10" s="1"/>
      <c r="L10" s="1"/>
      <c r="M10" s="14"/>
    </row>
    <row r="11" spans="2:13" x14ac:dyDescent="0.25">
      <c r="B11" s="13"/>
      <c r="C11" s="1"/>
      <c r="D11" s="1"/>
      <c r="E11" s="1"/>
      <c r="F11" s="1"/>
      <c r="G11" s="1"/>
      <c r="H11" s="1"/>
      <c r="I11" s="1"/>
      <c r="J11" s="1"/>
      <c r="K11" s="1"/>
      <c r="L11" s="1"/>
      <c r="M11" s="14"/>
    </row>
    <row r="12" spans="2:13" x14ac:dyDescent="0.25">
      <c r="B12" s="13"/>
      <c r="C12" s="1"/>
      <c r="D12" s="1"/>
      <c r="E12" s="1"/>
      <c r="F12" s="1"/>
      <c r="G12" s="1"/>
      <c r="H12" s="1"/>
      <c r="I12" s="1"/>
      <c r="J12" s="1"/>
      <c r="K12" s="1"/>
      <c r="L12" s="1"/>
      <c r="M12" s="14"/>
    </row>
    <row r="13" spans="2:13" x14ac:dyDescent="0.25">
      <c r="B13" s="13"/>
      <c r="C13" s="1"/>
      <c r="D13" s="1"/>
      <c r="E13" s="1"/>
      <c r="F13" s="1"/>
      <c r="G13" s="1"/>
      <c r="H13" s="1"/>
      <c r="I13" s="1"/>
      <c r="J13" s="1"/>
      <c r="K13" s="1"/>
      <c r="L13" s="1"/>
      <c r="M13" s="14"/>
    </row>
    <row r="14" spans="2:13" x14ac:dyDescent="0.25">
      <c r="B14" s="13"/>
      <c r="C14" s="1"/>
      <c r="D14" s="1"/>
      <c r="E14" s="1"/>
      <c r="F14" s="1"/>
      <c r="G14" s="1"/>
      <c r="H14" s="1"/>
      <c r="I14" s="1"/>
      <c r="J14" s="1"/>
      <c r="K14" s="1"/>
      <c r="L14" s="1"/>
      <c r="M14" s="14"/>
    </row>
    <row r="15" spans="2:13" x14ac:dyDescent="0.25">
      <c r="B15" s="13"/>
      <c r="C15" s="1"/>
      <c r="D15" s="1"/>
      <c r="E15" s="1"/>
      <c r="F15" s="1"/>
      <c r="G15" s="1"/>
      <c r="H15" s="1"/>
      <c r="I15" s="1"/>
      <c r="J15" s="1"/>
      <c r="K15" s="1"/>
      <c r="L15" s="1"/>
      <c r="M15" s="14"/>
    </row>
    <row r="16" spans="2:13" x14ac:dyDescent="0.25">
      <c r="B16" s="13"/>
      <c r="C16" s="1"/>
      <c r="D16" s="1"/>
      <c r="E16" s="1"/>
      <c r="F16" s="1"/>
      <c r="G16" s="1"/>
      <c r="H16" s="1"/>
      <c r="I16" s="1"/>
      <c r="J16" s="1"/>
      <c r="K16" s="1"/>
      <c r="L16" s="1"/>
      <c r="M16" s="14"/>
    </row>
    <row r="17" spans="2:13" ht="15.75" thickBot="1" x14ac:dyDescent="0.3">
      <c r="B17" s="15"/>
      <c r="C17" s="16"/>
      <c r="D17" s="16"/>
      <c r="E17" s="16"/>
      <c r="F17" s="16"/>
      <c r="G17" s="16"/>
      <c r="H17" s="16"/>
      <c r="I17" s="16"/>
      <c r="J17" s="16"/>
      <c r="K17" s="16"/>
      <c r="L17" s="16"/>
      <c r="M17" s="1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CB644"/>
  <sheetViews>
    <sheetView workbookViewId="0">
      <selection activeCell="E68" sqref="E32:F68"/>
    </sheetView>
  </sheetViews>
  <sheetFormatPr defaultRowHeight="15" x14ac:dyDescent="0.25"/>
  <cols>
    <col min="1" max="1" width="8.7109375" style="28"/>
    <col min="2" max="2" width="17.42578125" style="28" customWidth="1"/>
    <col min="3" max="3" width="17.85546875" style="28" customWidth="1"/>
    <col min="4" max="4" width="15.140625" style="28" bestFit="1" customWidth="1"/>
    <col min="5" max="5" width="15.140625" bestFit="1" customWidth="1"/>
    <col min="6" max="6" width="29.85546875" bestFit="1" customWidth="1"/>
    <col min="7" max="7" width="17.42578125" customWidth="1"/>
    <col min="8" max="8" width="15.140625" bestFit="1" customWidth="1"/>
    <col min="9" max="9" width="15" customWidth="1"/>
  </cols>
  <sheetData>
    <row r="1" spans="1:80" ht="48.75" x14ac:dyDescent="0.25">
      <c r="A1" s="34" t="s">
        <v>4</v>
      </c>
      <c r="B1" s="45" t="s">
        <v>1658</v>
      </c>
      <c r="C1" s="46" t="s">
        <v>1659</v>
      </c>
      <c r="D1" s="35" t="s">
        <v>1660</v>
      </c>
      <c r="E1" s="34" t="s">
        <v>1661</v>
      </c>
      <c r="F1" s="24" t="s">
        <v>1</v>
      </c>
      <c r="G1" s="47" t="s">
        <v>1662</v>
      </c>
      <c r="H1" s="35" t="s">
        <v>1663</v>
      </c>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row>
    <row r="2" spans="1:80" hidden="1" x14ac:dyDescent="0.25">
      <c r="A2" s="33" t="s">
        <v>1178</v>
      </c>
      <c r="B2" s="38" t="s">
        <v>1177</v>
      </c>
      <c r="C2" s="32" t="s">
        <v>107</v>
      </c>
      <c r="D2" s="32" t="s">
        <v>605</v>
      </c>
      <c r="E2" s="21" t="s">
        <v>1664</v>
      </c>
      <c r="F2" s="25" t="s">
        <v>1665</v>
      </c>
      <c r="G2" s="32"/>
      <c r="H2" s="32"/>
      <c r="I2" s="29" t="e">
        <f>VLOOKUP(B2,#REF!,2,FALSE)</f>
        <v>#REF!</v>
      </c>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row>
    <row r="3" spans="1:80" hidden="1" x14ac:dyDescent="0.25">
      <c r="A3" s="31" t="s">
        <v>1250</v>
      </c>
      <c r="B3" s="39" t="s">
        <v>1248</v>
      </c>
      <c r="C3" s="30" t="s">
        <v>1249</v>
      </c>
      <c r="D3" s="30" t="s">
        <v>18</v>
      </c>
      <c r="E3" s="20" t="s">
        <v>1664</v>
      </c>
      <c r="F3" s="26" t="s">
        <v>1665</v>
      </c>
      <c r="G3" s="30"/>
      <c r="H3" s="30"/>
      <c r="I3" s="29" t="e">
        <f>VLOOKUP(B3,#REF!,2,FALSE)</f>
        <v>#REF!</v>
      </c>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c r="BX3" s="29"/>
      <c r="BY3" s="29"/>
      <c r="BZ3" s="29"/>
      <c r="CA3" s="29"/>
      <c r="CB3" s="29"/>
    </row>
    <row r="4" spans="1:80" hidden="1" x14ac:dyDescent="0.25">
      <c r="A4" s="31" t="s">
        <v>1163</v>
      </c>
      <c r="B4" s="39" t="s">
        <v>1162</v>
      </c>
      <c r="C4" s="30" t="s">
        <v>33</v>
      </c>
      <c r="D4" s="30" t="s">
        <v>289</v>
      </c>
      <c r="E4" s="20" t="s">
        <v>1664</v>
      </c>
      <c r="F4" s="26" t="s">
        <v>1666</v>
      </c>
      <c r="G4" s="30"/>
      <c r="H4" s="30"/>
      <c r="I4" s="29" t="e">
        <f>VLOOKUP(B4,#REF!,2,FALSE)</f>
        <v>#REF!</v>
      </c>
      <c r="J4" s="29"/>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c r="BX4" s="29"/>
      <c r="BY4" s="29"/>
      <c r="BZ4" s="29"/>
      <c r="CA4" s="29"/>
      <c r="CB4" s="29"/>
    </row>
    <row r="5" spans="1:80" hidden="1" x14ac:dyDescent="0.25">
      <c r="A5" s="31" t="s">
        <v>1181</v>
      </c>
      <c r="B5" s="39" t="s">
        <v>1667</v>
      </c>
      <c r="C5" s="30" t="s">
        <v>1668</v>
      </c>
      <c r="D5" s="30" t="s">
        <v>289</v>
      </c>
      <c r="E5" s="20" t="s">
        <v>1664</v>
      </c>
      <c r="F5" s="26" t="s">
        <v>1666</v>
      </c>
      <c r="G5" s="30"/>
      <c r="H5" s="30"/>
      <c r="I5" s="29" t="e">
        <f>VLOOKUP(B5,#REF!,2,FALSE)</f>
        <v>#REF!</v>
      </c>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c r="BU5" s="29"/>
      <c r="BV5" s="29"/>
      <c r="BW5" s="29"/>
      <c r="BX5" s="29"/>
      <c r="BY5" s="29"/>
      <c r="BZ5" s="29"/>
      <c r="CA5" s="29"/>
      <c r="CB5" s="29"/>
    </row>
    <row r="6" spans="1:80" hidden="1" x14ac:dyDescent="0.25">
      <c r="A6" s="31" t="s">
        <v>1208</v>
      </c>
      <c r="B6" s="39" t="s">
        <v>1207</v>
      </c>
      <c r="C6" s="30" t="s">
        <v>119</v>
      </c>
      <c r="D6" s="30" t="s">
        <v>289</v>
      </c>
      <c r="E6" s="20" t="s">
        <v>1664</v>
      </c>
      <c r="F6" s="26" t="s">
        <v>1666</v>
      </c>
      <c r="G6" s="30"/>
      <c r="H6" s="30"/>
      <c r="I6" s="29" t="e">
        <f>VLOOKUP(B6,#REF!,2,FALSE)</f>
        <v>#REF!</v>
      </c>
      <c r="J6" s="29"/>
      <c r="K6" s="29"/>
      <c r="L6" s="29"/>
      <c r="M6" s="29"/>
      <c r="N6" s="29"/>
      <c r="O6" s="29"/>
      <c r="P6" s="29"/>
      <c r="Q6" s="29"/>
      <c r="R6" s="29"/>
      <c r="S6" s="29"/>
      <c r="T6" s="29"/>
      <c r="U6" s="29"/>
      <c r="V6" s="29"/>
      <c r="W6" s="29"/>
      <c r="X6" s="29"/>
      <c r="Y6" s="29"/>
      <c r="Z6" s="29"/>
      <c r="AA6" s="29"/>
      <c r="AB6" s="29"/>
      <c r="AC6" s="29"/>
      <c r="AD6" s="29"/>
      <c r="AE6" s="29"/>
      <c r="AF6" s="29"/>
      <c r="AG6" s="29"/>
      <c r="AH6" s="29"/>
      <c r="AI6" s="29"/>
      <c r="AJ6" s="29"/>
      <c r="AK6" s="29"/>
      <c r="AL6" s="29"/>
      <c r="AM6" s="29"/>
      <c r="AN6" s="29"/>
      <c r="AO6" s="29"/>
      <c r="AP6" s="29"/>
      <c r="AQ6" s="29"/>
      <c r="AR6" s="29"/>
      <c r="AS6" s="29"/>
      <c r="AT6" s="29"/>
      <c r="AU6" s="29"/>
      <c r="AV6" s="29"/>
      <c r="AW6" s="29"/>
      <c r="AX6" s="29"/>
      <c r="AY6" s="29"/>
      <c r="AZ6" s="29"/>
      <c r="BA6" s="29"/>
      <c r="BB6" s="29"/>
      <c r="BC6" s="29"/>
      <c r="BD6" s="29"/>
      <c r="BE6" s="29"/>
      <c r="BF6" s="29"/>
      <c r="BG6" s="29"/>
      <c r="BH6" s="29"/>
      <c r="BI6" s="29"/>
      <c r="BJ6" s="29"/>
      <c r="BK6" s="29"/>
      <c r="BL6" s="29"/>
      <c r="BM6" s="29"/>
      <c r="BN6" s="29"/>
      <c r="BO6" s="29"/>
      <c r="BP6" s="29"/>
      <c r="BQ6" s="29"/>
      <c r="BR6" s="29"/>
      <c r="BS6" s="29"/>
      <c r="BT6" s="29"/>
      <c r="BU6" s="29"/>
      <c r="BV6" s="29"/>
      <c r="BW6" s="29"/>
      <c r="BX6" s="29"/>
      <c r="BY6" s="29"/>
      <c r="BZ6" s="29"/>
      <c r="CA6" s="29"/>
      <c r="CB6" s="29"/>
    </row>
    <row r="7" spans="1:80" hidden="1" x14ac:dyDescent="0.25">
      <c r="A7" s="31" t="s">
        <v>1216</v>
      </c>
      <c r="B7" s="39" t="s">
        <v>1669</v>
      </c>
      <c r="C7" s="30" t="s">
        <v>1670</v>
      </c>
      <c r="D7" s="30" t="s">
        <v>52</v>
      </c>
      <c r="E7" s="20" t="s">
        <v>1664</v>
      </c>
      <c r="F7" s="26" t="s">
        <v>1666</v>
      </c>
      <c r="G7" s="36"/>
      <c r="H7" s="36" t="s">
        <v>52</v>
      </c>
      <c r="I7" s="29" t="e">
        <f>VLOOKUP(B7,#REF!,2,FALSE)</f>
        <v>#REF!</v>
      </c>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row>
    <row r="8" spans="1:80" hidden="1" x14ac:dyDescent="0.25">
      <c r="A8" s="31" t="s">
        <v>1157</v>
      </c>
      <c r="B8" s="39" t="s">
        <v>1156</v>
      </c>
      <c r="C8" s="30" t="s">
        <v>8</v>
      </c>
      <c r="D8" s="30" t="s">
        <v>10</v>
      </c>
      <c r="E8" s="20" t="s">
        <v>1664</v>
      </c>
      <c r="F8" s="26" t="s">
        <v>1666</v>
      </c>
      <c r="G8" s="30" t="s">
        <v>384</v>
      </c>
      <c r="H8" s="30"/>
      <c r="I8" s="29" t="e">
        <f>VLOOKUP(B8,#REF!,2,FALSE)</f>
        <v>#REF!</v>
      </c>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c r="CA8" s="29"/>
      <c r="CB8" s="29"/>
    </row>
    <row r="9" spans="1:80" hidden="1" x14ac:dyDescent="0.25">
      <c r="A9" s="31" t="s">
        <v>1165</v>
      </c>
      <c r="B9" s="39" t="s">
        <v>1671</v>
      </c>
      <c r="C9" s="30" t="s">
        <v>1672</v>
      </c>
      <c r="D9" s="30" t="s">
        <v>52</v>
      </c>
      <c r="E9" s="20" t="s">
        <v>1664</v>
      </c>
      <c r="F9" s="26" t="s">
        <v>1673</v>
      </c>
      <c r="G9" s="36"/>
      <c r="H9" s="36" t="s">
        <v>52</v>
      </c>
      <c r="I9" s="29" t="e">
        <f>VLOOKUP(B9,#REF!,2,FALSE)</f>
        <v>#REF!</v>
      </c>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row>
    <row r="10" spans="1:80" hidden="1" x14ac:dyDescent="0.25">
      <c r="A10" s="31" t="s">
        <v>1613</v>
      </c>
      <c r="B10" s="39" t="s">
        <v>1674</v>
      </c>
      <c r="C10" s="30" t="s">
        <v>1675</v>
      </c>
      <c r="D10" s="30" t="s">
        <v>52</v>
      </c>
      <c r="E10" s="20" t="s">
        <v>1664</v>
      </c>
      <c r="F10" s="26" t="s">
        <v>1676</v>
      </c>
      <c r="G10" s="30"/>
      <c r="H10" s="30"/>
      <c r="I10" s="29" t="e">
        <f>VLOOKUP(B10,#REF!,2,FALSE)</f>
        <v>#REF!</v>
      </c>
      <c r="J10" s="29"/>
      <c r="K10" s="29"/>
      <c r="L10" s="29"/>
      <c r="M10" s="29"/>
      <c r="N10" s="29"/>
      <c r="O10" s="29"/>
      <c r="P10" s="29"/>
      <c r="Q10" s="29"/>
      <c r="R10" s="29"/>
      <c r="S10" s="29"/>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c r="BQ10" s="29"/>
      <c r="BR10" s="29"/>
      <c r="BS10" s="29"/>
      <c r="BT10" s="29"/>
      <c r="BU10" s="29"/>
      <c r="BV10" s="29"/>
      <c r="BW10" s="29"/>
      <c r="BX10" s="29"/>
      <c r="BY10" s="29"/>
      <c r="BZ10" s="29"/>
      <c r="CA10" s="29"/>
      <c r="CB10" s="29"/>
    </row>
    <row r="11" spans="1:80" hidden="1" x14ac:dyDescent="0.25">
      <c r="A11" s="31" t="s">
        <v>1607</v>
      </c>
      <c r="B11" s="39" t="s">
        <v>1606</v>
      </c>
      <c r="C11" s="30" t="s">
        <v>25</v>
      </c>
      <c r="D11" s="30" t="s">
        <v>10</v>
      </c>
      <c r="E11" s="20" t="s">
        <v>1664</v>
      </c>
      <c r="F11" s="26" t="s">
        <v>1676</v>
      </c>
      <c r="G11" s="30"/>
      <c r="H11" s="30"/>
      <c r="I11" s="29" t="e">
        <f>VLOOKUP(B11,#REF!,2,FALSE)</f>
        <v>#REF!</v>
      </c>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row>
    <row r="12" spans="1:80" hidden="1" x14ac:dyDescent="0.25">
      <c r="A12" s="31" t="s">
        <v>1641</v>
      </c>
      <c r="B12" s="39" t="s">
        <v>264</v>
      </c>
      <c r="C12" s="30" t="s">
        <v>25</v>
      </c>
      <c r="D12" s="30" t="s">
        <v>52</v>
      </c>
      <c r="E12" s="20" t="s">
        <v>1664</v>
      </c>
      <c r="F12" s="26" t="s">
        <v>1676</v>
      </c>
      <c r="G12" s="30"/>
      <c r="H12" s="30"/>
      <c r="I12" s="29" t="e">
        <f>VLOOKUP(B12,#REF!,2,FALSE)</f>
        <v>#REF!</v>
      </c>
      <c r="J12" s="29"/>
      <c r="K12" s="29"/>
      <c r="L12" s="29"/>
      <c r="M12" s="29"/>
      <c r="N12" s="29"/>
      <c r="O12" s="29"/>
      <c r="P12" s="2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29"/>
      <c r="BT12" s="29"/>
      <c r="BU12" s="29"/>
      <c r="BV12" s="29"/>
      <c r="BW12" s="29"/>
      <c r="BX12" s="29"/>
      <c r="BY12" s="29"/>
      <c r="BZ12" s="29"/>
      <c r="CA12" s="29"/>
      <c r="CB12" s="29"/>
    </row>
    <row r="13" spans="1:80" x14ac:dyDescent="0.25">
      <c r="A13" s="31" t="s">
        <v>1677</v>
      </c>
      <c r="B13" s="39" t="s">
        <v>1678</v>
      </c>
      <c r="C13" s="30" t="s">
        <v>1679</v>
      </c>
      <c r="D13" s="30" t="s">
        <v>52</v>
      </c>
      <c r="E13" s="20" t="s">
        <v>1664</v>
      </c>
      <c r="F13" s="26" t="s">
        <v>1676</v>
      </c>
      <c r="G13" s="30"/>
      <c r="H13" s="30"/>
      <c r="I13" s="29" t="e">
        <f>VLOOKUP(B13,#REF!,2,FALSE)</f>
        <v>#REF!</v>
      </c>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row>
    <row r="14" spans="1:80" hidden="1" x14ac:dyDescent="0.25">
      <c r="A14" s="31" t="s">
        <v>1650</v>
      </c>
      <c r="B14" s="39" t="s">
        <v>1680</v>
      </c>
      <c r="C14" s="30" t="s">
        <v>1681</v>
      </c>
      <c r="D14" s="30" t="s">
        <v>52</v>
      </c>
      <c r="E14" s="20" t="s">
        <v>1664</v>
      </c>
      <c r="F14" s="26" t="s">
        <v>1676</v>
      </c>
      <c r="G14" s="30"/>
      <c r="H14" s="30"/>
      <c r="I14" s="29" t="e">
        <f>VLOOKUP(B14,#REF!,2,FALSE)</f>
        <v>#REF!</v>
      </c>
      <c r="J14" s="29"/>
      <c r="K14" s="29"/>
      <c r="L14" s="29"/>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row>
    <row r="15" spans="1:80" hidden="1" x14ac:dyDescent="0.25">
      <c r="A15" s="31" t="s">
        <v>1159</v>
      </c>
      <c r="B15" s="39" t="s">
        <v>1158</v>
      </c>
      <c r="C15" s="30" t="s">
        <v>25</v>
      </c>
      <c r="D15" s="30" t="s">
        <v>289</v>
      </c>
      <c r="E15" s="20" t="s">
        <v>1664</v>
      </c>
      <c r="F15" s="26" t="s">
        <v>1682</v>
      </c>
      <c r="G15" s="30"/>
      <c r="H15" s="30"/>
      <c r="I15" s="29" t="e">
        <f>VLOOKUP(B15,#REF!,2,FALSE)</f>
        <v>#REF!</v>
      </c>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row>
    <row r="16" spans="1:80" hidden="1" x14ac:dyDescent="0.25">
      <c r="A16" s="31" t="s">
        <v>848</v>
      </c>
      <c r="B16" s="39" t="s">
        <v>79</v>
      </c>
      <c r="C16" s="30" t="s">
        <v>107</v>
      </c>
      <c r="D16" s="30" t="s">
        <v>52</v>
      </c>
      <c r="E16" s="20" t="s">
        <v>1664</v>
      </c>
      <c r="F16" s="26" t="s">
        <v>1682</v>
      </c>
      <c r="G16" s="30"/>
      <c r="H16" s="30"/>
      <c r="I16" s="29" t="e">
        <f>VLOOKUP(B16,#REF!,2,FALSE)</f>
        <v>#REF!</v>
      </c>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row>
    <row r="17" spans="1:80" hidden="1" x14ac:dyDescent="0.25">
      <c r="A17" s="31" t="s">
        <v>1173</v>
      </c>
      <c r="B17" s="39" t="s">
        <v>1172</v>
      </c>
      <c r="C17" s="30" t="s">
        <v>119</v>
      </c>
      <c r="D17" s="30" t="s">
        <v>14</v>
      </c>
      <c r="E17" s="20" t="s">
        <v>1664</v>
      </c>
      <c r="F17" s="26" t="s">
        <v>1682</v>
      </c>
      <c r="G17" s="30"/>
      <c r="H17" s="30"/>
      <c r="I17" s="29" t="e">
        <f>VLOOKUP(B17,#REF!,2,FALSE)</f>
        <v>#REF!</v>
      </c>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row>
    <row r="18" spans="1:80" hidden="1" x14ac:dyDescent="0.25">
      <c r="A18" s="31" t="s">
        <v>1179</v>
      </c>
      <c r="B18" s="39" t="s">
        <v>368</v>
      </c>
      <c r="C18" s="30" t="s">
        <v>621</v>
      </c>
      <c r="D18" s="30" t="s">
        <v>18</v>
      </c>
      <c r="E18" s="20" t="s">
        <v>1664</v>
      </c>
      <c r="F18" s="26" t="s">
        <v>1682</v>
      </c>
      <c r="G18" s="30"/>
      <c r="H18" s="30"/>
      <c r="I18" s="29" t="e">
        <f>VLOOKUP(B18,#REF!,2,FALSE)</f>
        <v>#REF!</v>
      </c>
      <c r="J18" s="29"/>
      <c r="K18" s="29"/>
      <c r="L18" s="29"/>
      <c r="M18" s="29"/>
      <c r="N18" s="29"/>
      <c r="O18" s="29"/>
      <c r="P18" s="29"/>
      <c r="Q18" s="29"/>
      <c r="R18" s="29"/>
      <c r="S18" s="29"/>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row>
    <row r="19" spans="1:80" hidden="1" x14ac:dyDescent="0.25">
      <c r="A19" s="31" t="s">
        <v>895</v>
      </c>
      <c r="B19" s="39" t="s">
        <v>1683</v>
      </c>
      <c r="C19" s="30" t="s">
        <v>1684</v>
      </c>
      <c r="D19" s="30" t="s">
        <v>78</v>
      </c>
      <c r="E19" s="20" t="s">
        <v>1664</v>
      </c>
      <c r="F19" s="26" t="s">
        <v>1682</v>
      </c>
      <c r="G19" s="30"/>
      <c r="H19" s="30"/>
      <c r="I19" s="29" t="e">
        <f>VLOOKUP(B19,#REF!,2,FALSE)</f>
        <v>#REF!</v>
      </c>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row>
    <row r="20" spans="1:80" hidden="1" x14ac:dyDescent="0.25">
      <c r="A20" s="31" t="s">
        <v>1152</v>
      </c>
      <c r="B20" s="39" t="s">
        <v>386</v>
      </c>
      <c r="C20" s="30" t="s">
        <v>1685</v>
      </c>
      <c r="D20" s="30" t="s">
        <v>10</v>
      </c>
      <c r="E20" s="20" t="s">
        <v>1664</v>
      </c>
      <c r="F20" s="26" t="s">
        <v>1682</v>
      </c>
      <c r="G20" s="30"/>
      <c r="H20" s="30"/>
      <c r="I20" s="29" t="e">
        <f>VLOOKUP(B20,#REF!,2,FALSE)</f>
        <v>#REF!</v>
      </c>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row>
    <row r="21" spans="1:80" hidden="1" x14ac:dyDescent="0.25">
      <c r="A21" s="31" t="s">
        <v>1200</v>
      </c>
      <c r="B21" s="39" t="s">
        <v>1199</v>
      </c>
      <c r="C21" s="30" t="s">
        <v>412</v>
      </c>
      <c r="D21" s="30" t="s">
        <v>18</v>
      </c>
      <c r="E21" s="20" t="s">
        <v>1664</v>
      </c>
      <c r="F21" s="26" t="s">
        <v>1682</v>
      </c>
      <c r="G21" s="30"/>
      <c r="H21" s="30"/>
      <c r="I21" s="29" t="e">
        <f>VLOOKUP(B21,#REF!,2,FALSE)</f>
        <v>#REF!</v>
      </c>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row>
    <row r="22" spans="1:80" x14ac:dyDescent="0.25">
      <c r="A22" s="31" t="s">
        <v>1686</v>
      </c>
      <c r="B22" s="39" t="s">
        <v>1687</v>
      </c>
      <c r="C22" s="30" t="s">
        <v>1688</v>
      </c>
      <c r="D22" s="30" t="s">
        <v>14</v>
      </c>
      <c r="E22" s="20" t="s">
        <v>1664</v>
      </c>
      <c r="F22" s="26" t="s">
        <v>1682</v>
      </c>
      <c r="G22" s="30"/>
      <c r="H22" s="30"/>
      <c r="I22" s="29" t="e">
        <f>VLOOKUP(B22,#REF!,2,FALSE)</f>
        <v>#REF!</v>
      </c>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row>
    <row r="23" spans="1:80" hidden="1" x14ac:dyDescent="0.25">
      <c r="A23" s="31" t="s">
        <v>1023</v>
      </c>
      <c r="B23" s="39" t="s">
        <v>1022</v>
      </c>
      <c r="C23" s="30" t="s">
        <v>732</v>
      </c>
      <c r="D23" s="30" t="s">
        <v>52</v>
      </c>
      <c r="E23" s="20" t="s">
        <v>1664</v>
      </c>
      <c r="F23" s="26" t="s">
        <v>1682</v>
      </c>
      <c r="G23" s="30"/>
      <c r="H23" s="30"/>
      <c r="I23" s="29" t="e">
        <f>VLOOKUP(B23,#REF!,2,FALSE)</f>
        <v>#REF!</v>
      </c>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row>
    <row r="24" spans="1:80" hidden="1" x14ac:dyDescent="0.25">
      <c r="A24" s="31" t="s">
        <v>1214</v>
      </c>
      <c r="B24" s="39" t="s">
        <v>1213</v>
      </c>
      <c r="C24" s="30" t="s">
        <v>86</v>
      </c>
      <c r="D24" s="30" t="s">
        <v>289</v>
      </c>
      <c r="E24" s="20" t="s">
        <v>1664</v>
      </c>
      <c r="F24" s="26" t="s">
        <v>1682</v>
      </c>
      <c r="G24" s="30"/>
      <c r="H24" s="30"/>
      <c r="I24" s="29" t="e">
        <f>VLOOKUP(B24,#REF!,2,FALSE)</f>
        <v>#REF!</v>
      </c>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row>
    <row r="25" spans="1:80" hidden="1" x14ac:dyDescent="0.25">
      <c r="A25" s="31" t="s">
        <v>1218</v>
      </c>
      <c r="B25" s="39" t="s">
        <v>1217</v>
      </c>
      <c r="C25" s="30" t="s">
        <v>33</v>
      </c>
      <c r="D25" s="30" t="s">
        <v>14</v>
      </c>
      <c r="E25" s="20" t="s">
        <v>1664</v>
      </c>
      <c r="F25" s="26" t="s">
        <v>1682</v>
      </c>
      <c r="G25" s="30"/>
      <c r="H25" s="30"/>
      <c r="I25" s="29" t="e">
        <f>VLOOKUP(B25,#REF!,2,FALSE)</f>
        <v>#REF!</v>
      </c>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row>
    <row r="26" spans="1:80" hidden="1" x14ac:dyDescent="0.25">
      <c r="A26" s="31" t="s">
        <v>1066</v>
      </c>
      <c r="B26" s="39" t="s">
        <v>1689</v>
      </c>
      <c r="C26" s="30" t="s">
        <v>1679</v>
      </c>
      <c r="D26" s="30" t="s">
        <v>78</v>
      </c>
      <c r="E26" s="20" t="s">
        <v>1664</v>
      </c>
      <c r="F26" s="26" t="s">
        <v>1682</v>
      </c>
      <c r="G26" s="30" t="s">
        <v>1690</v>
      </c>
      <c r="H26" s="30"/>
      <c r="I26" s="29" t="e">
        <f>VLOOKUP(B26,#REF!,2,FALSE)</f>
        <v>#REF!</v>
      </c>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row>
    <row r="27" spans="1:80" x14ac:dyDescent="0.25">
      <c r="A27" s="31" t="s">
        <v>1691</v>
      </c>
      <c r="B27" s="39" t="s">
        <v>1692</v>
      </c>
      <c r="C27" s="30" t="s">
        <v>43</v>
      </c>
      <c r="D27" s="30" t="s">
        <v>78</v>
      </c>
      <c r="E27" s="20" t="s">
        <v>1664</v>
      </c>
      <c r="F27" s="26" t="s">
        <v>1682</v>
      </c>
      <c r="G27" s="30"/>
      <c r="H27" s="30"/>
      <c r="I27" s="29" t="e">
        <f>VLOOKUP(B27,#REF!,2,FALSE)</f>
        <v>#REF!</v>
      </c>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row>
    <row r="28" spans="1:80" hidden="1" x14ac:dyDescent="0.25">
      <c r="A28" s="31" t="s">
        <v>1224</v>
      </c>
      <c r="B28" s="39" t="s">
        <v>1223</v>
      </c>
      <c r="C28" s="30" t="s">
        <v>258</v>
      </c>
      <c r="D28" s="30" t="s">
        <v>52</v>
      </c>
      <c r="E28" s="20" t="s">
        <v>1664</v>
      </c>
      <c r="F28" s="26" t="s">
        <v>1682</v>
      </c>
      <c r="G28" s="30"/>
      <c r="H28" s="30"/>
      <c r="I28" s="29" t="e">
        <f>VLOOKUP(B28,#REF!,2,FALSE)</f>
        <v>#REF!</v>
      </c>
      <c r="J28" s="29"/>
      <c r="K28" s="29"/>
      <c r="L28" s="29"/>
      <c r="M28" s="29"/>
      <c r="N28" s="29"/>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row>
    <row r="29" spans="1:80" hidden="1" x14ac:dyDescent="0.25">
      <c r="A29" s="31" t="s">
        <v>1226</v>
      </c>
      <c r="B29" s="39" t="s">
        <v>1225</v>
      </c>
      <c r="C29" s="30" t="s">
        <v>192</v>
      </c>
      <c r="D29" s="30" t="s">
        <v>14</v>
      </c>
      <c r="E29" s="20" t="s">
        <v>1664</v>
      </c>
      <c r="F29" s="26" t="s">
        <v>1682</v>
      </c>
      <c r="G29" s="30"/>
      <c r="H29" s="30"/>
      <c r="I29" s="29" t="e">
        <f>VLOOKUP(B29,#REF!,2,FALSE)</f>
        <v>#REF!</v>
      </c>
      <c r="J29" s="29"/>
      <c r="K29" s="29"/>
      <c r="L29" s="29"/>
      <c r="M29" s="29"/>
      <c r="N29" s="29"/>
      <c r="O29" s="29"/>
      <c r="P29" s="29"/>
      <c r="Q29" s="29"/>
      <c r="R29" s="29"/>
      <c r="S29" s="29"/>
      <c r="T29" s="29"/>
      <c r="U29" s="29"/>
      <c r="V29" s="29"/>
      <c r="W29" s="29"/>
      <c r="X29" s="29"/>
      <c r="Y29" s="29"/>
      <c r="Z29" s="29"/>
      <c r="AA29" s="29"/>
      <c r="AB29" s="29"/>
      <c r="AC29" s="29"/>
      <c r="AD29" s="29"/>
      <c r="AE29" s="29"/>
      <c r="AF29" s="29"/>
      <c r="AG29" s="29"/>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29"/>
      <c r="BH29" s="29"/>
      <c r="BI29" s="29"/>
      <c r="BJ29" s="29"/>
      <c r="BK29" s="29"/>
      <c r="BL29" s="29"/>
      <c r="BM29" s="29"/>
      <c r="BN29" s="29"/>
      <c r="BO29" s="29"/>
      <c r="BP29" s="29"/>
      <c r="BQ29" s="29"/>
      <c r="BR29" s="29"/>
      <c r="BS29" s="29"/>
      <c r="BT29" s="29"/>
      <c r="BU29" s="29"/>
      <c r="BV29" s="29"/>
      <c r="BW29" s="29"/>
      <c r="BX29" s="29"/>
      <c r="BY29" s="29"/>
      <c r="BZ29" s="29"/>
      <c r="CA29" s="29"/>
      <c r="CB29" s="29"/>
    </row>
    <row r="30" spans="1:80" hidden="1" x14ac:dyDescent="0.25">
      <c r="A30" s="31" t="s">
        <v>1693</v>
      </c>
      <c r="B30" s="39" t="s">
        <v>1090</v>
      </c>
      <c r="C30" s="30" t="s">
        <v>25</v>
      </c>
      <c r="D30" s="30" t="s">
        <v>78</v>
      </c>
      <c r="E30" s="20" t="s">
        <v>1664</v>
      </c>
      <c r="F30" s="26" t="s">
        <v>1682</v>
      </c>
      <c r="G30" s="30" t="s">
        <v>1694</v>
      </c>
      <c r="H30" s="30"/>
      <c r="I30" s="29" t="e">
        <f>VLOOKUP(B30,#REF!,2,FALSE)</f>
        <v>#REF!</v>
      </c>
      <c r="J30" s="29"/>
      <c r="K30" s="29"/>
      <c r="L30" s="29"/>
      <c r="M30" s="29"/>
      <c r="N30" s="29"/>
      <c r="O30" s="29"/>
      <c r="P30" s="29"/>
      <c r="Q30" s="29"/>
      <c r="R30" s="29"/>
      <c r="S30" s="29"/>
      <c r="T30" s="29"/>
      <c r="U30" s="29"/>
      <c r="V30" s="29"/>
      <c r="W30" s="29"/>
      <c r="X30" s="29"/>
      <c r="Y30" s="29"/>
      <c r="Z30" s="29"/>
      <c r="AA30" s="29"/>
      <c r="AB30" s="29"/>
      <c r="AC30" s="29"/>
      <c r="AD30" s="29"/>
      <c r="AE30" s="29"/>
      <c r="AF30" s="29"/>
      <c r="AG30" s="29"/>
      <c r="AH30" s="29"/>
      <c r="AI30" s="29"/>
      <c r="AJ30" s="29"/>
      <c r="AK30" s="29"/>
      <c r="AL30" s="29"/>
      <c r="AM30" s="29"/>
      <c r="AN30" s="29"/>
      <c r="AO30" s="29"/>
      <c r="AP30" s="29"/>
      <c r="AQ30" s="29"/>
      <c r="AR30" s="29"/>
      <c r="AS30" s="29"/>
      <c r="AT30" s="29"/>
      <c r="AU30" s="29"/>
      <c r="AV30" s="29"/>
      <c r="AW30" s="29"/>
      <c r="AX30" s="29"/>
      <c r="AY30" s="29"/>
      <c r="AZ30" s="29"/>
      <c r="BA30" s="29"/>
      <c r="BB30" s="29"/>
      <c r="BC30" s="29"/>
      <c r="BD30" s="29"/>
      <c r="BE30" s="29"/>
      <c r="BF30" s="29"/>
      <c r="BG30" s="29"/>
      <c r="BH30" s="29"/>
      <c r="BI30" s="29"/>
      <c r="BJ30" s="29"/>
      <c r="BK30" s="29"/>
      <c r="BL30" s="29"/>
      <c r="BM30" s="29"/>
      <c r="BN30" s="29"/>
      <c r="BO30" s="29"/>
      <c r="BP30" s="29"/>
      <c r="BQ30" s="29"/>
      <c r="BR30" s="29"/>
      <c r="BS30" s="29"/>
      <c r="BT30" s="29"/>
      <c r="BU30" s="29"/>
      <c r="BV30" s="29"/>
      <c r="BW30" s="29"/>
      <c r="BX30" s="29"/>
      <c r="BY30" s="29"/>
      <c r="BZ30" s="29"/>
      <c r="CA30" s="29"/>
      <c r="CB30" s="29"/>
    </row>
    <row r="31" spans="1:80" hidden="1" x14ac:dyDescent="0.25">
      <c r="A31" s="31" t="s">
        <v>1110</v>
      </c>
      <c r="B31" s="39" t="s">
        <v>1695</v>
      </c>
      <c r="C31" s="30" t="s">
        <v>1696</v>
      </c>
      <c r="D31" s="30" t="s">
        <v>78</v>
      </c>
      <c r="E31" s="20" t="s">
        <v>1664</v>
      </c>
      <c r="F31" s="26" t="s">
        <v>1682</v>
      </c>
      <c r="G31" s="30"/>
      <c r="H31" s="30"/>
      <c r="I31" s="29" t="e">
        <f>VLOOKUP(B31,#REF!,2,FALSE)</f>
        <v>#REF!</v>
      </c>
      <c r="J31" s="29"/>
      <c r="K31" s="29"/>
      <c r="L31" s="29"/>
      <c r="M31" s="29"/>
      <c r="N31" s="29"/>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29"/>
      <c r="BH31" s="29"/>
      <c r="BI31" s="29"/>
      <c r="BJ31" s="29"/>
      <c r="BK31" s="29"/>
      <c r="BL31" s="29"/>
      <c r="BM31" s="29"/>
      <c r="BN31" s="29"/>
      <c r="BO31" s="29"/>
      <c r="BP31" s="29"/>
      <c r="BQ31" s="29"/>
      <c r="BR31" s="29"/>
      <c r="BS31" s="29"/>
      <c r="BT31" s="29"/>
      <c r="BU31" s="29"/>
      <c r="BV31" s="29"/>
      <c r="BW31" s="29"/>
      <c r="BX31" s="29"/>
      <c r="BY31" s="29"/>
      <c r="BZ31" s="29"/>
      <c r="CA31" s="29"/>
      <c r="CB31" s="29"/>
    </row>
    <row r="32" spans="1:80" x14ac:dyDescent="0.25">
      <c r="A32" s="31" t="s">
        <v>1697</v>
      </c>
      <c r="B32" s="39" t="s">
        <v>1698</v>
      </c>
      <c r="C32" s="30" t="s">
        <v>1264</v>
      </c>
      <c r="D32" s="30" t="s">
        <v>52</v>
      </c>
      <c r="E32" s="20" t="s">
        <v>1664</v>
      </c>
      <c r="F32" s="26" t="s">
        <v>1682</v>
      </c>
      <c r="G32" s="30"/>
      <c r="H32" s="30"/>
      <c r="I32" s="29" t="e">
        <f>VLOOKUP(B32,#REF!,2,FALSE)</f>
        <v>#REF!</v>
      </c>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row>
    <row r="33" spans="1:80" hidden="1" x14ac:dyDescent="0.25">
      <c r="A33" s="31" t="s">
        <v>1150</v>
      </c>
      <c r="B33" s="39" t="s">
        <v>1149</v>
      </c>
      <c r="C33" s="30" t="s">
        <v>173</v>
      </c>
      <c r="D33" s="30" t="s">
        <v>10</v>
      </c>
      <c r="E33" s="20" t="s">
        <v>1664</v>
      </c>
      <c r="F33" s="26" t="s">
        <v>1699</v>
      </c>
      <c r="G33" s="30"/>
      <c r="H33" s="30"/>
      <c r="I33" s="29" t="e">
        <f>VLOOKUP(B33,#REF!,2,FALSE)</f>
        <v>#REF!</v>
      </c>
      <c r="J33" s="29"/>
      <c r="K33" s="29"/>
      <c r="L33" s="29"/>
      <c r="M33" s="29"/>
      <c r="N33" s="29"/>
      <c r="O33" s="29"/>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c r="AR33" s="29"/>
      <c r="AS33" s="29"/>
      <c r="AT33" s="29"/>
      <c r="AU33" s="29"/>
      <c r="AV33" s="29"/>
      <c r="AW33" s="29"/>
      <c r="AX33" s="29"/>
      <c r="AY33" s="29"/>
      <c r="AZ33" s="29"/>
      <c r="BA33" s="29"/>
      <c r="BB33" s="29"/>
      <c r="BC33" s="29"/>
      <c r="BD33" s="29"/>
      <c r="BE33" s="29"/>
      <c r="BF33" s="29"/>
      <c r="BG33" s="29"/>
      <c r="BH33" s="29"/>
      <c r="BI33" s="29"/>
      <c r="BJ33" s="29"/>
      <c r="BK33" s="29"/>
      <c r="BL33" s="29"/>
      <c r="BM33" s="29"/>
      <c r="BN33" s="29"/>
      <c r="BO33" s="29"/>
      <c r="BP33" s="29"/>
      <c r="BQ33" s="29"/>
      <c r="BR33" s="29"/>
      <c r="BS33" s="29"/>
      <c r="BT33" s="29"/>
      <c r="BU33" s="29"/>
      <c r="BV33" s="29"/>
      <c r="BW33" s="29"/>
      <c r="BX33" s="29"/>
      <c r="BY33" s="29"/>
      <c r="BZ33" s="29"/>
      <c r="CA33" s="29"/>
      <c r="CB33" s="29"/>
    </row>
    <row r="34" spans="1:80" hidden="1" x14ac:dyDescent="0.25">
      <c r="A34" s="31" t="s">
        <v>1171</v>
      </c>
      <c r="B34" s="39" t="s">
        <v>1170</v>
      </c>
      <c r="C34" s="30" t="s">
        <v>55</v>
      </c>
      <c r="D34" s="30" t="s">
        <v>289</v>
      </c>
      <c r="E34" s="20" t="s">
        <v>1664</v>
      </c>
      <c r="F34" s="26" t="s">
        <v>1699</v>
      </c>
      <c r="G34" s="30"/>
      <c r="H34" s="30"/>
      <c r="I34" s="29" t="e">
        <f>VLOOKUP(B34,#REF!,2,FALSE)</f>
        <v>#REF!</v>
      </c>
      <c r="J34" s="29"/>
      <c r="K34" s="29"/>
      <c r="L34" s="29"/>
      <c r="M34" s="29"/>
      <c r="N34" s="29"/>
      <c r="O34" s="29"/>
      <c r="P34" s="29"/>
      <c r="Q34" s="29"/>
      <c r="R34" s="29"/>
      <c r="S34" s="29"/>
      <c r="T34" s="29"/>
      <c r="U34" s="29"/>
      <c r="V34" s="29"/>
      <c r="W34" s="29"/>
      <c r="X34" s="29"/>
      <c r="Y34" s="29"/>
      <c r="Z34" s="29"/>
      <c r="AA34" s="29"/>
      <c r="AB34" s="29"/>
      <c r="AC34" s="29"/>
      <c r="AD34" s="29"/>
      <c r="AE34" s="29"/>
      <c r="AF34" s="29"/>
      <c r="AG34" s="29"/>
      <c r="AH34" s="29"/>
      <c r="AI34" s="29"/>
      <c r="AJ34" s="29"/>
      <c r="AK34" s="29"/>
      <c r="AL34" s="29"/>
      <c r="AM34" s="29"/>
      <c r="AN34" s="29"/>
      <c r="AO34" s="29"/>
      <c r="AP34" s="29"/>
      <c r="AQ34" s="29"/>
      <c r="AR34" s="29"/>
      <c r="AS34" s="29"/>
      <c r="AT34" s="29"/>
      <c r="AU34" s="29"/>
      <c r="AV34" s="29"/>
      <c r="AW34" s="29"/>
      <c r="AX34" s="29"/>
      <c r="AY34" s="29"/>
      <c r="AZ34" s="29"/>
      <c r="BA34" s="29"/>
      <c r="BB34" s="29"/>
      <c r="BC34" s="29"/>
      <c r="BD34" s="29"/>
      <c r="BE34" s="29"/>
      <c r="BF34" s="29"/>
      <c r="BG34" s="29"/>
      <c r="BH34" s="29"/>
      <c r="BI34" s="29"/>
      <c r="BJ34" s="29"/>
      <c r="BK34" s="29"/>
      <c r="BL34" s="29"/>
      <c r="BM34" s="29"/>
      <c r="BN34" s="29"/>
      <c r="BO34" s="29"/>
      <c r="BP34" s="29"/>
      <c r="BQ34" s="29"/>
      <c r="BR34" s="29"/>
      <c r="BS34" s="29"/>
      <c r="BT34" s="29"/>
      <c r="BU34" s="29"/>
      <c r="BV34" s="29"/>
      <c r="BW34" s="29"/>
      <c r="BX34" s="29"/>
      <c r="BY34" s="29"/>
      <c r="BZ34" s="29"/>
      <c r="CA34" s="29"/>
      <c r="CB34" s="29"/>
    </row>
    <row r="35" spans="1:80" hidden="1" x14ac:dyDescent="0.25">
      <c r="A35" s="31" t="s">
        <v>1191</v>
      </c>
      <c r="B35" s="39" t="s">
        <v>1700</v>
      </c>
      <c r="C35" s="30" t="s">
        <v>1701</v>
      </c>
      <c r="D35" s="30" t="s">
        <v>289</v>
      </c>
      <c r="E35" s="20" t="s">
        <v>1664</v>
      </c>
      <c r="F35" s="26" t="s">
        <v>1699</v>
      </c>
      <c r="G35" s="30"/>
      <c r="H35" s="30"/>
      <c r="I35" s="29" t="e">
        <f>VLOOKUP(B35,#REF!,2,FALSE)</f>
        <v>#REF!</v>
      </c>
      <c r="J35" s="29"/>
      <c r="K35" s="29"/>
      <c r="L35" s="29"/>
      <c r="M35" s="29"/>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c r="BJ35" s="29"/>
      <c r="BK35" s="29"/>
      <c r="BL35" s="29"/>
      <c r="BM35" s="29"/>
      <c r="BN35" s="29"/>
      <c r="BO35" s="29"/>
      <c r="BP35" s="29"/>
      <c r="BQ35" s="29"/>
      <c r="BR35" s="29"/>
      <c r="BS35" s="29"/>
      <c r="BT35" s="29"/>
      <c r="BU35" s="29"/>
      <c r="BV35" s="29"/>
      <c r="BW35" s="29"/>
      <c r="BX35" s="29"/>
      <c r="BY35" s="29"/>
      <c r="BZ35" s="29"/>
      <c r="CA35" s="29"/>
      <c r="CB35" s="29"/>
    </row>
    <row r="36" spans="1:80" hidden="1" x14ac:dyDescent="0.25">
      <c r="A36" s="31" t="s">
        <v>1193</v>
      </c>
      <c r="B36" s="39" t="s">
        <v>1192</v>
      </c>
      <c r="C36" s="30" t="s">
        <v>412</v>
      </c>
      <c r="D36" s="30" t="s">
        <v>289</v>
      </c>
      <c r="E36" s="20" t="s">
        <v>1664</v>
      </c>
      <c r="F36" s="26" t="s">
        <v>1699</v>
      </c>
      <c r="G36" s="30" t="s">
        <v>67</v>
      </c>
      <c r="H36" s="30"/>
      <c r="I36" s="29" t="e">
        <f>VLOOKUP(B36,#REF!,2,FALSE)</f>
        <v>#REF!</v>
      </c>
      <c r="J36" s="29"/>
      <c r="K36" s="29"/>
      <c r="L36" s="29"/>
      <c r="M36" s="29"/>
      <c r="N36" s="29"/>
      <c r="O36" s="29"/>
      <c r="P36" s="29"/>
      <c r="Q36" s="29"/>
      <c r="R36" s="29"/>
      <c r="S36" s="29"/>
      <c r="T36" s="29"/>
      <c r="U36" s="29"/>
      <c r="V36" s="29"/>
      <c r="W36" s="29"/>
      <c r="X36" s="29"/>
      <c r="Y36" s="29"/>
      <c r="Z36" s="29"/>
      <c r="AA36" s="29"/>
      <c r="AB36" s="29"/>
      <c r="AC36" s="29"/>
      <c r="AD36" s="29"/>
      <c r="AE36" s="29"/>
      <c r="AF36" s="29"/>
      <c r="AG36" s="29"/>
      <c r="AH36" s="29"/>
      <c r="AI36" s="29"/>
      <c r="AJ36" s="29"/>
      <c r="AK36" s="29"/>
      <c r="AL36" s="29"/>
      <c r="AM36" s="29"/>
      <c r="AN36" s="29"/>
      <c r="AO36" s="29"/>
      <c r="AP36" s="29"/>
      <c r="AQ36" s="29"/>
      <c r="AR36" s="29"/>
      <c r="AS36" s="29"/>
      <c r="AT36" s="29"/>
      <c r="AU36" s="29"/>
      <c r="AV36" s="29"/>
      <c r="AW36" s="29"/>
      <c r="AX36" s="29"/>
      <c r="AY36" s="29"/>
      <c r="AZ36" s="29"/>
      <c r="BA36" s="29"/>
      <c r="BB36" s="29"/>
      <c r="BC36" s="29"/>
      <c r="BD36" s="29"/>
      <c r="BE36" s="29"/>
      <c r="BF36" s="29"/>
      <c r="BG36" s="29"/>
      <c r="BH36" s="29"/>
      <c r="BI36" s="29"/>
      <c r="BJ36" s="29"/>
      <c r="BK36" s="29"/>
      <c r="BL36" s="29"/>
      <c r="BM36" s="29"/>
      <c r="BN36" s="29"/>
      <c r="BO36" s="29"/>
      <c r="BP36" s="29"/>
      <c r="BQ36" s="29"/>
      <c r="BR36" s="29"/>
      <c r="BS36" s="29"/>
      <c r="BT36" s="29"/>
      <c r="BU36" s="29"/>
      <c r="BV36" s="29"/>
      <c r="BW36" s="29"/>
      <c r="BX36" s="29"/>
      <c r="BY36" s="29"/>
      <c r="BZ36" s="29"/>
      <c r="CA36" s="29"/>
      <c r="CB36" s="29"/>
    </row>
    <row r="37" spans="1:80" hidden="1" x14ac:dyDescent="0.25">
      <c r="A37" s="31" t="s">
        <v>1206</v>
      </c>
      <c r="B37" s="39" t="s">
        <v>1205</v>
      </c>
      <c r="C37" s="30" t="s">
        <v>261</v>
      </c>
      <c r="D37" s="30" t="s">
        <v>289</v>
      </c>
      <c r="E37" s="20" t="s">
        <v>1664</v>
      </c>
      <c r="F37" s="26" t="s">
        <v>1699</v>
      </c>
      <c r="G37" s="30"/>
      <c r="H37" s="30"/>
      <c r="I37" s="29" t="e">
        <f>VLOOKUP(B37,#REF!,2,FALSE)</f>
        <v>#REF!</v>
      </c>
      <c r="J37" s="29"/>
      <c r="K37" s="29"/>
      <c r="L37" s="29"/>
      <c r="M37" s="29"/>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c r="BJ37" s="29"/>
      <c r="BK37" s="29"/>
      <c r="BL37" s="29"/>
      <c r="BM37" s="29"/>
      <c r="BN37" s="29"/>
      <c r="BO37" s="29"/>
      <c r="BP37" s="29"/>
      <c r="BQ37" s="29"/>
      <c r="BR37" s="29"/>
      <c r="BS37" s="29"/>
      <c r="BT37" s="29"/>
      <c r="BU37" s="29"/>
      <c r="BV37" s="29"/>
      <c r="BW37" s="29"/>
      <c r="BX37" s="29"/>
      <c r="BY37" s="29"/>
      <c r="BZ37" s="29"/>
      <c r="CA37" s="29"/>
      <c r="CB37" s="29"/>
    </row>
    <row r="38" spans="1:80" hidden="1" x14ac:dyDescent="0.25">
      <c r="A38" s="31" t="s">
        <v>1210</v>
      </c>
      <c r="B38" s="39" t="s">
        <v>1209</v>
      </c>
      <c r="C38" s="30" t="s">
        <v>334</v>
      </c>
      <c r="D38" s="30" t="s">
        <v>289</v>
      </c>
      <c r="E38" s="20" t="s">
        <v>1664</v>
      </c>
      <c r="F38" s="26" t="s">
        <v>1699</v>
      </c>
      <c r="G38" s="30"/>
      <c r="H38" s="30"/>
      <c r="I38" s="29" t="e">
        <f>VLOOKUP(B38,#REF!,2,FALSE)</f>
        <v>#REF!</v>
      </c>
      <c r="J38" s="29"/>
      <c r="K38" s="29"/>
      <c r="L38" s="29"/>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c r="BK38" s="29"/>
      <c r="BL38" s="29"/>
      <c r="BM38" s="29"/>
      <c r="BN38" s="29"/>
      <c r="BO38" s="29"/>
      <c r="BP38" s="29"/>
      <c r="BQ38" s="29"/>
      <c r="BR38" s="29"/>
      <c r="BS38" s="29"/>
      <c r="BT38" s="29"/>
      <c r="BU38" s="29"/>
      <c r="BV38" s="29"/>
      <c r="BW38" s="29"/>
      <c r="BX38" s="29"/>
      <c r="BY38" s="29"/>
      <c r="BZ38" s="29"/>
      <c r="CA38" s="29"/>
      <c r="CB38" s="29"/>
    </row>
    <row r="39" spans="1:80" hidden="1" x14ac:dyDescent="0.25">
      <c r="A39" s="31" t="s">
        <v>1220</v>
      </c>
      <c r="B39" s="39" t="s">
        <v>1219</v>
      </c>
      <c r="C39" s="30" t="s">
        <v>515</v>
      </c>
      <c r="D39" s="30" t="s">
        <v>289</v>
      </c>
      <c r="E39" s="20" t="s">
        <v>1664</v>
      </c>
      <c r="F39" s="26" t="s">
        <v>1699</v>
      </c>
      <c r="G39" s="30"/>
      <c r="H39" s="30"/>
      <c r="I39" s="29" t="e">
        <f>VLOOKUP(B39,#REF!,2,FALSE)</f>
        <v>#REF!</v>
      </c>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c r="AT39" s="29"/>
      <c r="AU39" s="29"/>
      <c r="AV39" s="29"/>
      <c r="AW39" s="29"/>
      <c r="AX39" s="29"/>
      <c r="AY39" s="29"/>
      <c r="AZ39" s="29"/>
      <c r="BA39" s="29"/>
      <c r="BB39" s="29"/>
      <c r="BC39" s="29"/>
      <c r="BD39" s="29"/>
      <c r="BE39" s="29"/>
      <c r="BF39" s="29"/>
      <c r="BG39" s="29"/>
      <c r="BH39" s="29"/>
      <c r="BI39" s="29"/>
      <c r="BJ39" s="29"/>
      <c r="BK39" s="29"/>
      <c r="BL39" s="29"/>
      <c r="BM39" s="29"/>
      <c r="BN39" s="29"/>
      <c r="BO39" s="29"/>
      <c r="BP39" s="29"/>
      <c r="BQ39" s="29"/>
      <c r="BR39" s="29"/>
      <c r="BS39" s="29"/>
      <c r="BT39" s="29"/>
      <c r="BU39" s="29"/>
      <c r="BV39" s="29"/>
      <c r="BW39" s="29"/>
      <c r="BX39" s="29"/>
      <c r="BY39" s="29"/>
      <c r="BZ39" s="29"/>
      <c r="CA39" s="29"/>
      <c r="CB39" s="29"/>
    </row>
    <row r="40" spans="1:80" hidden="1" x14ac:dyDescent="0.25">
      <c r="A40" s="31" t="s">
        <v>1229</v>
      </c>
      <c r="B40" s="39" t="s">
        <v>1227</v>
      </c>
      <c r="C40" s="30" t="s">
        <v>1228</v>
      </c>
      <c r="D40" s="30" t="s">
        <v>289</v>
      </c>
      <c r="E40" s="20" t="s">
        <v>1664</v>
      </c>
      <c r="F40" s="26" t="s">
        <v>1699</v>
      </c>
      <c r="G40" s="30"/>
      <c r="H40" s="30"/>
      <c r="I40" s="29" t="e">
        <f>VLOOKUP(B40,#REF!,2,FALSE)</f>
        <v>#REF!</v>
      </c>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29"/>
      <c r="BH40" s="29"/>
      <c r="BI40" s="29"/>
      <c r="BJ40" s="29"/>
      <c r="BK40" s="29"/>
      <c r="BL40" s="29"/>
      <c r="BM40" s="29"/>
      <c r="BN40" s="29"/>
      <c r="BO40" s="29"/>
      <c r="BP40" s="29"/>
      <c r="BQ40" s="29"/>
      <c r="BR40" s="29"/>
      <c r="BS40" s="29"/>
      <c r="BT40" s="29"/>
      <c r="BU40" s="29"/>
      <c r="BV40" s="29"/>
      <c r="BW40" s="29"/>
      <c r="BX40" s="29"/>
      <c r="BY40" s="29"/>
      <c r="BZ40" s="29"/>
      <c r="CA40" s="29"/>
      <c r="CB40" s="29"/>
    </row>
    <row r="41" spans="1:80" hidden="1" x14ac:dyDescent="0.25">
      <c r="A41" s="31" t="s">
        <v>1231</v>
      </c>
      <c r="B41" s="39" t="s">
        <v>1230</v>
      </c>
      <c r="C41" s="30" t="s">
        <v>225</v>
      </c>
      <c r="D41" s="30" t="s">
        <v>289</v>
      </c>
      <c r="E41" s="20" t="s">
        <v>1664</v>
      </c>
      <c r="F41" s="26" t="s">
        <v>1699</v>
      </c>
      <c r="G41" s="30"/>
      <c r="H41" s="30"/>
      <c r="I41" s="29" t="e">
        <f>VLOOKUP(B41,#REF!,2,FALSE)</f>
        <v>#REF!</v>
      </c>
      <c r="J41" s="29"/>
      <c r="K41" s="29"/>
      <c r="L41" s="29"/>
      <c r="M41" s="29"/>
      <c r="N41" s="29"/>
      <c r="O41" s="29"/>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29"/>
      <c r="BO41" s="29"/>
      <c r="BP41" s="29"/>
      <c r="BQ41" s="29"/>
      <c r="BR41" s="29"/>
      <c r="BS41" s="29"/>
      <c r="BT41" s="29"/>
      <c r="BU41" s="29"/>
      <c r="BV41" s="29"/>
      <c r="BW41" s="29"/>
      <c r="BX41" s="29"/>
      <c r="BY41" s="29"/>
      <c r="BZ41" s="29"/>
      <c r="CA41" s="29"/>
      <c r="CB41" s="29"/>
    </row>
    <row r="42" spans="1:80" hidden="1" x14ac:dyDescent="0.25">
      <c r="A42" s="31" t="s">
        <v>1236</v>
      </c>
      <c r="B42" s="39" t="s">
        <v>1235</v>
      </c>
      <c r="C42" s="30" t="s">
        <v>412</v>
      </c>
      <c r="D42" s="30" t="s">
        <v>289</v>
      </c>
      <c r="E42" s="20" t="s">
        <v>1664</v>
      </c>
      <c r="F42" s="26" t="s">
        <v>1699</v>
      </c>
      <c r="G42" s="30"/>
      <c r="H42" s="30"/>
      <c r="I42" s="29" t="e">
        <f>VLOOKUP(B42,#REF!,2,FALSE)</f>
        <v>#REF!</v>
      </c>
      <c r="J42" s="29"/>
      <c r="K42" s="29"/>
      <c r="L42" s="29"/>
      <c r="M42" s="29"/>
      <c r="N42" s="29"/>
      <c r="O42" s="29"/>
      <c r="P42" s="29"/>
      <c r="Q42" s="29"/>
      <c r="R42" s="29"/>
      <c r="S42" s="29"/>
      <c r="T42" s="29"/>
      <c r="U42" s="29"/>
      <c r="V42" s="29"/>
      <c r="W42" s="29"/>
      <c r="X42" s="29"/>
      <c r="Y42" s="29"/>
      <c r="Z42" s="29"/>
      <c r="AA42" s="29"/>
      <c r="AB42" s="29"/>
      <c r="AC42" s="29"/>
      <c r="AD42" s="29"/>
      <c r="AE42" s="29"/>
      <c r="AF42" s="29"/>
      <c r="AG42" s="29"/>
      <c r="AH42" s="29"/>
      <c r="AI42" s="29"/>
      <c r="AJ42" s="29"/>
      <c r="AK42" s="29"/>
      <c r="AL42" s="29"/>
      <c r="AM42" s="29"/>
      <c r="AN42" s="29"/>
      <c r="AO42" s="29"/>
      <c r="AP42" s="29"/>
      <c r="AQ42" s="29"/>
      <c r="AR42" s="29"/>
      <c r="AS42" s="29"/>
      <c r="AT42" s="29"/>
      <c r="AU42" s="29"/>
      <c r="AV42" s="29"/>
      <c r="AW42" s="29"/>
      <c r="AX42" s="29"/>
      <c r="AY42" s="29"/>
      <c r="AZ42" s="29"/>
      <c r="BA42" s="29"/>
      <c r="BB42" s="29"/>
      <c r="BC42" s="29"/>
      <c r="BD42" s="29"/>
      <c r="BE42" s="29"/>
      <c r="BF42" s="29"/>
      <c r="BG42" s="29"/>
      <c r="BH42" s="29"/>
      <c r="BI42" s="29"/>
      <c r="BJ42" s="29"/>
      <c r="BK42" s="29"/>
      <c r="BL42" s="29"/>
      <c r="BM42" s="29"/>
      <c r="BN42" s="29"/>
      <c r="BO42" s="29"/>
      <c r="BP42" s="29"/>
      <c r="BQ42" s="29"/>
      <c r="BR42" s="29"/>
      <c r="BS42" s="29"/>
      <c r="BT42" s="29"/>
      <c r="BU42" s="29"/>
      <c r="BV42" s="29"/>
      <c r="BW42" s="29"/>
      <c r="BX42" s="29"/>
      <c r="BY42" s="29"/>
      <c r="BZ42" s="29"/>
      <c r="CA42" s="29"/>
      <c r="CB42" s="29"/>
    </row>
    <row r="43" spans="1:80" hidden="1" x14ac:dyDescent="0.25">
      <c r="A43" s="31" t="s">
        <v>1247</v>
      </c>
      <c r="B43" s="39" t="s">
        <v>1246</v>
      </c>
      <c r="C43" s="30" t="s">
        <v>847</v>
      </c>
      <c r="D43" s="30" t="s">
        <v>289</v>
      </c>
      <c r="E43" s="20" t="s">
        <v>1664</v>
      </c>
      <c r="F43" s="26" t="s">
        <v>1699</v>
      </c>
      <c r="G43" s="30"/>
      <c r="H43" s="30"/>
      <c r="I43" s="29" t="e">
        <f>VLOOKUP(B43,#REF!,2,FALSE)</f>
        <v>#REF!</v>
      </c>
      <c r="J43" s="2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29"/>
      <c r="BO43" s="29"/>
      <c r="BP43" s="29"/>
      <c r="BQ43" s="29"/>
      <c r="BR43" s="29"/>
      <c r="BS43" s="29"/>
      <c r="BT43" s="29"/>
      <c r="BU43" s="29"/>
      <c r="BV43" s="29"/>
      <c r="BW43" s="29"/>
      <c r="BX43" s="29"/>
      <c r="BY43" s="29"/>
      <c r="BZ43" s="29"/>
      <c r="CA43" s="29"/>
      <c r="CB43" s="29"/>
    </row>
    <row r="44" spans="1:80" hidden="1" x14ac:dyDescent="0.25">
      <c r="A44" s="31" t="s">
        <v>1175</v>
      </c>
      <c r="B44" s="39" t="s">
        <v>1174</v>
      </c>
      <c r="C44" s="30" t="s">
        <v>617</v>
      </c>
      <c r="D44" s="30" t="s">
        <v>289</v>
      </c>
      <c r="E44" s="20" t="s">
        <v>1664</v>
      </c>
      <c r="F44" s="26" t="s">
        <v>1702</v>
      </c>
      <c r="G44" s="30"/>
      <c r="H44" s="30"/>
      <c r="I44" s="29" t="e">
        <f>VLOOKUP(B44,#REF!,2,FALSE)</f>
        <v>#REF!</v>
      </c>
      <c r="J44" s="2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9"/>
      <c r="AJ44" s="29"/>
      <c r="AK44" s="29"/>
      <c r="AL44" s="29"/>
      <c r="AM44" s="29"/>
      <c r="AN44" s="29"/>
      <c r="AO44" s="29"/>
      <c r="AP44" s="29"/>
      <c r="AQ44" s="29"/>
      <c r="AR44" s="29"/>
      <c r="AS44" s="29"/>
      <c r="AT44" s="29"/>
      <c r="AU44" s="29"/>
      <c r="AV44" s="29"/>
      <c r="AW44" s="29"/>
      <c r="AX44" s="29"/>
      <c r="AY44" s="29"/>
      <c r="AZ44" s="29"/>
      <c r="BA44" s="29"/>
      <c r="BB44" s="29"/>
      <c r="BC44" s="29"/>
      <c r="BD44" s="29"/>
      <c r="BE44" s="29"/>
      <c r="BF44" s="29"/>
      <c r="BG44" s="29"/>
      <c r="BH44" s="29"/>
      <c r="BI44" s="29"/>
      <c r="BJ44" s="29"/>
      <c r="BK44" s="29"/>
      <c r="BL44" s="29"/>
      <c r="BM44" s="29"/>
      <c r="BN44" s="29"/>
      <c r="BO44" s="29"/>
      <c r="BP44" s="29"/>
      <c r="BQ44" s="29"/>
      <c r="BR44" s="29"/>
      <c r="BS44" s="29"/>
      <c r="BT44" s="29"/>
      <c r="BU44" s="29"/>
      <c r="BV44" s="29"/>
      <c r="BW44" s="29"/>
      <c r="BX44" s="29"/>
      <c r="BY44" s="29"/>
      <c r="BZ44" s="29"/>
      <c r="CA44" s="29"/>
      <c r="CB44" s="29"/>
    </row>
    <row r="45" spans="1:80" hidden="1" x14ac:dyDescent="0.25">
      <c r="A45" s="31" t="s">
        <v>1187</v>
      </c>
      <c r="B45" s="39" t="s">
        <v>1703</v>
      </c>
      <c r="C45" s="30" t="s">
        <v>1704</v>
      </c>
      <c r="D45" s="30" t="s">
        <v>289</v>
      </c>
      <c r="E45" s="20" t="s">
        <v>1664</v>
      </c>
      <c r="F45" s="26" t="s">
        <v>1702</v>
      </c>
      <c r="G45" s="30"/>
      <c r="H45" s="30"/>
      <c r="I45" s="29" t="e">
        <f>VLOOKUP(B45,#REF!,2,FALSE)</f>
        <v>#REF!</v>
      </c>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29"/>
      <c r="BA45" s="29"/>
      <c r="BB45" s="29"/>
      <c r="BC45" s="29"/>
      <c r="BD45" s="29"/>
      <c r="BE45" s="29"/>
      <c r="BF45" s="29"/>
      <c r="BG45" s="29"/>
      <c r="BH45" s="29"/>
      <c r="BI45" s="29"/>
      <c r="BJ45" s="29"/>
      <c r="BK45" s="29"/>
      <c r="BL45" s="29"/>
      <c r="BM45" s="29"/>
      <c r="BN45" s="29"/>
      <c r="BO45" s="29"/>
      <c r="BP45" s="29"/>
      <c r="BQ45" s="29"/>
      <c r="BR45" s="29"/>
      <c r="BS45" s="29"/>
      <c r="BT45" s="29"/>
      <c r="BU45" s="29"/>
      <c r="BV45" s="29"/>
      <c r="BW45" s="29"/>
      <c r="BX45" s="29"/>
      <c r="BY45" s="29"/>
      <c r="BZ45" s="29"/>
      <c r="CA45" s="29"/>
      <c r="CB45" s="29"/>
    </row>
    <row r="46" spans="1:80" hidden="1" x14ac:dyDescent="0.25">
      <c r="A46" s="31" t="s">
        <v>1195</v>
      </c>
      <c r="B46" s="39" t="s">
        <v>1194</v>
      </c>
      <c r="C46" s="30" t="s">
        <v>334</v>
      </c>
      <c r="D46" s="30" t="s">
        <v>289</v>
      </c>
      <c r="E46" s="20" t="s">
        <v>1664</v>
      </c>
      <c r="F46" s="26" t="s">
        <v>1702</v>
      </c>
      <c r="G46" s="30"/>
      <c r="H46" s="30"/>
      <c r="I46" s="29" t="e">
        <f>VLOOKUP(B46,#REF!,2,FALSE)</f>
        <v>#REF!</v>
      </c>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9"/>
      <c r="AM46" s="29"/>
      <c r="AN46" s="29"/>
      <c r="AO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c r="BW46" s="29"/>
      <c r="BX46" s="29"/>
      <c r="BY46" s="29"/>
      <c r="BZ46" s="29"/>
      <c r="CA46" s="29"/>
      <c r="CB46" s="29"/>
    </row>
    <row r="47" spans="1:80" hidden="1" x14ac:dyDescent="0.25">
      <c r="A47" s="31" t="s">
        <v>1198</v>
      </c>
      <c r="B47" s="39" t="s">
        <v>1197</v>
      </c>
      <c r="C47" s="30" t="s">
        <v>33</v>
      </c>
      <c r="D47" s="30" t="s">
        <v>289</v>
      </c>
      <c r="E47" s="20" t="s">
        <v>1664</v>
      </c>
      <c r="F47" s="26" t="s">
        <v>1702</v>
      </c>
      <c r="G47" s="30"/>
      <c r="H47" s="30"/>
      <c r="I47" s="29" t="e">
        <f>VLOOKUP(B47,#REF!,2,FALSE)</f>
        <v>#REF!</v>
      </c>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9"/>
      <c r="AM47" s="29"/>
      <c r="AN47" s="29"/>
      <c r="AO47" s="29"/>
      <c r="AP47" s="29"/>
      <c r="AQ47" s="29"/>
      <c r="AR47" s="29"/>
      <c r="AS47" s="29"/>
      <c r="AT47" s="29"/>
      <c r="AU47" s="29"/>
      <c r="AV47" s="29"/>
      <c r="AW47" s="29"/>
      <c r="AX47" s="29"/>
      <c r="AY47" s="29"/>
      <c r="AZ47" s="29"/>
      <c r="BA47" s="29"/>
      <c r="BB47" s="29"/>
      <c r="BC47" s="29"/>
      <c r="BD47" s="29"/>
      <c r="BE47" s="29"/>
      <c r="BF47" s="29"/>
      <c r="BG47" s="29"/>
      <c r="BH47" s="29"/>
      <c r="BI47" s="29"/>
      <c r="BJ47" s="29"/>
      <c r="BK47" s="29"/>
      <c r="BL47" s="29"/>
      <c r="BM47" s="29"/>
      <c r="BN47" s="29"/>
      <c r="BO47" s="29"/>
      <c r="BP47" s="29"/>
      <c r="BQ47" s="29"/>
      <c r="BR47" s="29"/>
      <c r="BS47" s="29"/>
      <c r="BT47" s="29"/>
      <c r="BU47" s="29"/>
      <c r="BV47" s="29"/>
      <c r="BW47" s="29"/>
      <c r="BX47" s="29"/>
      <c r="BY47" s="29"/>
      <c r="BZ47" s="29"/>
      <c r="CA47" s="29"/>
      <c r="CB47" s="29"/>
    </row>
    <row r="48" spans="1:80" hidden="1" x14ac:dyDescent="0.25">
      <c r="A48" s="31" t="s">
        <v>1202</v>
      </c>
      <c r="B48" s="39" t="s">
        <v>1201</v>
      </c>
      <c r="C48" s="30" t="s">
        <v>107</v>
      </c>
      <c r="D48" s="30" t="s">
        <v>289</v>
      </c>
      <c r="E48" s="20" t="s">
        <v>1664</v>
      </c>
      <c r="F48" s="26" t="s">
        <v>1702</v>
      </c>
      <c r="G48" s="30"/>
      <c r="H48" s="30"/>
      <c r="I48" s="29" t="e">
        <f>VLOOKUP(B48,#REF!,2,FALSE)</f>
        <v>#REF!</v>
      </c>
      <c r="J48" s="29"/>
      <c r="K48" s="29"/>
      <c r="L48" s="29"/>
      <c r="M48" s="29"/>
      <c r="N48" s="29"/>
      <c r="O48" s="29"/>
      <c r="P48" s="29"/>
      <c r="Q48" s="29"/>
      <c r="R48" s="29"/>
      <c r="S48" s="29"/>
      <c r="T48" s="29"/>
      <c r="U48" s="29"/>
      <c r="V48" s="29"/>
      <c r="W48" s="29"/>
      <c r="X48" s="29"/>
      <c r="Y48" s="29"/>
      <c r="Z48" s="29"/>
      <c r="AA48" s="29"/>
      <c r="AB48" s="29"/>
      <c r="AC48" s="29"/>
      <c r="AD48" s="29"/>
      <c r="AE48" s="29"/>
      <c r="AF48" s="29"/>
      <c r="AG48" s="29"/>
      <c r="AH48" s="29"/>
      <c r="AI48" s="29"/>
      <c r="AJ48" s="29"/>
      <c r="AK48" s="29"/>
      <c r="AL48" s="29"/>
      <c r="AM48" s="29"/>
      <c r="AN48" s="29"/>
      <c r="AO48" s="29"/>
      <c r="AP48" s="29"/>
      <c r="AQ48" s="29"/>
      <c r="AR48" s="29"/>
      <c r="AS48" s="29"/>
      <c r="AT48" s="29"/>
      <c r="AU48" s="29"/>
      <c r="AV48" s="29"/>
      <c r="AW48" s="29"/>
      <c r="AX48" s="29"/>
      <c r="AY48" s="29"/>
      <c r="AZ48" s="29"/>
      <c r="BA48" s="29"/>
      <c r="BB48" s="29"/>
      <c r="BC48" s="29"/>
      <c r="BD48" s="29"/>
      <c r="BE48" s="29"/>
      <c r="BF48" s="29"/>
      <c r="BG48" s="29"/>
      <c r="BH48" s="29"/>
      <c r="BI48" s="29"/>
      <c r="BJ48" s="29"/>
      <c r="BK48" s="29"/>
      <c r="BL48" s="29"/>
      <c r="BM48" s="29"/>
      <c r="BN48" s="29"/>
      <c r="BO48" s="29"/>
      <c r="BP48" s="29"/>
      <c r="BQ48" s="29"/>
      <c r="BR48" s="29"/>
      <c r="BS48" s="29"/>
      <c r="BT48" s="29"/>
      <c r="BU48" s="29"/>
      <c r="BV48" s="29"/>
      <c r="BW48" s="29"/>
      <c r="BX48" s="29"/>
      <c r="BY48" s="29"/>
      <c r="BZ48" s="29"/>
      <c r="CA48" s="29"/>
      <c r="CB48" s="29"/>
    </row>
    <row r="49" spans="1:80" hidden="1" x14ac:dyDescent="0.25">
      <c r="A49" s="31" t="s">
        <v>1204</v>
      </c>
      <c r="B49" s="39" t="s">
        <v>1705</v>
      </c>
      <c r="C49" s="30" t="s">
        <v>1706</v>
      </c>
      <c r="D49" s="30" t="s">
        <v>289</v>
      </c>
      <c r="E49" s="20" t="s">
        <v>1664</v>
      </c>
      <c r="F49" s="26" t="s">
        <v>1702</v>
      </c>
      <c r="G49" s="30"/>
      <c r="H49" s="30"/>
      <c r="I49" s="29" t="e">
        <f>VLOOKUP(B49,#REF!,2,FALSE)</f>
        <v>#REF!</v>
      </c>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row>
    <row r="50" spans="1:80" hidden="1" x14ac:dyDescent="0.25">
      <c r="A50" s="31" t="s">
        <v>1212</v>
      </c>
      <c r="B50" s="39" t="s">
        <v>1211</v>
      </c>
      <c r="C50" s="30" t="s">
        <v>148</v>
      </c>
      <c r="D50" s="30" t="s">
        <v>289</v>
      </c>
      <c r="E50" s="20" t="s">
        <v>1664</v>
      </c>
      <c r="F50" s="26" t="s">
        <v>1702</v>
      </c>
      <c r="G50" s="30"/>
      <c r="H50" s="30"/>
      <c r="I50" s="29" t="e">
        <f>VLOOKUP(B50,#REF!,2,FALSE)</f>
        <v>#REF!</v>
      </c>
      <c r="J50" s="2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29"/>
      <c r="BE50" s="29"/>
      <c r="BF50" s="29"/>
      <c r="BG50" s="29"/>
      <c r="BH50" s="29"/>
      <c r="BI50" s="29"/>
      <c r="BJ50" s="29"/>
      <c r="BK50" s="29"/>
      <c r="BL50" s="29"/>
      <c r="BM50" s="29"/>
      <c r="BN50" s="29"/>
      <c r="BO50" s="29"/>
      <c r="BP50" s="29"/>
      <c r="BQ50" s="29"/>
      <c r="BR50" s="29"/>
      <c r="BS50" s="29"/>
      <c r="BT50" s="29"/>
      <c r="BU50" s="29"/>
      <c r="BV50" s="29"/>
      <c r="BW50" s="29"/>
      <c r="BX50" s="29"/>
      <c r="BY50" s="29"/>
      <c r="BZ50" s="29"/>
      <c r="CA50" s="29"/>
      <c r="CB50" s="29"/>
    </row>
    <row r="51" spans="1:80" hidden="1" x14ac:dyDescent="0.25">
      <c r="A51" s="31" t="s">
        <v>1154</v>
      </c>
      <c r="B51" s="39" t="s">
        <v>27</v>
      </c>
      <c r="C51" s="30" t="s">
        <v>261</v>
      </c>
      <c r="D51" s="30" t="s">
        <v>10</v>
      </c>
      <c r="E51" s="20" t="s">
        <v>1664</v>
      </c>
      <c r="F51" s="26" t="s">
        <v>1702</v>
      </c>
      <c r="G51" s="30"/>
      <c r="H51" s="30"/>
      <c r="I51" s="29" t="e">
        <f>VLOOKUP(B51,#REF!,2,FALSE)</f>
        <v>#REF!</v>
      </c>
      <c r="J51" s="29"/>
      <c r="K51" s="29"/>
      <c r="L51" s="29"/>
      <c r="M51" s="29"/>
      <c r="N51" s="29"/>
      <c r="O51" s="29"/>
      <c r="P51" s="29"/>
      <c r="Q51" s="29"/>
      <c r="R51" s="29"/>
      <c r="S51" s="29"/>
      <c r="T51" s="29"/>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29"/>
      <c r="BE51" s="29"/>
      <c r="BF51" s="29"/>
      <c r="BG51" s="29"/>
      <c r="BH51" s="29"/>
      <c r="BI51" s="29"/>
      <c r="BJ51" s="29"/>
      <c r="BK51" s="29"/>
      <c r="BL51" s="29"/>
      <c r="BM51" s="29"/>
      <c r="BN51" s="29"/>
      <c r="BO51" s="29"/>
      <c r="BP51" s="29"/>
      <c r="BQ51" s="29"/>
      <c r="BR51" s="29"/>
      <c r="BS51" s="29"/>
      <c r="BT51" s="29"/>
      <c r="BU51" s="29"/>
      <c r="BV51" s="29"/>
      <c r="BW51" s="29"/>
      <c r="BX51" s="29"/>
      <c r="BY51" s="29"/>
      <c r="BZ51" s="29"/>
      <c r="CA51" s="29"/>
      <c r="CB51" s="29"/>
    </row>
    <row r="52" spans="1:80" hidden="1" x14ac:dyDescent="0.25">
      <c r="A52" s="31" t="s">
        <v>1238</v>
      </c>
      <c r="B52" s="39" t="s">
        <v>1237</v>
      </c>
      <c r="C52" s="30" t="s">
        <v>954</v>
      </c>
      <c r="D52" s="30" t="s">
        <v>289</v>
      </c>
      <c r="E52" s="20" t="s">
        <v>1664</v>
      </c>
      <c r="F52" s="26" t="s">
        <v>1702</v>
      </c>
      <c r="G52" s="30"/>
      <c r="H52" s="30"/>
      <c r="I52" s="29" t="e">
        <f>VLOOKUP(B52,#REF!,2,FALSE)</f>
        <v>#REF!</v>
      </c>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c r="BR52" s="29"/>
      <c r="BS52" s="29"/>
      <c r="BT52" s="29"/>
      <c r="BU52" s="29"/>
      <c r="BV52" s="29"/>
      <c r="BW52" s="29"/>
      <c r="BX52" s="29"/>
      <c r="BY52" s="29"/>
      <c r="BZ52" s="29"/>
      <c r="CA52" s="29"/>
      <c r="CB52" s="29"/>
    </row>
    <row r="53" spans="1:80" hidden="1" x14ac:dyDescent="0.25">
      <c r="A53" s="31" t="s">
        <v>1245</v>
      </c>
      <c r="B53" s="39" t="s">
        <v>1707</v>
      </c>
      <c r="C53" s="30" t="s">
        <v>1708</v>
      </c>
      <c r="D53" s="30" t="s">
        <v>289</v>
      </c>
      <c r="E53" s="20" t="s">
        <v>1664</v>
      </c>
      <c r="F53" s="26" t="s">
        <v>1702</v>
      </c>
      <c r="G53" s="30"/>
      <c r="H53" s="30"/>
      <c r="I53" s="29" t="e">
        <f>VLOOKUP(B53,#REF!,2,FALSE)</f>
        <v>#REF!</v>
      </c>
      <c r="J53" s="29"/>
      <c r="K53" s="29"/>
      <c r="L53" s="29"/>
      <c r="M53" s="29"/>
      <c r="N53" s="29"/>
      <c r="O53" s="29"/>
      <c r="P53" s="29"/>
      <c r="Q53" s="29"/>
      <c r="R53" s="29"/>
      <c r="S53" s="29"/>
      <c r="T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S53" s="29"/>
      <c r="AT53" s="29"/>
      <c r="AU53" s="29"/>
      <c r="AV53" s="29"/>
      <c r="AW53" s="29"/>
      <c r="AX53" s="29"/>
      <c r="AY53" s="29"/>
      <c r="AZ53" s="29"/>
      <c r="BA53" s="29"/>
      <c r="BB53" s="29"/>
      <c r="BC53" s="29"/>
      <c r="BD53" s="29"/>
      <c r="BE53" s="29"/>
      <c r="BF53" s="29"/>
      <c r="BG53" s="29"/>
      <c r="BH53" s="29"/>
      <c r="BI53" s="29"/>
      <c r="BJ53" s="29"/>
      <c r="BK53" s="29"/>
      <c r="BL53" s="29"/>
      <c r="BM53" s="29"/>
      <c r="BN53" s="29"/>
      <c r="BO53" s="29"/>
      <c r="BP53" s="29"/>
      <c r="BQ53" s="29"/>
      <c r="BR53" s="29"/>
      <c r="BS53" s="29"/>
      <c r="BT53" s="29"/>
      <c r="BU53" s="29"/>
      <c r="BV53" s="29"/>
      <c r="BW53" s="29"/>
      <c r="BX53" s="29"/>
      <c r="BY53" s="29"/>
      <c r="BZ53" s="29"/>
      <c r="CA53" s="29"/>
      <c r="CB53" s="29"/>
    </row>
    <row r="54" spans="1:80" hidden="1" x14ac:dyDescent="0.25">
      <c r="A54" s="31" t="s">
        <v>1397</v>
      </c>
      <c r="B54" s="39" t="s">
        <v>1396</v>
      </c>
      <c r="C54" s="30" t="s">
        <v>119</v>
      </c>
      <c r="D54" s="30" t="s">
        <v>52</v>
      </c>
      <c r="E54" s="20" t="s">
        <v>1709</v>
      </c>
      <c r="F54" s="26" t="s">
        <v>1710</v>
      </c>
      <c r="G54" s="36"/>
      <c r="H54" s="36" t="s">
        <v>52</v>
      </c>
      <c r="I54" s="29" t="e">
        <f>VLOOKUP(B54,#REF!,2,FALSE)</f>
        <v>#REF!</v>
      </c>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row>
    <row r="55" spans="1:80" hidden="1" x14ac:dyDescent="0.25">
      <c r="A55" s="31" t="s">
        <v>1254</v>
      </c>
      <c r="B55" s="39" t="s">
        <v>1253</v>
      </c>
      <c r="C55" s="30" t="s">
        <v>33</v>
      </c>
      <c r="D55" s="30" t="s">
        <v>10</v>
      </c>
      <c r="E55" s="20" t="s">
        <v>1709</v>
      </c>
      <c r="F55" s="26" t="s">
        <v>1710</v>
      </c>
      <c r="G55" s="36"/>
      <c r="H55" s="36"/>
      <c r="I55" s="29" t="e">
        <f>VLOOKUP(B55,#REF!,2,FALSE)</f>
        <v>#REF!</v>
      </c>
      <c r="J55" s="29"/>
      <c r="K55" s="29"/>
      <c r="L55" s="29"/>
      <c r="M55" s="29"/>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c r="BJ55" s="29"/>
      <c r="BK55" s="29"/>
      <c r="BL55" s="29"/>
      <c r="BM55" s="29"/>
      <c r="BN55" s="29"/>
      <c r="BO55" s="29"/>
      <c r="BP55" s="29"/>
      <c r="BQ55" s="29"/>
      <c r="BR55" s="29"/>
      <c r="BS55" s="29"/>
      <c r="BT55" s="29"/>
      <c r="BU55" s="29"/>
      <c r="BV55" s="29"/>
      <c r="BW55" s="29"/>
      <c r="BX55" s="29"/>
      <c r="BY55" s="29"/>
      <c r="BZ55" s="29"/>
      <c r="CA55" s="29"/>
      <c r="CB55" s="29"/>
    </row>
    <row r="56" spans="1:80" hidden="1" x14ac:dyDescent="0.25">
      <c r="A56" s="31" t="s">
        <v>1381</v>
      </c>
      <c r="B56" s="39" t="s">
        <v>1380</v>
      </c>
      <c r="C56" s="30" t="s">
        <v>107</v>
      </c>
      <c r="D56" s="30" t="s">
        <v>18</v>
      </c>
      <c r="E56" s="20" t="s">
        <v>1709</v>
      </c>
      <c r="F56" s="26" t="s">
        <v>1710</v>
      </c>
      <c r="G56" s="36"/>
      <c r="H56" s="36"/>
      <c r="I56" s="29" t="e">
        <f>VLOOKUP(B56,#REF!,2,FALSE)</f>
        <v>#REF!</v>
      </c>
      <c r="J56" s="29"/>
      <c r="K56" s="29"/>
      <c r="L56" s="29"/>
      <c r="M56" s="29"/>
      <c r="N56" s="29"/>
      <c r="O56" s="29"/>
      <c r="P56" s="29"/>
      <c r="Q56" s="29"/>
      <c r="R56" s="29"/>
      <c r="S56" s="29"/>
      <c r="T56" s="29"/>
      <c r="U56" s="29"/>
      <c r="V56" s="29"/>
      <c r="W56" s="29"/>
      <c r="X56" s="29"/>
      <c r="Y56" s="29"/>
      <c r="Z56" s="29"/>
      <c r="AA56" s="29"/>
      <c r="AB56" s="29"/>
      <c r="AC56" s="29"/>
      <c r="AD56" s="29"/>
      <c r="AE56" s="29"/>
      <c r="AF56" s="29"/>
      <c r="AG56" s="29"/>
      <c r="AH56" s="29"/>
      <c r="AI56" s="29"/>
      <c r="AJ56" s="29"/>
      <c r="AK56" s="29"/>
      <c r="AL56" s="29"/>
      <c r="AM56" s="29"/>
      <c r="AN56" s="29"/>
      <c r="AO56" s="29"/>
      <c r="AP56" s="29"/>
      <c r="AQ56" s="29"/>
      <c r="AR56" s="29"/>
      <c r="AS56" s="29"/>
      <c r="AT56" s="29"/>
      <c r="AU56" s="29"/>
      <c r="AV56" s="29"/>
      <c r="AW56" s="29"/>
      <c r="AX56" s="29"/>
      <c r="AY56" s="29"/>
      <c r="AZ56" s="29"/>
      <c r="BA56" s="29"/>
      <c r="BB56" s="29"/>
      <c r="BC56" s="29"/>
      <c r="BD56" s="29"/>
      <c r="BE56" s="29"/>
      <c r="BF56" s="29"/>
      <c r="BG56" s="29"/>
      <c r="BH56" s="29"/>
      <c r="BI56" s="29"/>
      <c r="BJ56" s="29"/>
      <c r="BK56" s="29"/>
      <c r="BL56" s="29"/>
      <c r="BM56" s="29"/>
      <c r="BN56" s="29"/>
      <c r="BO56" s="29"/>
      <c r="BP56" s="29"/>
      <c r="BQ56" s="29"/>
      <c r="BR56" s="29"/>
      <c r="BS56" s="29"/>
      <c r="BT56" s="29"/>
      <c r="BU56" s="29"/>
      <c r="BV56" s="29"/>
      <c r="BW56" s="29"/>
      <c r="BX56" s="29"/>
      <c r="BY56" s="29"/>
      <c r="BZ56" s="29"/>
      <c r="CA56" s="29"/>
      <c r="CB56" s="29"/>
    </row>
    <row r="57" spans="1:80" hidden="1" x14ac:dyDescent="0.25">
      <c r="A57" s="31" t="s">
        <v>1354</v>
      </c>
      <c r="B57" s="39" t="s">
        <v>1352</v>
      </c>
      <c r="C57" s="30" t="s">
        <v>179</v>
      </c>
      <c r="D57" s="30" t="s">
        <v>14</v>
      </c>
      <c r="E57" s="20" t="s">
        <v>1709</v>
      </c>
      <c r="F57" s="26" t="s">
        <v>1710</v>
      </c>
      <c r="G57" s="36"/>
      <c r="H57" s="36"/>
      <c r="I57" s="29" t="e">
        <f>VLOOKUP(B57,#REF!,2,FALSE)</f>
        <v>#REF!</v>
      </c>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9"/>
      <c r="BM57" s="29"/>
      <c r="BN57" s="29"/>
      <c r="BO57" s="29"/>
      <c r="BP57" s="29"/>
      <c r="BQ57" s="29"/>
      <c r="BR57" s="29"/>
      <c r="BS57" s="29"/>
      <c r="BT57" s="29"/>
      <c r="BU57" s="29"/>
      <c r="BV57" s="29"/>
      <c r="BW57" s="29"/>
      <c r="BX57" s="29"/>
      <c r="BY57" s="29"/>
      <c r="BZ57" s="29"/>
      <c r="CA57" s="29"/>
      <c r="CB57" s="29"/>
    </row>
    <row r="58" spans="1:80" hidden="1" x14ac:dyDescent="0.25">
      <c r="A58" s="31" t="s">
        <v>1521</v>
      </c>
      <c r="B58" s="39" t="s">
        <v>1711</v>
      </c>
      <c r="C58" s="30" t="s">
        <v>1712</v>
      </c>
      <c r="D58" s="30" t="s">
        <v>78</v>
      </c>
      <c r="E58" s="20" t="s">
        <v>1709</v>
      </c>
      <c r="F58" s="26" t="s">
        <v>1710</v>
      </c>
      <c r="G58" s="36"/>
      <c r="H58" s="36"/>
      <c r="I58" s="29" t="e">
        <f>VLOOKUP(B58,#REF!,2,FALSE)</f>
        <v>#REF!</v>
      </c>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S58" s="29"/>
      <c r="AT58" s="29"/>
      <c r="AU58" s="29"/>
      <c r="AV58" s="29"/>
      <c r="AW58" s="29"/>
      <c r="AX58" s="29"/>
      <c r="AY58" s="29"/>
      <c r="AZ58" s="29"/>
      <c r="BA58" s="29"/>
      <c r="BB58" s="29"/>
      <c r="BC58" s="29"/>
      <c r="BD58" s="29"/>
      <c r="BE58" s="29"/>
      <c r="BF58" s="29"/>
      <c r="BG58" s="29"/>
      <c r="BH58" s="29"/>
      <c r="BI58" s="29"/>
      <c r="BJ58" s="29"/>
      <c r="BK58" s="29"/>
      <c r="BL58" s="29"/>
      <c r="BM58" s="29"/>
      <c r="BN58" s="29"/>
      <c r="BO58" s="29"/>
      <c r="BP58" s="29"/>
      <c r="BQ58" s="29"/>
      <c r="BR58" s="29"/>
      <c r="BS58" s="29"/>
      <c r="BT58" s="29"/>
      <c r="BU58" s="29"/>
      <c r="BV58" s="29"/>
      <c r="BW58" s="29"/>
      <c r="BX58" s="29"/>
      <c r="BY58" s="29"/>
      <c r="BZ58" s="29"/>
      <c r="CA58" s="29"/>
      <c r="CB58" s="29"/>
    </row>
    <row r="59" spans="1:80" hidden="1" x14ac:dyDescent="0.25">
      <c r="A59" s="31" t="s">
        <v>1526</v>
      </c>
      <c r="B59" s="39" t="s">
        <v>1525</v>
      </c>
      <c r="C59" s="30" t="s">
        <v>107</v>
      </c>
      <c r="D59" s="30" t="s">
        <v>52</v>
      </c>
      <c r="E59" s="20" t="s">
        <v>1709</v>
      </c>
      <c r="F59" s="26" t="s">
        <v>1710</v>
      </c>
      <c r="G59" s="36"/>
      <c r="H59" s="36"/>
      <c r="I59" s="29" t="e">
        <f>VLOOKUP(B59,#REF!,2,FALSE)</f>
        <v>#REF!</v>
      </c>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9"/>
      <c r="BS59" s="29"/>
      <c r="BT59" s="29"/>
      <c r="BU59" s="29"/>
      <c r="BV59" s="29"/>
      <c r="BW59" s="29"/>
      <c r="BX59" s="29"/>
      <c r="BY59" s="29"/>
      <c r="BZ59" s="29"/>
      <c r="CA59" s="29"/>
      <c r="CB59" s="29"/>
    </row>
    <row r="60" spans="1:80" hidden="1" x14ac:dyDescent="0.25">
      <c r="A60" s="31" t="s">
        <v>1412</v>
      </c>
      <c r="B60" s="39" t="s">
        <v>1411</v>
      </c>
      <c r="C60" s="30" t="s">
        <v>362</v>
      </c>
      <c r="D60" s="30" t="s">
        <v>52</v>
      </c>
      <c r="E60" s="20" t="s">
        <v>1709</v>
      </c>
      <c r="F60" s="26" t="s">
        <v>1713</v>
      </c>
      <c r="G60" s="36"/>
      <c r="H60" s="36"/>
      <c r="I60" s="29" t="e">
        <f>VLOOKUP(B60,#REF!,2,FALSE)</f>
        <v>#REF!</v>
      </c>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c r="AT60" s="29"/>
      <c r="AU60" s="29"/>
      <c r="AV60" s="29"/>
      <c r="AW60" s="29"/>
      <c r="AX60" s="29"/>
      <c r="AY60" s="29"/>
      <c r="AZ60" s="29"/>
      <c r="BA60" s="29"/>
      <c r="BB60" s="29"/>
      <c r="BC60" s="29"/>
      <c r="BD60" s="29"/>
      <c r="BE60" s="29"/>
      <c r="BF60" s="29"/>
      <c r="BG60" s="29"/>
      <c r="BH60" s="29"/>
      <c r="BI60" s="29"/>
      <c r="BJ60" s="29"/>
      <c r="BK60" s="29"/>
      <c r="BL60" s="29"/>
      <c r="BM60" s="29"/>
      <c r="BN60" s="29"/>
      <c r="BO60" s="29"/>
      <c r="BP60" s="29"/>
      <c r="BQ60" s="29"/>
      <c r="BR60" s="29"/>
      <c r="BS60" s="29"/>
      <c r="BT60" s="29"/>
      <c r="BU60" s="29"/>
      <c r="BV60" s="29"/>
      <c r="BW60" s="29"/>
      <c r="BX60" s="29"/>
      <c r="BY60" s="29"/>
      <c r="BZ60" s="29"/>
      <c r="CA60" s="29"/>
      <c r="CB60" s="29"/>
    </row>
    <row r="61" spans="1:80" hidden="1" x14ac:dyDescent="0.25">
      <c r="A61" s="31" t="s">
        <v>1417</v>
      </c>
      <c r="B61" s="39" t="s">
        <v>1416</v>
      </c>
      <c r="C61" s="30" t="s">
        <v>25</v>
      </c>
      <c r="D61" s="30" t="s">
        <v>52</v>
      </c>
      <c r="E61" s="20" t="s">
        <v>1709</v>
      </c>
      <c r="F61" s="26" t="s">
        <v>1713</v>
      </c>
      <c r="G61" s="36"/>
      <c r="H61" s="36"/>
      <c r="I61" s="29" t="e">
        <f>VLOOKUP(B61,#REF!,2,FALSE)</f>
        <v>#REF!</v>
      </c>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c r="AT61" s="29"/>
      <c r="AU61" s="29"/>
      <c r="AV61" s="29"/>
      <c r="AW61" s="29"/>
      <c r="AX61" s="29"/>
      <c r="AY61" s="29"/>
      <c r="AZ61" s="29"/>
      <c r="BA61" s="29"/>
      <c r="BB61" s="29"/>
      <c r="BC61" s="29"/>
      <c r="BD61" s="29"/>
      <c r="BE61" s="29"/>
      <c r="BF61" s="29"/>
      <c r="BG61" s="29"/>
      <c r="BH61" s="29"/>
      <c r="BI61" s="29"/>
      <c r="BJ61" s="29"/>
      <c r="BK61" s="29"/>
      <c r="BL61" s="29"/>
      <c r="BM61" s="29"/>
      <c r="BN61" s="29"/>
      <c r="BO61" s="29"/>
      <c r="BP61" s="29"/>
      <c r="BQ61" s="29"/>
      <c r="BR61" s="29"/>
      <c r="BS61" s="29"/>
      <c r="BT61" s="29"/>
      <c r="BU61" s="29"/>
      <c r="BV61" s="29"/>
      <c r="BW61" s="29"/>
      <c r="BX61" s="29"/>
      <c r="BY61" s="29"/>
      <c r="BZ61" s="29"/>
      <c r="CA61" s="29"/>
      <c r="CB61" s="29"/>
    </row>
    <row r="62" spans="1:80" hidden="1" x14ac:dyDescent="0.25">
      <c r="A62" s="31" t="s">
        <v>1435</v>
      </c>
      <c r="B62" s="39" t="s">
        <v>1433</v>
      </c>
      <c r="C62" s="30" t="s">
        <v>1434</v>
      </c>
      <c r="D62" s="30" t="s">
        <v>52</v>
      </c>
      <c r="E62" s="20" t="s">
        <v>1709</v>
      </c>
      <c r="F62" s="26" t="s">
        <v>1713</v>
      </c>
      <c r="G62" s="36"/>
      <c r="H62" s="36"/>
      <c r="I62" s="29" t="e">
        <f>VLOOKUP(B62,#REF!,2,FALSE)</f>
        <v>#REF!</v>
      </c>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row>
    <row r="63" spans="1:80" hidden="1" x14ac:dyDescent="0.25">
      <c r="A63" s="31" t="s">
        <v>1438</v>
      </c>
      <c r="B63" s="39" t="s">
        <v>1437</v>
      </c>
      <c r="C63" s="30" t="s">
        <v>119</v>
      </c>
      <c r="D63" s="30" t="s">
        <v>52</v>
      </c>
      <c r="E63" s="20" t="s">
        <v>1709</v>
      </c>
      <c r="F63" s="26" t="s">
        <v>1713</v>
      </c>
      <c r="G63" s="36"/>
      <c r="H63" s="36"/>
      <c r="I63" s="29" t="e">
        <f>VLOOKUP(B63,#REF!,2,FALSE)</f>
        <v>#REF!</v>
      </c>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c r="BU63" s="29"/>
      <c r="BV63" s="29"/>
      <c r="BW63" s="29"/>
      <c r="BX63" s="29"/>
      <c r="BY63" s="29"/>
      <c r="BZ63" s="29"/>
      <c r="CA63" s="29"/>
      <c r="CB63" s="29"/>
    </row>
    <row r="64" spans="1:80" hidden="1" x14ac:dyDescent="0.25">
      <c r="A64" s="33" t="s">
        <v>1444</v>
      </c>
      <c r="B64" s="38" t="s">
        <v>1443</v>
      </c>
      <c r="C64" s="32" t="s">
        <v>104</v>
      </c>
      <c r="D64" s="32" t="s">
        <v>605</v>
      </c>
      <c r="E64" s="21" t="s">
        <v>1709</v>
      </c>
      <c r="F64" s="25" t="s">
        <v>1713</v>
      </c>
      <c r="G64" s="37"/>
      <c r="H64" s="37"/>
      <c r="I64" s="29" t="e">
        <f>VLOOKUP(B64,#REF!,2,FALSE)</f>
        <v>#REF!</v>
      </c>
      <c r="J64" s="29"/>
      <c r="K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9"/>
      <c r="AT64" s="29"/>
      <c r="AU64" s="29"/>
      <c r="AV64" s="29"/>
      <c r="AW64" s="29"/>
      <c r="AX64" s="29"/>
      <c r="AY64" s="29"/>
      <c r="AZ64" s="29"/>
      <c r="BA64" s="29"/>
      <c r="BB64" s="29"/>
      <c r="BC64" s="29"/>
      <c r="BD64" s="29"/>
      <c r="BE64" s="29"/>
      <c r="BF64" s="29"/>
      <c r="BG64" s="29"/>
      <c r="BH64" s="29"/>
      <c r="BI64" s="29"/>
      <c r="BJ64" s="29"/>
      <c r="BK64" s="29"/>
      <c r="BL64" s="29"/>
      <c r="BM64" s="29"/>
      <c r="BN64" s="29"/>
      <c r="BO64" s="29"/>
      <c r="BP64" s="29"/>
      <c r="BQ64" s="29"/>
      <c r="BR64" s="29"/>
      <c r="BS64" s="29"/>
      <c r="BT64" s="29"/>
      <c r="BU64" s="29"/>
      <c r="BV64" s="29"/>
      <c r="BW64" s="29"/>
      <c r="BX64" s="29"/>
      <c r="BY64" s="29"/>
      <c r="BZ64" s="29"/>
      <c r="CA64" s="29"/>
      <c r="CB64" s="29"/>
    </row>
    <row r="65" spans="1:80" hidden="1" x14ac:dyDescent="0.25">
      <c r="A65" s="31" t="s">
        <v>1457</v>
      </c>
      <c r="B65" s="39" t="s">
        <v>1456</v>
      </c>
      <c r="C65" s="30" t="s">
        <v>334</v>
      </c>
      <c r="D65" s="30" t="s">
        <v>97</v>
      </c>
      <c r="E65" s="20" t="s">
        <v>1709</v>
      </c>
      <c r="F65" s="26" t="s">
        <v>1713</v>
      </c>
      <c r="G65" s="36"/>
      <c r="H65" s="36"/>
      <c r="I65" s="29" t="e">
        <f>VLOOKUP(B65,#REF!,2,FALSE)</f>
        <v>#REF!</v>
      </c>
      <c r="J65" s="29"/>
      <c r="K65" s="29"/>
      <c r="L65" s="29"/>
      <c r="M65" s="29"/>
      <c r="N65" s="29"/>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c r="BU65" s="29"/>
      <c r="BV65" s="29"/>
      <c r="BW65" s="29"/>
      <c r="BX65" s="29"/>
      <c r="BY65" s="29"/>
      <c r="BZ65" s="29"/>
      <c r="CA65" s="29"/>
      <c r="CB65" s="29"/>
    </row>
    <row r="66" spans="1:80" hidden="1" x14ac:dyDescent="0.25">
      <c r="A66" s="31" t="s">
        <v>1384</v>
      </c>
      <c r="B66" s="39" t="s">
        <v>1383</v>
      </c>
      <c r="C66" s="30" t="s">
        <v>412</v>
      </c>
      <c r="D66" s="30" t="s">
        <v>10</v>
      </c>
      <c r="E66" s="20" t="s">
        <v>1709</v>
      </c>
      <c r="F66" s="26" t="s">
        <v>1713</v>
      </c>
      <c r="G66" s="36"/>
      <c r="H66" s="36"/>
      <c r="I66" s="29" t="e">
        <f>VLOOKUP(B66,#REF!,2,FALSE)</f>
        <v>#REF!</v>
      </c>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row>
    <row r="67" spans="1:80" hidden="1" x14ac:dyDescent="0.25">
      <c r="A67" s="31" t="s">
        <v>1478</v>
      </c>
      <c r="B67" s="39" t="s">
        <v>1476</v>
      </c>
      <c r="C67" s="30" t="s">
        <v>1477</v>
      </c>
      <c r="D67" s="30" t="s">
        <v>52</v>
      </c>
      <c r="E67" s="20" t="s">
        <v>1709</v>
      </c>
      <c r="F67" s="26" t="s">
        <v>1713</v>
      </c>
      <c r="G67" s="36"/>
      <c r="H67" s="36"/>
      <c r="I67" s="29" t="e">
        <f>VLOOKUP(B67,#REF!,2,FALSE)</f>
        <v>#REF!</v>
      </c>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29"/>
      <c r="AV67" s="29"/>
      <c r="AW67" s="29"/>
      <c r="AX67" s="29"/>
      <c r="AY67" s="29"/>
      <c r="AZ67" s="29"/>
      <c r="BA67" s="29"/>
      <c r="BB67" s="29"/>
      <c r="BC67" s="29"/>
      <c r="BD67" s="29"/>
      <c r="BE67" s="29"/>
      <c r="BF67" s="29"/>
      <c r="BG67" s="29"/>
      <c r="BH67" s="29"/>
      <c r="BI67" s="29"/>
      <c r="BJ67" s="29"/>
      <c r="BK67" s="29"/>
      <c r="BL67" s="29"/>
      <c r="BM67" s="29"/>
      <c r="BN67" s="29"/>
      <c r="BO67" s="29"/>
      <c r="BP67" s="29"/>
      <c r="BQ67" s="29"/>
      <c r="BR67" s="29"/>
      <c r="BS67" s="29"/>
      <c r="BT67" s="29"/>
      <c r="BU67" s="29"/>
      <c r="BV67" s="29"/>
      <c r="BW67" s="29"/>
      <c r="BX67" s="29"/>
      <c r="BY67" s="29"/>
      <c r="BZ67" s="29"/>
      <c r="CA67" s="29"/>
      <c r="CB67" s="29"/>
    </row>
    <row r="68" spans="1:80" x14ac:dyDescent="0.25">
      <c r="A68" s="31" t="s">
        <v>1714</v>
      </c>
      <c r="B68" s="39" t="s">
        <v>1715</v>
      </c>
      <c r="C68" s="30" t="s">
        <v>15</v>
      </c>
      <c r="D68" s="30" t="s">
        <v>78</v>
      </c>
      <c r="E68" s="20" t="s">
        <v>1709</v>
      </c>
      <c r="F68" s="26" t="s">
        <v>1713</v>
      </c>
      <c r="G68" s="36"/>
      <c r="H68" s="36"/>
      <c r="I68" s="29" t="e">
        <f>VLOOKUP(B68,#REF!,2,FALSE)</f>
        <v>#REF!</v>
      </c>
      <c r="J68" s="29"/>
      <c r="K68" s="29"/>
      <c r="L68" s="29"/>
      <c r="M68" s="29"/>
      <c r="N68" s="29"/>
      <c r="O68" s="29"/>
      <c r="P68" s="29"/>
      <c r="Q68" s="29"/>
      <c r="R68" s="29"/>
      <c r="S68" s="29"/>
      <c r="T68" s="29"/>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S68" s="29"/>
      <c r="AT68" s="29"/>
      <c r="AU68" s="29"/>
      <c r="AV68" s="29"/>
      <c r="AW68" s="29"/>
      <c r="AX68" s="29"/>
      <c r="AY68" s="29"/>
      <c r="AZ68" s="29"/>
      <c r="BA68" s="29"/>
      <c r="BB68" s="29"/>
      <c r="BC68" s="29"/>
      <c r="BD68" s="29"/>
      <c r="BE68" s="29"/>
      <c r="BF68" s="29"/>
      <c r="BG68" s="29"/>
      <c r="BH68" s="29"/>
      <c r="BI68" s="29"/>
      <c r="BJ68" s="29"/>
      <c r="BK68" s="29"/>
      <c r="BL68" s="29"/>
      <c r="BM68" s="29"/>
      <c r="BN68" s="29"/>
      <c r="BO68" s="29"/>
      <c r="BP68" s="29"/>
      <c r="BQ68" s="29"/>
      <c r="BR68" s="29"/>
      <c r="BS68" s="29"/>
      <c r="BT68" s="29"/>
      <c r="BU68" s="29"/>
      <c r="BV68" s="29"/>
      <c r="BW68" s="29"/>
      <c r="BX68" s="29"/>
      <c r="BY68" s="29"/>
      <c r="BZ68" s="29"/>
      <c r="CA68" s="29"/>
      <c r="CB68" s="29"/>
    </row>
    <row r="69" spans="1:80" hidden="1" x14ac:dyDescent="0.25">
      <c r="A69" s="31" t="s">
        <v>1488</v>
      </c>
      <c r="B69" s="39" t="s">
        <v>1487</v>
      </c>
      <c r="C69" s="30" t="s">
        <v>173</v>
      </c>
      <c r="D69" s="30" t="s">
        <v>52</v>
      </c>
      <c r="E69" s="20" t="s">
        <v>1709</v>
      </c>
      <c r="F69" s="26" t="s">
        <v>1713</v>
      </c>
      <c r="G69" s="36"/>
      <c r="H69" s="36"/>
      <c r="I69" s="29" t="e">
        <f>VLOOKUP(B69,#REF!,2,FALSE)</f>
        <v>#REF!</v>
      </c>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row>
    <row r="70" spans="1:80" hidden="1" x14ac:dyDescent="0.25">
      <c r="A70" s="31" t="s">
        <v>1502</v>
      </c>
      <c r="B70" s="39" t="s">
        <v>1501</v>
      </c>
      <c r="C70" s="30" t="s">
        <v>107</v>
      </c>
      <c r="D70" s="30" t="s">
        <v>52</v>
      </c>
      <c r="E70" s="20" t="s">
        <v>1709</v>
      </c>
      <c r="F70" s="26" t="s">
        <v>1713</v>
      </c>
      <c r="G70" s="36"/>
      <c r="H70" s="36"/>
      <c r="I70" s="29" t="e">
        <f>VLOOKUP(B70,#REF!,2,FALSE)</f>
        <v>#REF!</v>
      </c>
      <c r="J70" s="29"/>
      <c r="K70" s="29"/>
      <c r="L70" s="29"/>
      <c r="M70" s="29"/>
      <c r="N70" s="29"/>
      <c r="O70" s="29"/>
      <c r="P70" s="29"/>
      <c r="Q70" s="29"/>
      <c r="R70" s="29"/>
      <c r="S70" s="29"/>
      <c r="T70" s="29"/>
      <c r="U70" s="29"/>
      <c r="V70" s="29"/>
      <c r="W70" s="29"/>
      <c r="X70" s="29"/>
      <c r="Y70" s="29"/>
      <c r="Z70" s="29"/>
      <c r="AA70" s="29"/>
      <c r="AB70" s="29"/>
      <c r="AC70" s="29"/>
      <c r="AD70" s="29"/>
      <c r="AE70" s="29"/>
      <c r="AF70" s="29"/>
      <c r="AG70" s="29"/>
      <c r="AH70" s="29"/>
      <c r="AI70" s="29"/>
      <c r="AJ70" s="29"/>
      <c r="AK70" s="29"/>
      <c r="AL70" s="29"/>
      <c r="AM70" s="29"/>
      <c r="AN70" s="29"/>
      <c r="AO70" s="29"/>
      <c r="AP70" s="29"/>
      <c r="AQ70" s="29"/>
      <c r="AR70" s="29"/>
      <c r="AS70" s="29"/>
      <c r="AT70" s="29"/>
      <c r="AU70" s="29"/>
      <c r="AV70" s="29"/>
      <c r="AW70" s="29"/>
      <c r="AX70" s="29"/>
      <c r="AY70" s="29"/>
      <c r="AZ70" s="29"/>
      <c r="BA70" s="29"/>
      <c r="BB70" s="29"/>
      <c r="BC70" s="29"/>
      <c r="BD70" s="29"/>
      <c r="BE70" s="29"/>
      <c r="BF70" s="29"/>
      <c r="BG70" s="29"/>
      <c r="BH70" s="29"/>
      <c r="BI70" s="29"/>
      <c r="BJ70" s="29"/>
      <c r="BK70" s="29"/>
      <c r="BL70" s="29"/>
      <c r="BM70" s="29"/>
      <c r="BN70" s="29"/>
      <c r="BO70" s="29"/>
      <c r="BP70" s="29"/>
      <c r="BQ70" s="29"/>
      <c r="BR70" s="29"/>
      <c r="BS70" s="29"/>
      <c r="BT70" s="29"/>
      <c r="BU70" s="29"/>
      <c r="BV70" s="29"/>
      <c r="BW70" s="29"/>
      <c r="BX70" s="29"/>
      <c r="BY70" s="29"/>
      <c r="BZ70" s="29"/>
      <c r="CA70" s="29"/>
      <c r="CB70" s="29"/>
    </row>
    <row r="71" spans="1:80" hidden="1" x14ac:dyDescent="0.25">
      <c r="A71" s="31" t="s">
        <v>1566</v>
      </c>
      <c r="B71" s="39" t="s">
        <v>1565</v>
      </c>
      <c r="C71" s="30" t="s">
        <v>55</v>
      </c>
      <c r="D71" s="30" t="s">
        <v>52</v>
      </c>
      <c r="E71" s="20" t="s">
        <v>1709</v>
      </c>
      <c r="F71" s="26" t="s">
        <v>1713</v>
      </c>
      <c r="G71" s="36"/>
      <c r="H71" s="36"/>
      <c r="I71" s="29" t="e">
        <f>VLOOKUP(B71,#REF!,2,FALSE)</f>
        <v>#REF!</v>
      </c>
      <c r="J71" s="29"/>
      <c r="K71" s="29"/>
      <c r="L71" s="29"/>
      <c r="M71" s="29"/>
      <c r="N71" s="29"/>
      <c r="O71" s="29"/>
      <c r="P71" s="29"/>
      <c r="Q71" s="29"/>
      <c r="R71" s="29"/>
      <c r="S71" s="29"/>
      <c r="T71" s="29"/>
      <c r="U71" s="29"/>
      <c r="V71" s="29"/>
      <c r="W71" s="29"/>
      <c r="X71" s="29"/>
      <c r="Y71" s="29"/>
      <c r="Z71" s="29"/>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29"/>
      <c r="BO71" s="29"/>
      <c r="BP71" s="29"/>
      <c r="BQ71" s="29"/>
      <c r="BR71" s="29"/>
      <c r="BS71" s="29"/>
      <c r="BT71" s="29"/>
      <c r="BU71" s="29"/>
      <c r="BV71" s="29"/>
      <c r="BW71" s="29"/>
      <c r="BX71" s="29"/>
      <c r="BY71" s="29"/>
      <c r="BZ71" s="29"/>
      <c r="CA71" s="29"/>
      <c r="CB71" s="29"/>
    </row>
    <row r="72" spans="1:80" hidden="1" x14ac:dyDescent="0.25">
      <c r="A72" s="31" t="s">
        <v>1569</v>
      </c>
      <c r="B72" s="39" t="s">
        <v>1567</v>
      </c>
      <c r="C72" s="30" t="s">
        <v>1568</v>
      </c>
      <c r="D72" s="30" t="s">
        <v>52</v>
      </c>
      <c r="E72" s="20" t="s">
        <v>1709</v>
      </c>
      <c r="F72" s="26" t="s">
        <v>1713</v>
      </c>
      <c r="G72" s="36"/>
      <c r="H72" s="36"/>
      <c r="I72" s="29" t="e">
        <f>VLOOKUP(B72,#REF!,2,FALSE)</f>
        <v>#REF!</v>
      </c>
      <c r="J72" s="29"/>
      <c r="K72" s="29"/>
      <c r="L72" s="29"/>
      <c r="M72" s="29"/>
      <c r="N72" s="29"/>
      <c r="O72" s="29"/>
      <c r="P72" s="29"/>
      <c r="Q72" s="29"/>
      <c r="R72" s="29"/>
      <c r="S72" s="29"/>
      <c r="T72" s="29"/>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S72" s="29"/>
      <c r="AT72" s="29"/>
      <c r="AU72" s="29"/>
      <c r="AV72" s="29"/>
      <c r="AW72" s="29"/>
      <c r="AX72" s="29"/>
      <c r="AY72" s="29"/>
      <c r="AZ72" s="29"/>
      <c r="BA72" s="29"/>
      <c r="BB72" s="29"/>
      <c r="BC72" s="29"/>
      <c r="BD72" s="29"/>
      <c r="BE72" s="29"/>
      <c r="BF72" s="29"/>
      <c r="BG72" s="29"/>
      <c r="BH72" s="29"/>
      <c r="BI72" s="29"/>
      <c r="BJ72" s="29"/>
      <c r="BK72" s="29"/>
      <c r="BL72" s="29"/>
      <c r="BM72" s="29"/>
      <c r="BN72" s="29"/>
      <c r="BO72" s="29"/>
      <c r="BP72" s="29"/>
      <c r="BQ72" s="29"/>
      <c r="BR72" s="29"/>
      <c r="BS72" s="29"/>
      <c r="BT72" s="29"/>
      <c r="BU72" s="29"/>
      <c r="BV72" s="29"/>
      <c r="BW72" s="29"/>
      <c r="BX72" s="29"/>
      <c r="BY72" s="29"/>
      <c r="BZ72" s="29"/>
      <c r="CA72" s="29"/>
      <c r="CB72" s="29"/>
    </row>
    <row r="73" spans="1:80" hidden="1" x14ac:dyDescent="0.25">
      <c r="A73" s="31" t="s">
        <v>1589</v>
      </c>
      <c r="B73" s="39" t="s">
        <v>1375</v>
      </c>
      <c r="C73" s="30" t="s">
        <v>334</v>
      </c>
      <c r="D73" s="30" t="s">
        <v>52</v>
      </c>
      <c r="E73" s="20" t="s">
        <v>1709</v>
      </c>
      <c r="F73" s="26" t="s">
        <v>1713</v>
      </c>
      <c r="G73" s="36"/>
      <c r="H73" s="36"/>
      <c r="I73" s="29" t="e">
        <f>VLOOKUP(B73,#REF!,2,FALSE)</f>
        <v>#REF!</v>
      </c>
      <c r="J73" s="29"/>
      <c r="K73" s="29"/>
      <c r="L73" s="29"/>
      <c r="M73" s="29"/>
      <c r="N73" s="29"/>
      <c r="O73" s="29"/>
      <c r="P73" s="29"/>
      <c r="Q73" s="29"/>
      <c r="R73" s="29"/>
      <c r="S73" s="29"/>
      <c r="T73" s="29"/>
      <c r="U73" s="29"/>
      <c r="V73" s="29"/>
      <c r="W73" s="29"/>
      <c r="X73" s="29"/>
      <c r="Y73" s="29"/>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29"/>
      <c r="BO73" s="29"/>
      <c r="BP73" s="29"/>
      <c r="BQ73" s="29"/>
      <c r="BR73" s="29"/>
      <c r="BS73" s="29"/>
      <c r="BT73" s="29"/>
      <c r="BU73" s="29"/>
      <c r="BV73" s="29"/>
      <c r="BW73" s="29"/>
      <c r="BX73" s="29"/>
      <c r="BY73" s="29"/>
      <c r="BZ73" s="29"/>
      <c r="CA73" s="29"/>
      <c r="CB73" s="29"/>
    </row>
    <row r="74" spans="1:80" hidden="1" x14ac:dyDescent="0.25">
      <c r="A74" s="31" t="s">
        <v>1596</v>
      </c>
      <c r="B74" s="39" t="s">
        <v>1594</v>
      </c>
      <c r="C74" s="30" t="s">
        <v>1595</v>
      </c>
      <c r="D74" s="30" t="s">
        <v>52</v>
      </c>
      <c r="E74" s="20" t="s">
        <v>1709</v>
      </c>
      <c r="F74" s="26" t="s">
        <v>1713</v>
      </c>
      <c r="G74" s="36"/>
      <c r="H74" s="36"/>
      <c r="I74" s="29" t="e">
        <f>VLOOKUP(B74,#REF!,2,FALSE)</f>
        <v>#REF!</v>
      </c>
      <c r="J74" s="29"/>
      <c r="K74" s="29"/>
      <c r="L74" s="29"/>
      <c r="M74" s="29"/>
      <c r="N74" s="29"/>
      <c r="O74" s="29"/>
      <c r="P74" s="29"/>
      <c r="Q74" s="29"/>
      <c r="R74" s="29"/>
      <c r="S74" s="29"/>
      <c r="T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c r="AS74" s="29"/>
      <c r="AT74" s="29"/>
      <c r="AU74" s="29"/>
      <c r="AV74" s="29"/>
      <c r="AW74" s="29"/>
      <c r="AX74" s="29"/>
      <c r="AY74" s="29"/>
      <c r="AZ74" s="29"/>
      <c r="BA74" s="29"/>
      <c r="BB74" s="29"/>
      <c r="BC74" s="29"/>
      <c r="BD74" s="29"/>
      <c r="BE74" s="29"/>
      <c r="BF74" s="29"/>
      <c r="BG74" s="29"/>
      <c r="BH74" s="29"/>
      <c r="BI74" s="29"/>
      <c r="BJ74" s="29"/>
      <c r="BK74" s="29"/>
      <c r="BL74" s="29"/>
      <c r="BM74" s="29"/>
      <c r="BN74" s="29"/>
      <c r="BO74" s="29"/>
      <c r="BP74" s="29"/>
      <c r="BQ74" s="29"/>
      <c r="BR74" s="29"/>
      <c r="BS74" s="29"/>
      <c r="BT74" s="29"/>
      <c r="BU74" s="29"/>
      <c r="BV74" s="29"/>
      <c r="BW74" s="29"/>
      <c r="BX74" s="29"/>
      <c r="BY74" s="29"/>
      <c r="BZ74" s="29"/>
      <c r="CA74" s="29"/>
      <c r="CB74" s="29"/>
    </row>
    <row r="75" spans="1:80" hidden="1" x14ac:dyDescent="0.25">
      <c r="A75" s="31" t="s">
        <v>1598</v>
      </c>
      <c r="B75" s="39" t="s">
        <v>1597</v>
      </c>
      <c r="C75" s="30" t="s">
        <v>173</v>
      </c>
      <c r="D75" s="30" t="s">
        <v>52</v>
      </c>
      <c r="E75" s="20" t="s">
        <v>1709</v>
      </c>
      <c r="F75" s="26" t="s">
        <v>1713</v>
      </c>
      <c r="G75" s="36"/>
      <c r="H75" s="36"/>
      <c r="I75" s="29" t="e">
        <f>VLOOKUP(B75,#REF!,2,FALSE)</f>
        <v>#REF!</v>
      </c>
      <c r="J75" s="29"/>
      <c r="K75" s="29"/>
      <c r="L75" s="29"/>
      <c r="M75" s="29"/>
      <c r="N75" s="29"/>
      <c r="O75" s="29"/>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c r="AS75" s="29"/>
      <c r="AT75" s="29"/>
      <c r="AU75" s="29"/>
      <c r="AV75" s="29"/>
      <c r="AW75" s="29"/>
      <c r="AX75" s="29"/>
      <c r="AY75" s="29"/>
      <c r="AZ75" s="29"/>
      <c r="BA75" s="29"/>
      <c r="BB75" s="29"/>
      <c r="BC75" s="29"/>
      <c r="BD75" s="29"/>
      <c r="BE75" s="29"/>
      <c r="BF75" s="29"/>
      <c r="BG75" s="29"/>
      <c r="BH75" s="29"/>
      <c r="BI75" s="29"/>
      <c r="BJ75" s="29"/>
      <c r="BK75" s="29"/>
      <c r="BL75" s="29"/>
      <c r="BM75" s="29"/>
      <c r="BN75" s="29"/>
      <c r="BO75" s="29"/>
      <c r="BP75" s="29"/>
      <c r="BQ75" s="29"/>
      <c r="BR75" s="29"/>
      <c r="BS75" s="29"/>
      <c r="BT75" s="29"/>
      <c r="BU75" s="29"/>
      <c r="BV75" s="29"/>
      <c r="BW75" s="29"/>
      <c r="BX75" s="29"/>
      <c r="BY75" s="29"/>
      <c r="BZ75" s="29"/>
      <c r="CA75" s="29"/>
      <c r="CB75" s="29"/>
    </row>
    <row r="76" spans="1:80" hidden="1" x14ac:dyDescent="0.25">
      <c r="A76" s="31" t="s">
        <v>1399</v>
      </c>
      <c r="B76" s="39" t="s">
        <v>823</v>
      </c>
      <c r="C76" s="30" t="s">
        <v>412</v>
      </c>
      <c r="D76" s="30" t="s">
        <v>52</v>
      </c>
      <c r="E76" s="20" t="s">
        <v>1709</v>
      </c>
      <c r="F76" s="26" t="s">
        <v>1716</v>
      </c>
      <c r="G76" s="36"/>
      <c r="H76" s="36" t="s">
        <v>52</v>
      </c>
      <c r="I76" s="29" t="e">
        <f>VLOOKUP(B76,#REF!,2,FALSE)</f>
        <v>#REF!</v>
      </c>
      <c r="J76" s="29"/>
      <c r="K76" s="29"/>
      <c r="L76" s="29"/>
      <c r="M76" s="29"/>
      <c r="N76" s="29"/>
      <c r="O76" s="29"/>
      <c r="P76" s="29"/>
      <c r="Q76" s="29"/>
      <c r="R76" s="29"/>
      <c r="S76" s="29"/>
      <c r="T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29"/>
      <c r="BO76" s="29"/>
      <c r="BP76" s="29"/>
      <c r="BQ76" s="29"/>
      <c r="BR76" s="29"/>
      <c r="BS76" s="29"/>
      <c r="BT76" s="29"/>
      <c r="BU76" s="29"/>
      <c r="BV76" s="29"/>
      <c r="BW76" s="29"/>
      <c r="BX76" s="29"/>
      <c r="BY76" s="29"/>
      <c r="BZ76" s="29"/>
      <c r="CA76" s="29"/>
      <c r="CB76" s="29"/>
    </row>
    <row r="77" spans="1:80" hidden="1" x14ac:dyDescent="0.25">
      <c r="A77" s="31" t="s">
        <v>1407</v>
      </c>
      <c r="B77" s="39" t="s">
        <v>1406</v>
      </c>
      <c r="C77" s="30" t="s">
        <v>58</v>
      </c>
      <c r="D77" s="30" t="s">
        <v>78</v>
      </c>
      <c r="E77" s="20" t="s">
        <v>1709</v>
      </c>
      <c r="F77" s="26" t="s">
        <v>1716</v>
      </c>
      <c r="G77" s="36"/>
      <c r="H77" s="36"/>
      <c r="I77" s="29" t="e">
        <f>VLOOKUP(B77,#REF!,2,FALSE)</f>
        <v>#REF!</v>
      </c>
      <c r="J77" s="29"/>
      <c r="K77" s="29"/>
      <c r="L77" s="29"/>
      <c r="M77" s="29"/>
      <c r="N77" s="29"/>
      <c r="O77" s="29"/>
      <c r="P77" s="29"/>
      <c r="Q77" s="29"/>
      <c r="R77" s="29"/>
      <c r="S77" s="29"/>
      <c r="T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c r="AS77" s="29"/>
      <c r="AT77" s="29"/>
      <c r="AU77" s="29"/>
      <c r="AV77" s="29"/>
      <c r="AW77" s="29"/>
      <c r="AX77" s="29"/>
      <c r="AY77" s="29"/>
      <c r="AZ77" s="29"/>
      <c r="BA77" s="29"/>
      <c r="BB77" s="29"/>
      <c r="BC77" s="29"/>
      <c r="BD77" s="29"/>
      <c r="BE77" s="29"/>
      <c r="BF77" s="29"/>
      <c r="BG77" s="29"/>
      <c r="BH77" s="29"/>
      <c r="BI77" s="29"/>
      <c r="BJ77" s="29"/>
      <c r="BK77" s="29"/>
      <c r="BL77" s="29"/>
      <c r="BM77" s="29"/>
      <c r="BN77" s="29"/>
      <c r="BO77" s="29"/>
      <c r="BP77" s="29"/>
      <c r="BQ77" s="29"/>
      <c r="BR77" s="29"/>
      <c r="BS77" s="29"/>
      <c r="BT77" s="29"/>
      <c r="BU77" s="29"/>
      <c r="BV77" s="29"/>
      <c r="BW77" s="29"/>
      <c r="BX77" s="29"/>
      <c r="BY77" s="29"/>
      <c r="BZ77" s="29"/>
      <c r="CA77" s="29"/>
      <c r="CB77" s="29"/>
    </row>
    <row r="78" spans="1:80" hidden="1" x14ac:dyDescent="0.25">
      <c r="A78" s="31" t="s">
        <v>1378</v>
      </c>
      <c r="B78" s="39" t="s">
        <v>1377</v>
      </c>
      <c r="C78" s="30" t="s">
        <v>432</v>
      </c>
      <c r="D78" s="30" t="s">
        <v>10</v>
      </c>
      <c r="E78" s="20" t="s">
        <v>1709</v>
      </c>
      <c r="F78" s="26" t="s">
        <v>1716</v>
      </c>
      <c r="G78" s="36"/>
      <c r="H78" s="36"/>
      <c r="I78" s="29" t="e">
        <f>VLOOKUP(B78,#REF!,2,FALSE)</f>
        <v>#REF!</v>
      </c>
      <c r="J78" s="29"/>
      <c r="K78" s="29"/>
      <c r="L78" s="29"/>
      <c r="M78" s="29"/>
      <c r="N78" s="29"/>
      <c r="O78" s="29"/>
      <c r="P78" s="29"/>
      <c r="Q78" s="29"/>
      <c r="R78" s="29"/>
      <c r="S78" s="29"/>
      <c r="T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c r="AS78" s="29"/>
      <c r="AT78" s="29"/>
      <c r="AU78" s="29"/>
      <c r="AV78" s="29"/>
      <c r="AW78" s="29"/>
      <c r="AX78" s="29"/>
      <c r="AY78" s="29"/>
      <c r="AZ78" s="29"/>
      <c r="BA78" s="29"/>
      <c r="BB78" s="29"/>
      <c r="BC78" s="29"/>
      <c r="BD78" s="29"/>
      <c r="BE78" s="29"/>
      <c r="BF78" s="29"/>
      <c r="BG78" s="29"/>
      <c r="BH78" s="29"/>
      <c r="BI78" s="29"/>
      <c r="BJ78" s="29"/>
      <c r="BK78" s="29"/>
      <c r="BL78" s="29"/>
      <c r="BM78" s="29"/>
      <c r="BN78" s="29"/>
      <c r="BO78" s="29"/>
      <c r="BP78" s="29"/>
      <c r="BQ78" s="29"/>
      <c r="BR78" s="29"/>
      <c r="BS78" s="29"/>
      <c r="BT78" s="29"/>
      <c r="BU78" s="29"/>
      <c r="BV78" s="29"/>
      <c r="BW78" s="29"/>
      <c r="BX78" s="29"/>
      <c r="BY78" s="29"/>
      <c r="BZ78" s="29"/>
      <c r="CA78" s="29"/>
      <c r="CB78" s="29"/>
    </row>
    <row r="79" spans="1:80" hidden="1" x14ac:dyDescent="0.25">
      <c r="A79" s="33" t="s">
        <v>1431</v>
      </c>
      <c r="B79" s="38" t="s">
        <v>1430</v>
      </c>
      <c r="C79" s="32" t="s">
        <v>225</v>
      </c>
      <c r="D79" s="32" t="s">
        <v>78</v>
      </c>
      <c r="E79" s="21" t="s">
        <v>1709</v>
      </c>
      <c r="F79" s="25" t="s">
        <v>1716</v>
      </c>
      <c r="G79" s="37"/>
      <c r="H79" s="37" t="s">
        <v>78</v>
      </c>
      <c r="I79" s="29" t="e">
        <f>VLOOKUP(B79,#REF!,2,FALSE)</f>
        <v>#REF!</v>
      </c>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c r="AS79" s="29"/>
      <c r="AT79" s="29"/>
      <c r="AU79" s="29"/>
      <c r="AV79" s="29"/>
      <c r="AW79" s="29"/>
      <c r="AX79" s="29"/>
      <c r="AY79" s="29"/>
      <c r="AZ79" s="29"/>
      <c r="BA79" s="29"/>
      <c r="BB79" s="29"/>
      <c r="BC79" s="29"/>
      <c r="BD79" s="29"/>
      <c r="BE79" s="29"/>
      <c r="BF79" s="29"/>
      <c r="BG79" s="29"/>
      <c r="BH79" s="29"/>
      <c r="BI79" s="29"/>
      <c r="BJ79" s="29"/>
      <c r="BK79" s="29"/>
      <c r="BL79" s="29"/>
      <c r="BM79" s="29"/>
      <c r="BN79" s="29"/>
      <c r="BO79" s="29"/>
      <c r="BP79" s="29"/>
      <c r="BQ79" s="29"/>
      <c r="BR79" s="29"/>
      <c r="BS79" s="29"/>
      <c r="BT79" s="29"/>
      <c r="BU79" s="29"/>
      <c r="BV79" s="29"/>
      <c r="BW79" s="29"/>
      <c r="BX79" s="29"/>
      <c r="BY79" s="29"/>
      <c r="BZ79" s="29"/>
      <c r="CA79" s="29"/>
      <c r="CB79" s="29"/>
    </row>
    <row r="80" spans="1:80" hidden="1" x14ac:dyDescent="0.25">
      <c r="A80" s="31" t="s">
        <v>1440</v>
      </c>
      <c r="B80" s="39" t="s">
        <v>1439</v>
      </c>
      <c r="C80" s="30" t="s">
        <v>25</v>
      </c>
      <c r="D80" s="30" t="s">
        <v>52</v>
      </c>
      <c r="E80" s="20" t="s">
        <v>1709</v>
      </c>
      <c r="F80" s="26" t="s">
        <v>1716</v>
      </c>
      <c r="G80" s="36"/>
      <c r="H80" s="36" t="s">
        <v>52</v>
      </c>
      <c r="I80" s="29" t="e">
        <f>VLOOKUP(B80,#REF!,2,FALSE)</f>
        <v>#REF!</v>
      </c>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c r="AS80" s="29"/>
      <c r="AT80" s="29"/>
      <c r="AU80" s="29"/>
      <c r="AV80" s="29"/>
      <c r="AW80" s="29"/>
      <c r="AX80" s="29"/>
      <c r="AY80" s="29"/>
      <c r="AZ80" s="29"/>
      <c r="BA80" s="29"/>
      <c r="BB80" s="29"/>
      <c r="BC80" s="29"/>
      <c r="BD80" s="29"/>
      <c r="BE80" s="29"/>
      <c r="BF80" s="29"/>
      <c r="BG80" s="29"/>
      <c r="BH80" s="29"/>
      <c r="BI80" s="29"/>
      <c r="BJ80" s="29"/>
      <c r="BK80" s="29"/>
      <c r="BL80" s="29"/>
      <c r="BM80" s="29"/>
      <c r="BN80" s="29"/>
      <c r="BO80" s="29"/>
      <c r="BP80" s="29"/>
      <c r="BQ80" s="29"/>
      <c r="BR80" s="29"/>
      <c r="BS80" s="29"/>
      <c r="BT80" s="29"/>
      <c r="BU80" s="29"/>
      <c r="BV80" s="29"/>
      <c r="BW80" s="29"/>
      <c r="BX80" s="29"/>
      <c r="BY80" s="29"/>
      <c r="BZ80" s="29"/>
      <c r="CA80" s="29"/>
      <c r="CB80" s="29"/>
    </row>
    <row r="81" spans="1:80" hidden="1" x14ac:dyDescent="0.25">
      <c r="A81" s="33" t="s">
        <v>1462</v>
      </c>
      <c r="B81" s="38" t="s">
        <v>1461</v>
      </c>
      <c r="C81" s="32" t="s">
        <v>1434</v>
      </c>
      <c r="D81" s="32" t="s">
        <v>78</v>
      </c>
      <c r="E81" s="21" t="s">
        <v>1709</v>
      </c>
      <c r="F81" s="25" t="s">
        <v>1716</v>
      </c>
      <c r="G81" s="37"/>
      <c r="H81" s="37"/>
      <c r="I81" s="29" t="e">
        <f>VLOOKUP(B81,#REF!,2,FALSE)</f>
        <v>#REF!</v>
      </c>
      <c r="J81" s="29"/>
      <c r="K81" s="29"/>
      <c r="L81" s="29"/>
      <c r="M81" s="29"/>
      <c r="N81" s="29"/>
      <c r="O81" s="29"/>
      <c r="P81" s="29"/>
      <c r="Q81" s="29"/>
      <c r="R81" s="29"/>
      <c r="S81" s="29"/>
      <c r="T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c r="AS81" s="29"/>
      <c r="AT81" s="29"/>
      <c r="AU81" s="29"/>
      <c r="AV81" s="29"/>
      <c r="AW81" s="29"/>
      <c r="AX81" s="29"/>
      <c r="AY81" s="29"/>
      <c r="AZ81" s="29"/>
      <c r="BA81" s="29"/>
      <c r="BB81" s="29"/>
      <c r="BC81" s="29"/>
      <c r="BD81" s="29"/>
      <c r="BE81" s="29"/>
      <c r="BF81" s="29"/>
      <c r="BG81" s="29"/>
      <c r="BH81" s="29"/>
      <c r="BI81" s="29"/>
      <c r="BJ81" s="29"/>
      <c r="BK81" s="29"/>
      <c r="BL81" s="29"/>
      <c r="BM81" s="29"/>
      <c r="BN81" s="29"/>
      <c r="BO81" s="29"/>
      <c r="BP81" s="29"/>
      <c r="BQ81" s="29"/>
      <c r="BR81" s="29"/>
      <c r="BS81" s="29"/>
      <c r="BT81" s="29"/>
      <c r="BU81" s="29"/>
      <c r="BV81" s="29"/>
      <c r="BW81" s="29"/>
      <c r="BX81" s="29"/>
      <c r="BY81" s="29"/>
      <c r="BZ81" s="29"/>
      <c r="CA81" s="29"/>
      <c r="CB81" s="29"/>
    </row>
    <row r="82" spans="1:80" hidden="1" x14ac:dyDescent="0.25">
      <c r="A82" s="31" t="s">
        <v>1464</v>
      </c>
      <c r="B82" s="39" t="s">
        <v>1463</v>
      </c>
      <c r="C82" s="30" t="s">
        <v>261</v>
      </c>
      <c r="D82" s="30" t="s">
        <v>52</v>
      </c>
      <c r="E82" s="20" t="s">
        <v>1709</v>
      </c>
      <c r="F82" s="26" t="s">
        <v>1716</v>
      </c>
      <c r="G82" s="36"/>
      <c r="H82" s="36"/>
      <c r="I82" s="29" t="e">
        <f>VLOOKUP(B82,#REF!,2,FALSE)</f>
        <v>#REF!</v>
      </c>
      <c r="J82" s="29"/>
      <c r="K82" s="29"/>
      <c r="L82" s="29"/>
      <c r="M82" s="29"/>
      <c r="N82" s="29"/>
      <c r="O82" s="29"/>
      <c r="P82" s="29"/>
      <c r="Q82" s="29"/>
      <c r="R82" s="29"/>
      <c r="S82" s="29"/>
      <c r="T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c r="AS82" s="29"/>
      <c r="AT82" s="29"/>
      <c r="AU82" s="29"/>
      <c r="AV82" s="29"/>
      <c r="AW82" s="29"/>
      <c r="AX82" s="29"/>
      <c r="AY82" s="29"/>
      <c r="AZ82" s="29"/>
      <c r="BA82" s="29"/>
      <c r="BB82" s="29"/>
      <c r="BC82" s="29"/>
      <c r="BD82" s="29"/>
      <c r="BE82" s="29"/>
      <c r="BF82" s="29"/>
      <c r="BG82" s="29"/>
      <c r="BH82" s="29"/>
      <c r="BI82" s="29"/>
      <c r="BJ82" s="29"/>
      <c r="BK82" s="29"/>
      <c r="BL82" s="29"/>
      <c r="BM82" s="29"/>
      <c r="BN82" s="29"/>
      <c r="BO82" s="29"/>
      <c r="BP82" s="29"/>
      <c r="BQ82" s="29"/>
      <c r="BR82" s="29"/>
      <c r="BS82" s="29"/>
      <c r="BT82" s="29"/>
      <c r="BU82" s="29"/>
      <c r="BV82" s="29"/>
      <c r="BW82" s="29"/>
      <c r="BX82" s="29"/>
      <c r="BY82" s="29"/>
      <c r="BZ82" s="29"/>
      <c r="CA82" s="29"/>
      <c r="CB82" s="29"/>
    </row>
    <row r="83" spans="1:80" hidden="1" x14ac:dyDescent="0.25">
      <c r="A83" s="33" t="s">
        <v>1473</v>
      </c>
      <c r="B83" s="38" t="s">
        <v>189</v>
      </c>
      <c r="C83" s="32" t="s">
        <v>276</v>
      </c>
      <c r="D83" s="32" t="s">
        <v>78</v>
      </c>
      <c r="E83" s="21" t="s">
        <v>1709</v>
      </c>
      <c r="F83" s="25" t="s">
        <v>1716</v>
      </c>
      <c r="G83" s="37"/>
      <c r="H83" s="37"/>
      <c r="I83" s="29" t="e">
        <f>VLOOKUP(B83,#REF!,2,FALSE)</f>
        <v>#REF!</v>
      </c>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c r="AS83" s="29"/>
      <c r="AT83" s="29"/>
      <c r="AU83" s="29"/>
      <c r="AV83" s="29"/>
      <c r="AW83" s="29"/>
      <c r="AX83" s="29"/>
      <c r="AY83" s="29"/>
      <c r="AZ83" s="29"/>
      <c r="BA83" s="29"/>
      <c r="BB83" s="29"/>
      <c r="BC83" s="29"/>
      <c r="BD83" s="29"/>
      <c r="BE83" s="29"/>
      <c r="BF83" s="29"/>
      <c r="BG83" s="29"/>
      <c r="BH83" s="29"/>
      <c r="BI83" s="29"/>
      <c r="BJ83" s="29"/>
      <c r="BK83" s="29"/>
      <c r="BL83" s="29"/>
      <c r="BM83" s="29"/>
      <c r="BN83" s="29"/>
      <c r="BO83" s="29"/>
      <c r="BP83" s="29"/>
      <c r="BQ83" s="29"/>
      <c r="BR83" s="29"/>
      <c r="BS83" s="29"/>
      <c r="BT83" s="29"/>
      <c r="BU83" s="29"/>
      <c r="BV83" s="29"/>
      <c r="BW83" s="29"/>
      <c r="BX83" s="29"/>
      <c r="BY83" s="29"/>
      <c r="BZ83" s="29"/>
      <c r="CA83" s="29"/>
      <c r="CB83" s="29"/>
    </row>
    <row r="84" spans="1:80" hidden="1" x14ac:dyDescent="0.25">
      <c r="A84" s="31" t="s">
        <v>1486</v>
      </c>
      <c r="B84" s="39" t="s">
        <v>1717</v>
      </c>
      <c r="C84" s="30" t="s">
        <v>1718</v>
      </c>
      <c r="D84" s="30" t="s">
        <v>78</v>
      </c>
      <c r="E84" s="20" t="s">
        <v>1709</v>
      </c>
      <c r="F84" s="26" t="s">
        <v>1716</v>
      </c>
      <c r="G84" s="36"/>
      <c r="H84" s="36" t="s">
        <v>78</v>
      </c>
      <c r="I84" s="29" t="e">
        <f>VLOOKUP(B84,#REF!,2,FALSE)</f>
        <v>#REF!</v>
      </c>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c r="BN84" s="29"/>
      <c r="BO84" s="29"/>
      <c r="BP84" s="29"/>
      <c r="BQ84" s="29"/>
      <c r="BR84" s="29"/>
      <c r="BS84" s="29"/>
      <c r="BT84" s="29"/>
      <c r="BU84" s="29"/>
      <c r="BV84" s="29"/>
      <c r="BW84" s="29"/>
      <c r="BX84" s="29"/>
      <c r="BY84" s="29"/>
      <c r="BZ84" s="29"/>
      <c r="CA84" s="29"/>
      <c r="CB84" s="29"/>
    </row>
    <row r="85" spans="1:80" hidden="1" x14ac:dyDescent="0.25">
      <c r="A85" s="31" t="s">
        <v>1498</v>
      </c>
      <c r="B85" s="39" t="s">
        <v>1719</v>
      </c>
      <c r="C85" s="30" t="s">
        <v>1720</v>
      </c>
      <c r="D85" s="30" t="s">
        <v>52</v>
      </c>
      <c r="E85" s="20" t="s">
        <v>1709</v>
      </c>
      <c r="F85" s="26" t="s">
        <v>1716</v>
      </c>
      <c r="G85" s="36"/>
      <c r="H85" s="36" t="s">
        <v>52</v>
      </c>
      <c r="I85" s="29" t="e">
        <f>VLOOKUP(B85,#REF!,2,FALSE)</f>
        <v>#REF!</v>
      </c>
      <c r="J85" s="29"/>
      <c r="K85" s="29"/>
      <c r="L85" s="29"/>
      <c r="M85" s="29"/>
      <c r="N85" s="29"/>
      <c r="O85" s="29"/>
      <c r="P85" s="29"/>
      <c r="Q85" s="29"/>
      <c r="R85" s="29"/>
      <c r="S85" s="29"/>
      <c r="T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c r="AS85" s="29"/>
      <c r="AT85" s="29"/>
      <c r="AU85" s="29"/>
      <c r="AV85" s="29"/>
      <c r="AW85" s="29"/>
      <c r="AX85" s="29"/>
      <c r="AY85" s="29"/>
      <c r="AZ85" s="29"/>
      <c r="BA85" s="29"/>
      <c r="BB85" s="29"/>
      <c r="BC85" s="29"/>
      <c r="BD85" s="29"/>
      <c r="BE85" s="29"/>
      <c r="BF85" s="29"/>
      <c r="BG85" s="29"/>
      <c r="BH85" s="29"/>
      <c r="BI85" s="29"/>
      <c r="BJ85" s="29"/>
      <c r="BK85" s="29"/>
      <c r="BL85" s="29"/>
      <c r="BM85" s="29"/>
      <c r="BN85" s="29"/>
      <c r="BO85" s="29"/>
      <c r="BP85" s="29"/>
      <c r="BQ85" s="29"/>
      <c r="BR85" s="29"/>
      <c r="BS85" s="29"/>
      <c r="BT85" s="29"/>
      <c r="BU85" s="29"/>
      <c r="BV85" s="29"/>
      <c r="BW85" s="29"/>
      <c r="BX85" s="29"/>
      <c r="BY85" s="29"/>
      <c r="BZ85" s="29"/>
      <c r="CA85" s="29"/>
      <c r="CB85" s="29"/>
    </row>
    <row r="86" spans="1:80" hidden="1" x14ac:dyDescent="0.25">
      <c r="A86" s="33" t="s">
        <v>1517</v>
      </c>
      <c r="B86" s="38" t="s">
        <v>504</v>
      </c>
      <c r="C86" s="32" t="s">
        <v>1516</v>
      </c>
      <c r="D86" s="32" t="s">
        <v>78</v>
      </c>
      <c r="E86" s="21" t="s">
        <v>1709</v>
      </c>
      <c r="F86" s="25" t="s">
        <v>1716</v>
      </c>
      <c r="G86" s="37"/>
      <c r="H86" s="37"/>
      <c r="I86" s="29" t="e">
        <f>VLOOKUP(B86,#REF!,2,FALSE)</f>
        <v>#REF!</v>
      </c>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c r="BK86" s="29"/>
      <c r="BL86" s="29"/>
      <c r="BM86" s="29"/>
      <c r="BN86" s="29"/>
      <c r="BO86" s="29"/>
      <c r="BP86" s="29"/>
      <c r="BQ86" s="29"/>
      <c r="BR86" s="29"/>
      <c r="BS86" s="29"/>
      <c r="BT86" s="29"/>
      <c r="BU86" s="29"/>
      <c r="BV86" s="29"/>
      <c r="BW86" s="29"/>
      <c r="BX86" s="29"/>
      <c r="BY86" s="29"/>
      <c r="BZ86" s="29"/>
      <c r="CA86" s="29"/>
      <c r="CB86" s="29"/>
    </row>
    <row r="87" spans="1:80" hidden="1" x14ac:dyDescent="0.25">
      <c r="A87" s="33" t="s">
        <v>1519</v>
      </c>
      <c r="B87" s="38" t="s">
        <v>1518</v>
      </c>
      <c r="C87" s="32" t="s">
        <v>200</v>
      </c>
      <c r="D87" s="32" t="s">
        <v>78</v>
      </c>
      <c r="E87" s="21" t="s">
        <v>1709</v>
      </c>
      <c r="F87" s="25" t="s">
        <v>1716</v>
      </c>
      <c r="G87" s="37"/>
      <c r="H87" s="37" t="s">
        <v>78</v>
      </c>
      <c r="I87" s="29" t="e">
        <f>VLOOKUP(B87,#REF!,2,FALSE)</f>
        <v>#REF!</v>
      </c>
      <c r="J87" s="29"/>
      <c r="K87" s="29"/>
      <c r="L87" s="29"/>
      <c r="M87" s="29"/>
      <c r="N87" s="29"/>
      <c r="O87" s="29"/>
      <c r="P87" s="29"/>
      <c r="Q87" s="29"/>
      <c r="R87" s="29"/>
      <c r="S87" s="29"/>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c r="AS87" s="29"/>
      <c r="AT87" s="29"/>
      <c r="AU87" s="29"/>
      <c r="AV87" s="29"/>
      <c r="AW87" s="29"/>
      <c r="AX87" s="29"/>
      <c r="AY87" s="29"/>
      <c r="AZ87" s="29"/>
      <c r="BA87" s="29"/>
      <c r="BB87" s="29"/>
      <c r="BC87" s="29"/>
      <c r="BD87" s="29"/>
      <c r="BE87" s="29"/>
      <c r="BF87" s="29"/>
      <c r="BG87" s="29"/>
      <c r="BH87" s="29"/>
      <c r="BI87" s="29"/>
      <c r="BJ87" s="29"/>
      <c r="BK87" s="29"/>
      <c r="BL87" s="29"/>
      <c r="BM87" s="29"/>
      <c r="BN87" s="29"/>
      <c r="BO87" s="29"/>
      <c r="BP87" s="29"/>
      <c r="BQ87" s="29"/>
      <c r="BR87" s="29"/>
      <c r="BS87" s="29"/>
      <c r="BT87" s="29"/>
      <c r="BU87" s="29"/>
      <c r="BV87" s="29"/>
      <c r="BW87" s="29"/>
      <c r="BX87" s="29"/>
      <c r="BY87" s="29"/>
      <c r="BZ87" s="29"/>
      <c r="CA87" s="29"/>
      <c r="CB87" s="29"/>
    </row>
    <row r="88" spans="1:80" ht="25.5" hidden="1" x14ac:dyDescent="0.25">
      <c r="A88" s="31" t="s">
        <v>519</v>
      </c>
      <c r="B88" s="39" t="s">
        <v>1721</v>
      </c>
      <c r="C88" s="30" t="s">
        <v>518</v>
      </c>
      <c r="D88" s="30" t="s">
        <v>78</v>
      </c>
      <c r="E88" s="20" t="s">
        <v>1709</v>
      </c>
      <c r="F88" s="26" t="s">
        <v>1716</v>
      </c>
      <c r="G88" s="36"/>
      <c r="H88" s="36" t="s">
        <v>78</v>
      </c>
      <c r="I88" s="29" t="e">
        <f>VLOOKUP(B88,#REF!,2,FALSE)</f>
        <v>#REF!</v>
      </c>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c r="BR88" s="29"/>
      <c r="BS88" s="29"/>
      <c r="BT88" s="29"/>
      <c r="BU88" s="29"/>
      <c r="BV88" s="29"/>
      <c r="BW88" s="29"/>
      <c r="BX88" s="29"/>
      <c r="BY88" s="29"/>
      <c r="BZ88" s="29"/>
      <c r="CA88" s="29"/>
      <c r="CB88" s="29"/>
    </row>
    <row r="89" spans="1:80" hidden="1" x14ac:dyDescent="0.25">
      <c r="A89" s="31" t="s">
        <v>1530</v>
      </c>
      <c r="B89" s="39" t="s">
        <v>1529</v>
      </c>
      <c r="C89" s="30" t="s">
        <v>73</v>
      </c>
      <c r="D89" s="30" t="s">
        <v>52</v>
      </c>
      <c r="E89" s="20" t="s">
        <v>1709</v>
      </c>
      <c r="F89" s="26" t="s">
        <v>1716</v>
      </c>
      <c r="G89" s="36"/>
      <c r="H89" s="36" t="s">
        <v>52</v>
      </c>
      <c r="I89" s="29" t="e">
        <f>VLOOKUP(B89,#REF!,2,FALSE)</f>
        <v>#REF!</v>
      </c>
      <c r="J89" s="29"/>
      <c r="K89" s="29"/>
      <c r="L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c r="BR89" s="29"/>
      <c r="BS89" s="29"/>
      <c r="BT89" s="29"/>
      <c r="BU89" s="29"/>
      <c r="BV89" s="29"/>
      <c r="BW89" s="29"/>
      <c r="BX89" s="29"/>
      <c r="BY89" s="29"/>
      <c r="BZ89" s="29"/>
      <c r="CA89" s="29"/>
      <c r="CB89" s="29"/>
    </row>
    <row r="90" spans="1:80" hidden="1" x14ac:dyDescent="0.25">
      <c r="A90" s="31" t="s">
        <v>1536</v>
      </c>
      <c r="B90" s="39" t="s">
        <v>1535</v>
      </c>
      <c r="C90" s="30" t="s">
        <v>334</v>
      </c>
      <c r="D90" s="30" t="s">
        <v>52</v>
      </c>
      <c r="E90" s="20" t="s">
        <v>1709</v>
      </c>
      <c r="F90" s="26" t="s">
        <v>1716</v>
      </c>
      <c r="G90" s="36"/>
      <c r="H90" s="36" t="s">
        <v>52</v>
      </c>
      <c r="I90" s="29" t="e">
        <f>VLOOKUP(B90,#REF!,2,FALSE)</f>
        <v>#REF!</v>
      </c>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row>
    <row r="91" spans="1:80" hidden="1" x14ac:dyDescent="0.25">
      <c r="A91" s="31" t="s">
        <v>1541</v>
      </c>
      <c r="B91" s="39" t="s">
        <v>1722</v>
      </c>
      <c r="C91" s="30" t="s">
        <v>1723</v>
      </c>
      <c r="D91" s="30" t="s">
        <v>52</v>
      </c>
      <c r="E91" s="20" t="s">
        <v>1709</v>
      </c>
      <c r="F91" s="26" t="s">
        <v>1716</v>
      </c>
      <c r="G91" s="36"/>
      <c r="H91" s="36"/>
      <c r="I91" s="29" t="e">
        <f>VLOOKUP(B91,#REF!,2,FALSE)</f>
        <v>#REF!</v>
      </c>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row>
    <row r="92" spans="1:80" hidden="1" x14ac:dyDescent="0.25">
      <c r="A92" s="31" t="s">
        <v>1545</v>
      </c>
      <c r="B92" s="39" t="s">
        <v>1724</v>
      </c>
      <c r="C92" s="30" t="s">
        <v>1723</v>
      </c>
      <c r="D92" s="30" t="s">
        <v>52</v>
      </c>
      <c r="E92" s="20" t="s">
        <v>1709</v>
      </c>
      <c r="F92" s="26" t="s">
        <v>1716</v>
      </c>
      <c r="G92" s="36"/>
      <c r="H92" s="36" t="s">
        <v>52</v>
      </c>
      <c r="I92" s="29" t="e">
        <f>VLOOKUP(B92,#REF!,2,FALSE)</f>
        <v>#REF!</v>
      </c>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row>
    <row r="93" spans="1:80" hidden="1" x14ac:dyDescent="0.25">
      <c r="A93" s="31" t="s">
        <v>1548</v>
      </c>
      <c r="B93" s="39" t="s">
        <v>1546</v>
      </c>
      <c r="C93" s="30" t="s">
        <v>1547</v>
      </c>
      <c r="D93" s="30" t="s">
        <v>52</v>
      </c>
      <c r="E93" s="20" t="s">
        <v>1709</v>
      </c>
      <c r="F93" s="26" t="s">
        <v>1716</v>
      </c>
      <c r="G93" s="36"/>
      <c r="H93" s="36"/>
      <c r="I93" s="29" t="e">
        <f>VLOOKUP(B93,#REF!,2,FALSE)</f>
        <v>#REF!</v>
      </c>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row>
    <row r="94" spans="1:80" hidden="1" x14ac:dyDescent="0.25">
      <c r="A94" s="33" t="s">
        <v>1561</v>
      </c>
      <c r="B94" s="38" t="s">
        <v>1560</v>
      </c>
      <c r="C94" s="32" t="s">
        <v>37</v>
      </c>
      <c r="D94" s="32" t="s">
        <v>78</v>
      </c>
      <c r="E94" s="21" t="s">
        <v>1709</v>
      </c>
      <c r="F94" s="25" t="s">
        <v>1716</v>
      </c>
      <c r="G94" s="37"/>
      <c r="H94" s="37"/>
      <c r="I94" s="29" t="e">
        <f>VLOOKUP(B94,#REF!,2,FALSE)</f>
        <v>#REF!</v>
      </c>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row>
    <row r="95" spans="1:80" hidden="1" x14ac:dyDescent="0.25">
      <c r="A95" s="31" t="s">
        <v>1582</v>
      </c>
      <c r="B95" s="39" t="s">
        <v>1581</v>
      </c>
      <c r="C95" s="30" t="s">
        <v>1553</v>
      </c>
      <c r="D95" s="30" t="s">
        <v>78</v>
      </c>
      <c r="E95" s="20" t="s">
        <v>1709</v>
      </c>
      <c r="F95" s="26" t="s">
        <v>1716</v>
      </c>
      <c r="G95" s="36"/>
      <c r="H95" s="36" t="s">
        <v>78</v>
      </c>
      <c r="I95" s="29" t="e">
        <f>VLOOKUP(B95,#REF!,2,FALSE)</f>
        <v>#REF!</v>
      </c>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row>
    <row r="96" spans="1:80" hidden="1" x14ac:dyDescent="0.25">
      <c r="A96" s="31" t="s">
        <v>1395</v>
      </c>
      <c r="B96" s="39" t="s">
        <v>1394</v>
      </c>
      <c r="C96" s="30" t="s">
        <v>432</v>
      </c>
      <c r="D96" s="30" t="s">
        <v>52</v>
      </c>
      <c r="E96" s="20" t="s">
        <v>1709</v>
      </c>
      <c r="F96" s="26" t="s">
        <v>1725</v>
      </c>
      <c r="G96" s="36"/>
      <c r="H96" s="36"/>
      <c r="I96" s="29" t="e">
        <f>VLOOKUP(B96,#REF!,2,FALSE)</f>
        <v>#REF!</v>
      </c>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row>
    <row r="97" spans="1:80" hidden="1" x14ac:dyDescent="0.25">
      <c r="A97" s="31" t="s">
        <v>1402</v>
      </c>
      <c r="B97" s="39" t="s">
        <v>1401</v>
      </c>
      <c r="C97" s="30" t="s">
        <v>67</v>
      </c>
      <c r="D97" s="30" t="s">
        <v>78</v>
      </c>
      <c r="E97" s="20" t="s">
        <v>1709</v>
      </c>
      <c r="F97" s="26" t="s">
        <v>1725</v>
      </c>
      <c r="G97" s="36"/>
      <c r="H97" s="36"/>
      <c r="I97" s="29" t="e">
        <f>VLOOKUP(B97,#REF!,2,FALSE)</f>
        <v>#REF!</v>
      </c>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row>
    <row r="98" spans="1:80" hidden="1" x14ac:dyDescent="0.25">
      <c r="A98" s="31" t="s">
        <v>1414</v>
      </c>
      <c r="B98" s="39" t="s">
        <v>1726</v>
      </c>
      <c r="C98" s="30" t="s">
        <v>1727</v>
      </c>
      <c r="D98" s="30" t="s">
        <v>52</v>
      </c>
      <c r="E98" s="20" t="s">
        <v>1709</v>
      </c>
      <c r="F98" s="26" t="s">
        <v>1725</v>
      </c>
      <c r="G98" s="36"/>
      <c r="H98" s="36"/>
      <c r="I98" s="29" t="e">
        <f>VLOOKUP(B98,#REF!,2,FALSE)</f>
        <v>#REF!</v>
      </c>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row>
    <row r="99" spans="1:80" hidden="1" x14ac:dyDescent="0.25">
      <c r="A99" s="31" t="s">
        <v>1419</v>
      </c>
      <c r="B99" s="39" t="s">
        <v>1728</v>
      </c>
      <c r="C99" s="30" t="s">
        <v>1729</v>
      </c>
      <c r="D99" s="30" t="s">
        <v>78</v>
      </c>
      <c r="E99" s="20" t="s">
        <v>1709</v>
      </c>
      <c r="F99" s="26" t="s">
        <v>1725</v>
      </c>
      <c r="G99" s="36"/>
      <c r="H99" s="36" t="s">
        <v>78</v>
      </c>
      <c r="I99" s="29" t="e">
        <f>VLOOKUP(B99,#REF!,2,FALSE)</f>
        <v>#REF!</v>
      </c>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row>
    <row r="100" spans="1:80" hidden="1" x14ac:dyDescent="0.25">
      <c r="A100" s="31" t="s">
        <v>1421</v>
      </c>
      <c r="B100" s="39" t="s">
        <v>1730</v>
      </c>
      <c r="C100" s="30" t="s">
        <v>1720</v>
      </c>
      <c r="D100" s="30" t="s">
        <v>52</v>
      </c>
      <c r="E100" s="20" t="s">
        <v>1709</v>
      </c>
      <c r="F100" s="26" t="s">
        <v>1725</v>
      </c>
      <c r="G100" s="36"/>
      <c r="H100" s="36"/>
      <c r="I100" s="29" t="e">
        <f>VLOOKUP(B100,#REF!,2,FALSE)</f>
        <v>#REF!</v>
      </c>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row>
    <row r="101" spans="1:80" hidden="1" x14ac:dyDescent="0.25">
      <c r="A101" s="31" t="s">
        <v>1451</v>
      </c>
      <c r="B101" s="39" t="s">
        <v>1450</v>
      </c>
      <c r="C101" s="30" t="s">
        <v>91</v>
      </c>
      <c r="D101" s="30" t="s">
        <v>78</v>
      </c>
      <c r="E101" s="20" t="s">
        <v>1709</v>
      </c>
      <c r="F101" s="26" t="s">
        <v>1725</v>
      </c>
      <c r="G101" s="36"/>
      <c r="H101" s="36"/>
      <c r="I101" s="29" t="e">
        <f>VLOOKUP(B101,#REF!,2,FALSE)</f>
        <v>#REF!</v>
      </c>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row>
    <row r="102" spans="1:80" hidden="1" x14ac:dyDescent="0.25">
      <c r="A102" s="31" t="s">
        <v>1455</v>
      </c>
      <c r="B102" s="39" t="s">
        <v>1731</v>
      </c>
      <c r="C102" s="30" t="s">
        <v>1732</v>
      </c>
      <c r="D102" s="30" t="s">
        <v>52</v>
      </c>
      <c r="E102" s="20" t="s">
        <v>1709</v>
      </c>
      <c r="F102" s="26" t="s">
        <v>1725</v>
      </c>
      <c r="G102" s="36"/>
      <c r="H102" s="36" t="s">
        <v>52</v>
      </c>
      <c r="I102" s="29" t="e">
        <f>VLOOKUP(B102,#REF!,2,FALSE)</f>
        <v>#REF!</v>
      </c>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row>
    <row r="103" spans="1:80" hidden="1" x14ac:dyDescent="0.25">
      <c r="A103" s="31" t="s">
        <v>693</v>
      </c>
      <c r="B103" s="39" t="s">
        <v>1733</v>
      </c>
      <c r="C103" s="30" t="s">
        <v>1668</v>
      </c>
      <c r="D103" s="30" t="s">
        <v>52</v>
      </c>
      <c r="E103" s="20" t="s">
        <v>1709</v>
      </c>
      <c r="F103" s="26" t="s">
        <v>1725</v>
      </c>
      <c r="G103" s="36"/>
      <c r="H103" s="36" t="s">
        <v>52</v>
      </c>
      <c r="I103" s="29" t="e">
        <f>VLOOKUP(B103,#REF!,2,FALSE)</f>
        <v>#REF!</v>
      </c>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row>
    <row r="104" spans="1:80" hidden="1" x14ac:dyDescent="0.25">
      <c r="A104" s="33" t="s">
        <v>1491</v>
      </c>
      <c r="B104" s="38" t="s">
        <v>1489</v>
      </c>
      <c r="C104" s="37" t="s">
        <v>1490</v>
      </c>
      <c r="D104" s="32" t="s">
        <v>78</v>
      </c>
      <c r="E104" s="21" t="s">
        <v>1709</v>
      </c>
      <c r="F104" s="25" t="s">
        <v>1725</v>
      </c>
      <c r="G104" s="37"/>
      <c r="H104" s="37"/>
      <c r="I104" s="29" t="e">
        <f>VLOOKUP(B104,#REF!,2,FALSE)</f>
        <v>#REF!</v>
      </c>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row>
    <row r="105" spans="1:80" hidden="1" x14ac:dyDescent="0.25">
      <c r="A105" s="31" t="s">
        <v>1495</v>
      </c>
      <c r="B105" s="39" t="s">
        <v>1734</v>
      </c>
      <c r="C105" s="30" t="s">
        <v>1672</v>
      </c>
      <c r="D105" s="30" t="s">
        <v>78</v>
      </c>
      <c r="E105" s="20" t="s">
        <v>1709</v>
      </c>
      <c r="F105" s="26" t="s">
        <v>1725</v>
      </c>
      <c r="G105" s="36"/>
      <c r="H105" s="36" t="s">
        <v>78</v>
      </c>
      <c r="I105" s="29" t="e">
        <f>VLOOKUP(B105,#REF!,2,FALSE)</f>
        <v>#REF!</v>
      </c>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row>
    <row r="106" spans="1:80" hidden="1" x14ac:dyDescent="0.25">
      <c r="A106" s="31" t="s">
        <v>1500</v>
      </c>
      <c r="B106" s="39" t="s">
        <v>1735</v>
      </c>
      <c r="C106" s="30" t="s">
        <v>1736</v>
      </c>
      <c r="D106" s="30" t="s">
        <v>52</v>
      </c>
      <c r="E106" s="20" t="s">
        <v>1709</v>
      </c>
      <c r="F106" s="26" t="s">
        <v>1725</v>
      </c>
      <c r="G106" s="36"/>
      <c r="H106" s="36"/>
      <c r="I106" s="29" t="e">
        <f>VLOOKUP(B106,#REF!,2,FALSE)</f>
        <v>#REF!</v>
      </c>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row>
    <row r="107" spans="1:80" hidden="1" x14ac:dyDescent="0.25">
      <c r="A107" s="31" t="s">
        <v>1387</v>
      </c>
      <c r="B107" s="39" t="s">
        <v>1386</v>
      </c>
      <c r="C107" s="30" t="s">
        <v>352</v>
      </c>
      <c r="D107" s="30" t="s">
        <v>10</v>
      </c>
      <c r="E107" s="20" t="s">
        <v>1709</v>
      </c>
      <c r="F107" s="26" t="s">
        <v>1725</v>
      </c>
      <c r="G107" s="36"/>
      <c r="H107" s="36"/>
      <c r="I107" s="29" t="e">
        <f>VLOOKUP(B107,#REF!,2,FALSE)</f>
        <v>#REF!</v>
      </c>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row>
    <row r="108" spans="1:80" hidden="1" x14ac:dyDescent="0.25">
      <c r="A108" s="31" t="s">
        <v>1511</v>
      </c>
      <c r="B108" s="39" t="s">
        <v>1737</v>
      </c>
      <c r="C108" s="30" t="s">
        <v>1738</v>
      </c>
      <c r="D108" s="30" t="s">
        <v>78</v>
      </c>
      <c r="E108" s="20" t="s">
        <v>1709</v>
      </c>
      <c r="F108" s="26" t="s">
        <v>1725</v>
      </c>
      <c r="G108" s="36"/>
      <c r="H108" s="36" t="s">
        <v>78</v>
      </c>
      <c r="I108" s="29" t="e">
        <f>VLOOKUP(B108,#REF!,2,FALSE)</f>
        <v>#REF!</v>
      </c>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row>
    <row r="109" spans="1:80" hidden="1" x14ac:dyDescent="0.25">
      <c r="A109" s="31" t="s">
        <v>1523</v>
      </c>
      <c r="B109" s="39" t="s">
        <v>734</v>
      </c>
      <c r="C109" s="30" t="s">
        <v>1522</v>
      </c>
      <c r="D109" s="30" t="s">
        <v>52</v>
      </c>
      <c r="E109" s="20" t="s">
        <v>1709</v>
      </c>
      <c r="F109" s="26" t="s">
        <v>1725</v>
      </c>
      <c r="G109" s="36"/>
      <c r="H109" s="36"/>
      <c r="I109" s="29" t="e">
        <f>VLOOKUP(B109,#REF!,2,FALSE)</f>
        <v>#REF!</v>
      </c>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row>
    <row r="110" spans="1:80" x14ac:dyDescent="0.25">
      <c r="A110" s="31" t="s">
        <v>1739</v>
      </c>
      <c r="B110" s="39" t="s">
        <v>1740</v>
      </c>
      <c r="C110" s="30" t="s">
        <v>249</v>
      </c>
      <c r="D110" s="30" t="s">
        <v>78</v>
      </c>
      <c r="E110" s="20" t="s">
        <v>1709</v>
      </c>
      <c r="F110" s="26" t="s">
        <v>1725</v>
      </c>
      <c r="G110" s="36"/>
      <c r="H110" s="36"/>
      <c r="I110" s="29" t="e">
        <f>VLOOKUP(B110,#REF!,2,FALSE)</f>
        <v>#REF!</v>
      </c>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row>
    <row r="111" spans="1:80" hidden="1" x14ac:dyDescent="0.25">
      <c r="A111" s="31" t="s">
        <v>1534</v>
      </c>
      <c r="B111" s="39" t="s">
        <v>1532</v>
      </c>
      <c r="C111" s="30" t="s">
        <v>1533</v>
      </c>
      <c r="D111" s="30" t="s">
        <v>78</v>
      </c>
      <c r="E111" s="20" t="s">
        <v>1709</v>
      </c>
      <c r="F111" s="26" t="s">
        <v>1725</v>
      </c>
      <c r="G111" s="36"/>
      <c r="H111" s="36"/>
      <c r="I111" s="29" t="e">
        <f>VLOOKUP(B111,#REF!,2,FALSE)</f>
        <v>#REF!</v>
      </c>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row>
    <row r="112" spans="1:80" hidden="1" x14ac:dyDescent="0.25">
      <c r="A112" s="31" t="s">
        <v>1539</v>
      </c>
      <c r="B112" s="39" t="s">
        <v>1741</v>
      </c>
      <c r="C112" s="30" t="s">
        <v>1742</v>
      </c>
      <c r="D112" s="30" t="s">
        <v>78</v>
      </c>
      <c r="E112" s="20" t="s">
        <v>1709</v>
      </c>
      <c r="F112" s="26" t="s">
        <v>1725</v>
      </c>
      <c r="G112" s="36"/>
      <c r="H112" s="36" t="s">
        <v>78</v>
      </c>
      <c r="I112" s="29" t="e">
        <f>VLOOKUP(B112,#REF!,2,FALSE)</f>
        <v>#REF!</v>
      </c>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row>
    <row r="113" spans="1:80" hidden="1" x14ac:dyDescent="0.25">
      <c r="A113" s="31" t="s">
        <v>1544</v>
      </c>
      <c r="B113" s="39" t="s">
        <v>1743</v>
      </c>
      <c r="C113" s="30" t="s">
        <v>1744</v>
      </c>
      <c r="D113" s="30" t="s">
        <v>52</v>
      </c>
      <c r="E113" s="20" t="s">
        <v>1709</v>
      </c>
      <c r="F113" s="26" t="s">
        <v>1725</v>
      </c>
      <c r="G113" s="36"/>
      <c r="H113" s="36" t="s">
        <v>52</v>
      </c>
      <c r="I113" s="29" t="e">
        <f>VLOOKUP(B113,#REF!,2,FALSE)</f>
        <v>#REF!</v>
      </c>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row>
    <row r="114" spans="1:80" hidden="1" x14ac:dyDescent="0.25">
      <c r="A114" s="31" t="s">
        <v>1550</v>
      </c>
      <c r="B114" s="39" t="s">
        <v>1549</v>
      </c>
      <c r="C114" s="30" t="s">
        <v>228</v>
      </c>
      <c r="D114" s="30" t="s">
        <v>52</v>
      </c>
      <c r="E114" s="20" t="s">
        <v>1709</v>
      </c>
      <c r="F114" s="26" t="s">
        <v>1725</v>
      </c>
      <c r="G114" s="36"/>
      <c r="H114" s="36"/>
      <c r="I114" s="29" t="e">
        <f>VLOOKUP(B114,#REF!,2,FALSE)</f>
        <v>#REF!</v>
      </c>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row>
    <row r="115" spans="1:80" hidden="1" x14ac:dyDescent="0.25">
      <c r="A115" s="31" t="s">
        <v>1551</v>
      </c>
      <c r="B115" s="39" t="s">
        <v>1745</v>
      </c>
      <c r="C115" s="30" t="s">
        <v>1746</v>
      </c>
      <c r="D115" s="30" t="s">
        <v>78</v>
      </c>
      <c r="E115" s="20" t="s">
        <v>1709</v>
      </c>
      <c r="F115" s="26" t="s">
        <v>1725</v>
      </c>
      <c r="G115" s="36"/>
      <c r="H115" s="36" t="s">
        <v>78</v>
      </c>
      <c r="I115" s="29" t="e">
        <f>VLOOKUP(B115,#REF!,2,FALSE)</f>
        <v>#REF!</v>
      </c>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row>
    <row r="116" spans="1:80" hidden="1" x14ac:dyDescent="0.25">
      <c r="A116" s="31" t="s">
        <v>1554</v>
      </c>
      <c r="B116" s="39" t="s">
        <v>1747</v>
      </c>
      <c r="C116" s="30" t="s">
        <v>1748</v>
      </c>
      <c r="D116" s="30" t="s">
        <v>78</v>
      </c>
      <c r="E116" s="20" t="s">
        <v>1709</v>
      </c>
      <c r="F116" s="26" t="s">
        <v>1725</v>
      </c>
      <c r="G116" s="36"/>
      <c r="H116" s="36"/>
      <c r="I116" s="29" t="e">
        <f>VLOOKUP(B116,#REF!,2,FALSE)</f>
        <v>#REF!</v>
      </c>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row>
    <row r="117" spans="1:80" hidden="1" x14ac:dyDescent="0.25">
      <c r="A117" s="31" t="s">
        <v>1572</v>
      </c>
      <c r="B117" s="39" t="s">
        <v>1749</v>
      </c>
      <c r="C117" s="30" t="s">
        <v>1750</v>
      </c>
      <c r="D117" s="30" t="s">
        <v>78</v>
      </c>
      <c r="E117" s="20" t="s">
        <v>1709</v>
      </c>
      <c r="F117" s="26" t="s">
        <v>1725</v>
      </c>
      <c r="G117" s="36"/>
      <c r="H117" s="36"/>
      <c r="I117" s="29" t="e">
        <f>VLOOKUP(B117,#REF!,2,FALSE)</f>
        <v>#REF!</v>
      </c>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row>
    <row r="118" spans="1:80" hidden="1" x14ac:dyDescent="0.25">
      <c r="A118" s="31" t="s">
        <v>1578</v>
      </c>
      <c r="B118" s="39" t="s">
        <v>1751</v>
      </c>
      <c r="C118" s="30" t="s">
        <v>1752</v>
      </c>
      <c r="D118" s="30" t="s">
        <v>78</v>
      </c>
      <c r="E118" s="20" t="s">
        <v>1709</v>
      </c>
      <c r="F118" s="26" t="s">
        <v>1725</v>
      </c>
      <c r="G118" s="36"/>
      <c r="H118" s="36" t="s">
        <v>78</v>
      </c>
      <c r="I118" s="29" t="e">
        <f>VLOOKUP(B118,#REF!,2,FALSE)</f>
        <v>#REF!</v>
      </c>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row>
    <row r="119" spans="1:80" hidden="1" x14ac:dyDescent="0.25">
      <c r="A119" s="31" t="s">
        <v>1580</v>
      </c>
      <c r="B119" s="39" t="s">
        <v>1753</v>
      </c>
      <c r="C119" s="30" t="s">
        <v>1754</v>
      </c>
      <c r="D119" s="30" t="s">
        <v>78</v>
      </c>
      <c r="E119" s="20" t="s">
        <v>1709</v>
      </c>
      <c r="F119" s="26" t="s">
        <v>1725</v>
      </c>
      <c r="G119" s="36"/>
      <c r="H119" s="36" t="s">
        <v>78</v>
      </c>
      <c r="I119" s="29" t="e">
        <f>VLOOKUP(B119,#REF!,2,FALSE)</f>
        <v>#REF!</v>
      </c>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row>
    <row r="120" spans="1:80" hidden="1" x14ac:dyDescent="0.25">
      <c r="A120" s="31" t="s">
        <v>1587</v>
      </c>
      <c r="B120" s="39" t="s">
        <v>1755</v>
      </c>
      <c r="C120" s="30" t="s">
        <v>1706</v>
      </c>
      <c r="D120" s="30" t="s">
        <v>78</v>
      </c>
      <c r="E120" s="20" t="s">
        <v>1709</v>
      </c>
      <c r="F120" s="26" t="s">
        <v>1725</v>
      </c>
      <c r="G120" s="36"/>
      <c r="H120" s="36"/>
      <c r="I120" s="29" t="e">
        <f>VLOOKUP(B120,#REF!,2,FALSE)</f>
        <v>#REF!</v>
      </c>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row>
    <row r="121" spans="1:80" hidden="1" x14ac:dyDescent="0.25">
      <c r="A121" s="31" t="s">
        <v>1423</v>
      </c>
      <c r="B121" s="39" t="s">
        <v>1422</v>
      </c>
      <c r="C121" s="30" t="s">
        <v>412</v>
      </c>
      <c r="D121" s="30" t="s">
        <v>52</v>
      </c>
      <c r="E121" s="20" t="s">
        <v>1709</v>
      </c>
      <c r="F121" s="26" t="s">
        <v>1756</v>
      </c>
      <c r="G121" s="36"/>
      <c r="H121" s="36"/>
      <c r="I121" s="29" t="e">
        <f>VLOOKUP(B121,#REF!,2,FALSE)</f>
        <v>#REF!</v>
      </c>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row>
    <row r="122" spans="1:80" hidden="1" x14ac:dyDescent="0.25">
      <c r="A122" s="31" t="s">
        <v>1432</v>
      </c>
      <c r="B122" s="39" t="s">
        <v>896</v>
      </c>
      <c r="C122" s="30" t="s">
        <v>1007</v>
      </c>
      <c r="D122" s="30" t="s">
        <v>78</v>
      </c>
      <c r="E122" s="20" t="s">
        <v>1709</v>
      </c>
      <c r="F122" s="26" t="s">
        <v>1756</v>
      </c>
      <c r="G122" s="36"/>
      <c r="H122" s="36"/>
      <c r="I122" s="29" t="e">
        <f>VLOOKUP(B122,#REF!,2,FALSE)</f>
        <v>#REF!</v>
      </c>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row>
    <row r="123" spans="1:80" hidden="1" x14ac:dyDescent="0.25">
      <c r="A123" s="31" t="s">
        <v>1442</v>
      </c>
      <c r="B123" s="39" t="s">
        <v>1441</v>
      </c>
      <c r="C123" s="30" t="s">
        <v>334</v>
      </c>
      <c r="D123" s="30" t="s">
        <v>14</v>
      </c>
      <c r="E123" s="20" t="s">
        <v>1709</v>
      </c>
      <c r="F123" s="26" t="s">
        <v>1756</v>
      </c>
      <c r="G123" s="36"/>
      <c r="H123" s="36"/>
      <c r="I123" s="29" t="e">
        <f>VLOOKUP(B123,#REF!,2,FALSE)</f>
        <v>#REF!</v>
      </c>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row>
    <row r="124" spans="1:80" hidden="1" x14ac:dyDescent="0.25">
      <c r="A124" s="31" t="s">
        <v>1543</v>
      </c>
      <c r="B124" s="39" t="s">
        <v>1542</v>
      </c>
      <c r="C124" s="30" t="s">
        <v>33</v>
      </c>
      <c r="D124" s="30" t="s">
        <v>52</v>
      </c>
      <c r="E124" s="20" t="s">
        <v>1709</v>
      </c>
      <c r="F124" s="26" t="s">
        <v>1756</v>
      </c>
      <c r="G124" s="36"/>
      <c r="H124" s="36"/>
      <c r="I124" s="29" t="e">
        <f>VLOOKUP(B124,#REF!,2,FALSE)</f>
        <v>#REF!</v>
      </c>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row>
    <row r="125" spans="1:80" hidden="1" x14ac:dyDescent="0.25">
      <c r="A125" s="31" t="s">
        <v>1559</v>
      </c>
      <c r="B125" s="39" t="s">
        <v>1557</v>
      </c>
      <c r="C125" s="30" t="s">
        <v>1558</v>
      </c>
      <c r="D125" s="30" t="s">
        <v>52</v>
      </c>
      <c r="E125" s="20" t="s">
        <v>1709</v>
      </c>
      <c r="F125" s="26" t="s">
        <v>1756</v>
      </c>
      <c r="G125" s="36"/>
      <c r="H125" s="36"/>
      <c r="I125" s="29" t="e">
        <f>VLOOKUP(B125,#REF!,2,FALSE)</f>
        <v>#REF!</v>
      </c>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row>
    <row r="126" spans="1:80" hidden="1" x14ac:dyDescent="0.25">
      <c r="A126" s="31" t="s">
        <v>1393</v>
      </c>
      <c r="B126" s="39" t="s">
        <v>1392</v>
      </c>
      <c r="C126" s="30" t="s">
        <v>55</v>
      </c>
      <c r="D126" s="30" t="s">
        <v>10</v>
      </c>
      <c r="E126" s="20" t="s">
        <v>1709</v>
      </c>
      <c r="F126" s="26" t="s">
        <v>1756</v>
      </c>
      <c r="G126" s="36"/>
      <c r="H126" s="36"/>
      <c r="I126" s="29" t="e">
        <f>VLOOKUP(B126,#REF!,2,FALSE)</f>
        <v>#REF!</v>
      </c>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row>
    <row r="127" spans="1:80" hidden="1" x14ac:dyDescent="0.25">
      <c r="A127" s="33" t="s">
        <v>1410</v>
      </c>
      <c r="B127" s="38" t="s">
        <v>1408</v>
      </c>
      <c r="C127" s="32" t="s">
        <v>1409</v>
      </c>
      <c r="D127" s="32" t="s">
        <v>52</v>
      </c>
      <c r="E127" s="21" t="s">
        <v>1709</v>
      </c>
      <c r="F127" s="25" t="s">
        <v>1757</v>
      </c>
      <c r="G127" s="37"/>
      <c r="H127" s="37"/>
      <c r="I127" s="29" t="e">
        <f>VLOOKUP(B127,#REF!,2,FALSE)</f>
        <v>#REF!</v>
      </c>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row>
    <row r="128" spans="1:80" x14ac:dyDescent="0.25">
      <c r="A128" s="33" t="s">
        <v>1758</v>
      </c>
      <c r="B128" s="38" t="s">
        <v>1759</v>
      </c>
      <c r="C128" s="32" t="s">
        <v>119</v>
      </c>
      <c r="D128" s="32" t="s">
        <v>78</v>
      </c>
      <c r="E128" s="21" t="s">
        <v>1709</v>
      </c>
      <c r="F128" s="25" t="s">
        <v>1757</v>
      </c>
      <c r="G128" s="37"/>
      <c r="H128" s="37"/>
      <c r="I128" s="29" t="e">
        <f>VLOOKUP(B128,#REF!,2,FALSE)</f>
        <v>#REF!</v>
      </c>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row>
    <row r="129" spans="1:80" hidden="1" x14ac:dyDescent="0.25">
      <c r="A129" s="31" t="s">
        <v>1426</v>
      </c>
      <c r="B129" s="39" t="s">
        <v>1425</v>
      </c>
      <c r="C129" s="30" t="s">
        <v>292</v>
      </c>
      <c r="D129" s="30" t="s">
        <v>52</v>
      </c>
      <c r="E129" s="20" t="s">
        <v>1709</v>
      </c>
      <c r="F129" s="26" t="s">
        <v>1757</v>
      </c>
      <c r="G129" s="36"/>
      <c r="H129" s="36"/>
      <c r="I129" s="29" t="e">
        <f>VLOOKUP(B129,#REF!,2,FALSE)</f>
        <v>#REF!</v>
      </c>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row>
    <row r="130" spans="1:80" x14ac:dyDescent="0.25">
      <c r="A130" s="33" t="s">
        <v>1760</v>
      </c>
      <c r="B130" s="38" t="s">
        <v>1761</v>
      </c>
      <c r="C130" s="32" t="s">
        <v>107</v>
      </c>
      <c r="D130" s="32" t="s">
        <v>52</v>
      </c>
      <c r="E130" s="21" t="s">
        <v>1709</v>
      </c>
      <c r="F130" s="25" t="s">
        <v>1757</v>
      </c>
      <c r="G130" s="37"/>
      <c r="H130" s="37"/>
      <c r="I130" s="29" t="e">
        <f>VLOOKUP(B130,#REF!,2,FALSE)</f>
        <v>#REF!</v>
      </c>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row>
    <row r="131" spans="1:80" x14ac:dyDescent="0.25">
      <c r="A131" s="31" t="s">
        <v>1762</v>
      </c>
      <c r="B131" s="39" t="s">
        <v>1763</v>
      </c>
      <c r="C131" s="30" t="s">
        <v>33</v>
      </c>
      <c r="D131" s="30" t="s">
        <v>10</v>
      </c>
      <c r="E131" s="20" t="s">
        <v>1709</v>
      </c>
      <c r="F131" s="26" t="s">
        <v>1757</v>
      </c>
      <c r="G131" s="36"/>
      <c r="H131" s="36"/>
      <c r="I131" s="29" t="e">
        <f>VLOOKUP(B131,#REF!,2,FALSE)</f>
        <v>#REF!</v>
      </c>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row>
    <row r="132" spans="1:80" hidden="1" x14ac:dyDescent="0.25">
      <c r="A132" s="31" t="s">
        <v>155</v>
      </c>
      <c r="B132" s="39" t="s">
        <v>153</v>
      </c>
      <c r="C132" s="36" t="s">
        <v>154</v>
      </c>
      <c r="D132" s="30" t="s">
        <v>78</v>
      </c>
      <c r="E132" s="20" t="s">
        <v>1709</v>
      </c>
      <c r="F132" s="26" t="s">
        <v>1757</v>
      </c>
      <c r="G132" s="36"/>
      <c r="H132" s="36"/>
      <c r="I132" s="29" t="e">
        <f>VLOOKUP(B132,#REF!,2,FALSE)</f>
        <v>#REF!</v>
      </c>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row>
    <row r="133" spans="1:80" hidden="1" x14ac:dyDescent="0.25">
      <c r="A133" s="31" t="s">
        <v>1446</v>
      </c>
      <c r="B133" s="39" t="s">
        <v>1445</v>
      </c>
      <c r="C133" s="36" t="s">
        <v>507</v>
      </c>
      <c r="D133" s="30" t="s">
        <v>78</v>
      </c>
      <c r="E133" s="20" t="s">
        <v>1709</v>
      </c>
      <c r="F133" s="26" t="s">
        <v>1757</v>
      </c>
      <c r="G133" s="36"/>
      <c r="H133" s="36"/>
      <c r="I133" s="29" t="e">
        <f>VLOOKUP(B133,#REF!,2,FALSE)</f>
        <v>#REF!</v>
      </c>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row>
    <row r="134" spans="1:80" hidden="1" x14ac:dyDescent="0.25">
      <c r="A134" s="31" t="s">
        <v>1448</v>
      </c>
      <c r="B134" s="39" t="s">
        <v>1447</v>
      </c>
      <c r="C134" s="36" t="s">
        <v>27</v>
      </c>
      <c r="D134" s="30" t="s">
        <v>52</v>
      </c>
      <c r="E134" s="20" t="s">
        <v>1709</v>
      </c>
      <c r="F134" s="26" t="s">
        <v>1757</v>
      </c>
      <c r="G134" s="36"/>
      <c r="H134" s="36"/>
      <c r="I134" s="29" t="e">
        <f>VLOOKUP(B134,#REF!,2,FALSE)</f>
        <v>#REF!</v>
      </c>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row>
    <row r="135" spans="1:80" hidden="1" x14ac:dyDescent="0.25">
      <c r="A135" s="31" t="s">
        <v>1459</v>
      </c>
      <c r="B135" s="39" t="s">
        <v>1458</v>
      </c>
      <c r="C135" s="30" t="s">
        <v>215</v>
      </c>
      <c r="D135" s="30" t="s">
        <v>78</v>
      </c>
      <c r="E135" s="20" t="s">
        <v>1709</v>
      </c>
      <c r="F135" s="26" t="s">
        <v>1757</v>
      </c>
      <c r="G135" s="36"/>
      <c r="H135" s="36"/>
      <c r="I135" s="29" t="e">
        <f>VLOOKUP(B135,#REF!,2,FALSE)</f>
        <v>#REF!</v>
      </c>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row>
    <row r="136" spans="1:80" hidden="1" x14ac:dyDescent="0.25">
      <c r="A136" s="31" t="s">
        <v>1472</v>
      </c>
      <c r="B136" s="39" t="s">
        <v>1471</v>
      </c>
      <c r="C136" s="30" t="s">
        <v>107</v>
      </c>
      <c r="D136" s="30" t="s">
        <v>78</v>
      </c>
      <c r="E136" s="20" t="s">
        <v>1709</v>
      </c>
      <c r="F136" s="26" t="s">
        <v>1757</v>
      </c>
      <c r="G136" s="36"/>
      <c r="H136" s="36"/>
      <c r="I136" s="29" t="e">
        <f>VLOOKUP(B136,#REF!,2,FALSE)</f>
        <v>#REF!</v>
      </c>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row>
    <row r="137" spans="1:80" hidden="1" x14ac:dyDescent="0.25">
      <c r="A137" s="31" t="s">
        <v>190</v>
      </c>
      <c r="B137" s="39" t="s">
        <v>189</v>
      </c>
      <c r="C137" s="30" t="s">
        <v>27</v>
      </c>
      <c r="D137" s="30" t="s">
        <v>78</v>
      </c>
      <c r="E137" s="20" t="s">
        <v>1709</v>
      </c>
      <c r="F137" s="26" t="s">
        <v>1757</v>
      </c>
      <c r="G137" s="36"/>
      <c r="H137" s="36"/>
      <c r="I137" s="29" t="e">
        <f>VLOOKUP(B137,#REF!,2,FALSE)</f>
        <v>#REF!</v>
      </c>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row>
    <row r="138" spans="1:80" hidden="1" x14ac:dyDescent="0.25">
      <c r="A138" s="31" t="s">
        <v>1475</v>
      </c>
      <c r="B138" s="39" t="s">
        <v>1764</v>
      </c>
      <c r="C138" s="30" t="s">
        <v>1765</v>
      </c>
      <c r="D138" s="30" t="s">
        <v>78</v>
      </c>
      <c r="E138" s="20" t="s">
        <v>1709</v>
      </c>
      <c r="F138" s="26" t="s">
        <v>1757</v>
      </c>
      <c r="G138" s="36"/>
      <c r="H138" s="36"/>
      <c r="I138" s="29" t="e">
        <f>VLOOKUP(B138,#REF!,2,FALSE)</f>
        <v>#REF!</v>
      </c>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row>
    <row r="139" spans="1:80" hidden="1" x14ac:dyDescent="0.25">
      <c r="A139" s="31" t="s">
        <v>1505</v>
      </c>
      <c r="B139" s="39" t="s">
        <v>1766</v>
      </c>
      <c r="C139" s="30" t="s">
        <v>1767</v>
      </c>
      <c r="D139" s="30" t="s">
        <v>78</v>
      </c>
      <c r="E139" s="20" t="s">
        <v>1709</v>
      </c>
      <c r="F139" s="26" t="s">
        <v>1757</v>
      </c>
      <c r="G139" s="36"/>
      <c r="H139" s="36"/>
      <c r="I139" s="29" t="e">
        <f>VLOOKUP(B139,#REF!,2,FALSE)</f>
        <v>#REF!</v>
      </c>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row>
    <row r="140" spans="1:80" hidden="1" x14ac:dyDescent="0.25">
      <c r="A140" s="31" t="s">
        <v>723</v>
      </c>
      <c r="B140" s="39" t="s">
        <v>1768</v>
      </c>
      <c r="C140" s="30" t="s">
        <v>1769</v>
      </c>
      <c r="D140" s="30" t="s">
        <v>14</v>
      </c>
      <c r="E140" s="20" t="s">
        <v>1709</v>
      </c>
      <c r="F140" s="26" t="s">
        <v>1757</v>
      </c>
      <c r="G140" s="36"/>
      <c r="H140" s="36"/>
      <c r="I140" s="29" t="e">
        <f>VLOOKUP(B140,#REF!,2,FALSE)</f>
        <v>#REF!</v>
      </c>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row>
    <row r="141" spans="1:80" hidden="1" x14ac:dyDescent="0.25">
      <c r="A141" s="33" t="s">
        <v>1507</v>
      </c>
      <c r="B141" s="38" t="s">
        <v>1506</v>
      </c>
      <c r="C141" s="32" t="s">
        <v>27</v>
      </c>
      <c r="D141" s="32" t="s">
        <v>78</v>
      </c>
      <c r="E141" s="21" t="s">
        <v>1709</v>
      </c>
      <c r="F141" s="25" t="s">
        <v>1757</v>
      </c>
      <c r="G141" s="37"/>
      <c r="H141" s="37"/>
      <c r="I141" s="29" t="e">
        <f>VLOOKUP(B141,#REF!,2,FALSE)</f>
        <v>#REF!</v>
      </c>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row>
    <row r="142" spans="1:80" hidden="1" x14ac:dyDescent="0.25">
      <c r="A142" s="31" t="s">
        <v>1513</v>
      </c>
      <c r="B142" s="39" t="s">
        <v>1512</v>
      </c>
      <c r="C142" s="30" t="s">
        <v>228</v>
      </c>
      <c r="D142" s="30" t="s">
        <v>78</v>
      </c>
      <c r="E142" s="20" t="s">
        <v>1709</v>
      </c>
      <c r="F142" s="26" t="s">
        <v>1757</v>
      </c>
      <c r="G142" s="36"/>
      <c r="H142" s="36"/>
      <c r="I142" s="29" t="e">
        <f>VLOOKUP(B142,#REF!,2,FALSE)</f>
        <v>#REF!</v>
      </c>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row>
    <row r="143" spans="1:80" x14ac:dyDescent="0.25">
      <c r="A143" s="31" t="s">
        <v>1770</v>
      </c>
      <c r="B143" s="39" t="s">
        <v>1771</v>
      </c>
      <c r="C143" s="30" t="s">
        <v>1723</v>
      </c>
      <c r="D143" s="30" t="s">
        <v>78</v>
      </c>
      <c r="E143" s="20" t="s">
        <v>1709</v>
      </c>
      <c r="F143" s="26" t="s">
        <v>1757</v>
      </c>
      <c r="G143" s="36"/>
      <c r="H143" s="36"/>
      <c r="I143" s="29" t="e">
        <f>VLOOKUP(B143,#REF!,2,FALSE)</f>
        <v>#REF!</v>
      </c>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row>
    <row r="144" spans="1:80" hidden="1" x14ac:dyDescent="0.25">
      <c r="A144" s="31" t="s">
        <v>739</v>
      </c>
      <c r="B144" s="39" t="s">
        <v>1772</v>
      </c>
      <c r="C144" s="30" t="s">
        <v>1690</v>
      </c>
      <c r="D144" s="30" t="s">
        <v>52</v>
      </c>
      <c r="E144" s="20" t="s">
        <v>1709</v>
      </c>
      <c r="F144" s="26" t="s">
        <v>1757</v>
      </c>
      <c r="G144" s="36"/>
      <c r="H144" s="36"/>
      <c r="I144" s="29" t="e">
        <f>VLOOKUP(B144,#REF!,2,FALSE)</f>
        <v>#REF!</v>
      </c>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row>
    <row r="145" spans="1:80" hidden="1" x14ac:dyDescent="0.25">
      <c r="A145" s="31" t="s">
        <v>1528</v>
      </c>
      <c r="B145" s="39" t="s">
        <v>1527</v>
      </c>
      <c r="C145" s="30" t="s">
        <v>107</v>
      </c>
      <c r="D145" s="30" t="s">
        <v>52</v>
      </c>
      <c r="E145" s="20" t="s">
        <v>1709</v>
      </c>
      <c r="F145" s="26" t="s">
        <v>1757</v>
      </c>
      <c r="G145" s="36"/>
      <c r="H145" s="36"/>
      <c r="I145" s="29" t="e">
        <f>VLOOKUP(B145,#REF!,2,FALSE)</f>
        <v>#REF!</v>
      </c>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row>
    <row r="146" spans="1:80" hidden="1" x14ac:dyDescent="0.25">
      <c r="A146" s="33" t="s">
        <v>1564</v>
      </c>
      <c r="B146" s="38" t="s">
        <v>1563</v>
      </c>
      <c r="C146" s="32" t="s">
        <v>515</v>
      </c>
      <c r="D146" s="32" t="s">
        <v>78</v>
      </c>
      <c r="E146" s="21" t="s">
        <v>1709</v>
      </c>
      <c r="F146" s="25" t="s">
        <v>1757</v>
      </c>
      <c r="G146" s="37"/>
      <c r="H146" s="37"/>
      <c r="I146" s="29" t="e">
        <f>VLOOKUP(B146,#REF!,2,FALSE)</f>
        <v>#REF!</v>
      </c>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row>
    <row r="147" spans="1:80" hidden="1" x14ac:dyDescent="0.25">
      <c r="A147" s="31" t="s">
        <v>1574</v>
      </c>
      <c r="B147" s="39" t="s">
        <v>1773</v>
      </c>
      <c r="C147" s="30" t="s">
        <v>1774</v>
      </c>
      <c r="D147" s="30" t="s">
        <v>78</v>
      </c>
      <c r="E147" s="20" t="s">
        <v>1709</v>
      </c>
      <c r="F147" s="26" t="s">
        <v>1757</v>
      </c>
      <c r="G147" s="36"/>
      <c r="H147" s="36"/>
      <c r="I147" s="29" t="e">
        <f>VLOOKUP(B147,#REF!,2,FALSE)</f>
        <v>#REF!</v>
      </c>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row>
    <row r="148" spans="1:80" hidden="1" x14ac:dyDescent="0.25">
      <c r="A148" s="31" t="s">
        <v>1584</v>
      </c>
      <c r="B148" s="39" t="s">
        <v>1775</v>
      </c>
      <c r="C148" s="30" t="s">
        <v>1696</v>
      </c>
      <c r="D148" s="30" t="s">
        <v>78</v>
      </c>
      <c r="E148" s="20" t="s">
        <v>1709</v>
      </c>
      <c r="F148" s="26" t="s">
        <v>1757</v>
      </c>
      <c r="G148" s="36"/>
      <c r="H148" s="36"/>
      <c r="I148" s="29" t="e">
        <f>VLOOKUP(B148,#REF!,2,FALSE)</f>
        <v>#REF!</v>
      </c>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row>
    <row r="149" spans="1:80" hidden="1" x14ac:dyDescent="0.25">
      <c r="A149" s="33" t="s">
        <v>1128</v>
      </c>
      <c r="B149" s="38" t="s">
        <v>1127</v>
      </c>
      <c r="C149" s="32" t="s">
        <v>173</v>
      </c>
      <c r="D149" s="32" t="s">
        <v>78</v>
      </c>
      <c r="E149" s="21" t="s">
        <v>1709</v>
      </c>
      <c r="F149" s="25" t="s">
        <v>1757</v>
      </c>
      <c r="G149" s="37"/>
      <c r="H149" s="37"/>
      <c r="I149" s="29" t="e">
        <f>VLOOKUP(B149,#REF!,2,FALSE)</f>
        <v>#REF!</v>
      </c>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row>
    <row r="150" spans="1:80" hidden="1" x14ac:dyDescent="0.25">
      <c r="A150" s="31" t="s">
        <v>1138</v>
      </c>
      <c r="B150" s="39" t="s">
        <v>1137</v>
      </c>
      <c r="C150" s="30" t="s">
        <v>144</v>
      </c>
      <c r="D150" s="30" t="s">
        <v>78</v>
      </c>
      <c r="E150" s="20" t="s">
        <v>1709</v>
      </c>
      <c r="F150" s="26" t="s">
        <v>1757</v>
      </c>
      <c r="G150" s="36"/>
      <c r="H150" s="36"/>
      <c r="I150" s="29" t="e">
        <f>VLOOKUP(B150,#REF!,2,FALSE)</f>
        <v>#REF!</v>
      </c>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row>
    <row r="151" spans="1:80" hidden="1" x14ac:dyDescent="0.25">
      <c r="A151" s="31" t="s">
        <v>1593</v>
      </c>
      <c r="B151" s="39" t="s">
        <v>1592</v>
      </c>
      <c r="C151" s="30" t="s">
        <v>27</v>
      </c>
      <c r="D151" s="30" t="s">
        <v>78</v>
      </c>
      <c r="E151" s="20" t="s">
        <v>1709</v>
      </c>
      <c r="F151" s="26" t="s">
        <v>1757</v>
      </c>
      <c r="G151" s="36"/>
      <c r="H151" s="36"/>
      <c r="I151" s="29" t="e">
        <f>VLOOKUP(B151,#REF!,2,FALSE)</f>
        <v>#REF!</v>
      </c>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row>
    <row r="152" spans="1:80" x14ac:dyDescent="0.25">
      <c r="A152" s="31" t="s">
        <v>1776</v>
      </c>
      <c r="B152" s="39" t="s">
        <v>1777</v>
      </c>
      <c r="C152" s="30" t="s">
        <v>15</v>
      </c>
      <c r="D152" s="30" t="s">
        <v>52</v>
      </c>
      <c r="E152" s="20" t="s">
        <v>1778</v>
      </c>
      <c r="F152" s="26" t="s">
        <v>1779</v>
      </c>
      <c r="G152" s="36"/>
      <c r="H152" s="36" t="s">
        <v>52</v>
      </c>
      <c r="I152" s="29" t="e">
        <f>VLOOKUP(B152,#REF!,2,FALSE)</f>
        <v>#REF!</v>
      </c>
      <c r="J152" s="27"/>
      <c r="K152" s="27"/>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c r="BU152" s="27"/>
      <c r="BV152" s="27"/>
      <c r="BW152" s="27"/>
      <c r="BX152" s="27"/>
      <c r="BY152" s="27"/>
      <c r="BZ152" s="27"/>
      <c r="CA152" s="27"/>
      <c r="CB152" s="27"/>
    </row>
    <row r="153" spans="1:80" hidden="1" x14ac:dyDescent="0.25">
      <c r="A153" s="31" t="s">
        <v>619</v>
      </c>
      <c r="B153" s="39" t="s">
        <v>618</v>
      </c>
      <c r="C153" s="30" t="s">
        <v>27</v>
      </c>
      <c r="D153" s="30" t="s">
        <v>52</v>
      </c>
      <c r="E153" s="20" t="s">
        <v>1778</v>
      </c>
      <c r="F153" s="26" t="s">
        <v>1779</v>
      </c>
      <c r="G153" s="36"/>
      <c r="H153" s="36" t="s">
        <v>52</v>
      </c>
      <c r="I153" s="29" t="e">
        <f>VLOOKUP(B153,#REF!,2,FALSE)</f>
        <v>#REF!</v>
      </c>
      <c r="J153" s="27"/>
      <c r="K153" s="27"/>
      <c r="L153" s="27"/>
      <c r="M153" s="27"/>
      <c r="N153" s="27"/>
      <c r="O153" s="27"/>
      <c r="P153" s="27"/>
      <c r="Q153" s="27"/>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c r="AO153" s="27"/>
      <c r="AP153" s="27"/>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c r="BU153" s="27"/>
      <c r="BV153" s="27"/>
      <c r="BW153" s="27"/>
      <c r="BX153" s="27"/>
      <c r="BY153" s="27"/>
      <c r="BZ153" s="27"/>
      <c r="CA153" s="27"/>
      <c r="CB153" s="27"/>
    </row>
    <row r="154" spans="1:80" hidden="1" x14ac:dyDescent="0.25">
      <c r="A154" s="31" t="s">
        <v>681</v>
      </c>
      <c r="B154" s="39" t="s">
        <v>680</v>
      </c>
      <c r="C154" s="30" t="s">
        <v>91</v>
      </c>
      <c r="D154" s="30" t="s">
        <v>52</v>
      </c>
      <c r="E154" s="20" t="s">
        <v>1778</v>
      </c>
      <c r="F154" s="26" t="s">
        <v>1779</v>
      </c>
      <c r="G154" s="36"/>
      <c r="H154" s="36" t="s">
        <v>52</v>
      </c>
      <c r="I154" s="29" t="e">
        <f>VLOOKUP(B154,#REF!,2,FALSE)</f>
        <v>#REF!</v>
      </c>
      <c r="J154" s="27"/>
      <c r="K154" s="27"/>
      <c r="L154" s="27"/>
      <c r="M154" s="27"/>
      <c r="N154" s="27"/>
      <c r="O154" s="27"/>
      <c r="P154" s="27"/>
      <c r="Q154" s="27"/>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c r="AO154" s="27"/>
      <c r="AP154" s="27"/>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c r="BU154" s="27"/>
      <c r="BV154" s="27"/>
      <c r="BW154" s="27"/>
      <c r="BX154" s="27"/>
      <c r="BY154" s="27"/>
      <c r="BZ154" s="27"/>
      <c r="CA154" s="27"/>
      <c r="CB154" s="27"/>
    </row>
    <row r="155" spans="1:80" x14ac:dyDescent="0.25">
      <c r="A155" s="31" t="s">
        <v>1780</v>
      </c>
      <c r="B155" s="39" t="s">
        <v>1781</v>
      </c>
      <c r="C155" s="30" t="s">
        <v>316</v>
      </c>
      <c r="D155" s="30" t="s">
        <v>10</v>
      </c>
      <c r="E155" s="20" t="s">
        <v>1778</v>
      </c>
      <c r="F155" s="26" t="s">
        <v>1779</v>
      </c>
      <c r="G155" s="36"/>
      <c r="H155" s="36" t="s">
        <v>10</v>
      </c>
      <c r="I155" s="29" t="e">
        <f>VLOOKUP(B155,#REF!,2,FALSE)</f>
        <v>#REF!</v>
      </c>
      <c r="J155" s="27"/>
      <c r="K155" s="27"/>
      <c r="L155" s="27"/>
      <c r="M155" s="27"/>
      <c r="N155" s="27"/>
      <c r="O155" s="27"/>
      <c r="P155" s="27"/>
      <c r="Q155" s="27"/>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c r="AO155" s="27"/>
      <c r="AP155" s="27"/>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c r="BU155" s="27"/>
      <c r="BV155" s="27"/>
      <c r="BW155" s="27"/>
      <c r="BX155" s="27"/>
      <c r="BY155" s="27"/>
      <c r="BZ155" s="27"/>
      <c r="CA155" s="27"/>
      <c r="CB155" s="27"/>
    </row>
    <row r="156" spans="1:80" hidden="1" x14ac:dyDescent="0.25">
      <c r="A156" s="31" t="s">
        <v>705</v>
      </c>
      <c r="B156" s="39" t="s">
        <v>704</v>
      </c>
      <c r="C156" s="30" t="s">
        <v>116</v>
      </c>
      <c r="D156" s="30" t="s">
        <v>52</v>
      </c>
      <c r="E156" s="20" t="s">
        <v>1778</v>
      </c>
      <c r="F156" s="26" t="s">
        <v>1779</v>
      </c>
      <c r="G156" s="36"/>
      <c r="H156" s="36" t="s">
        <v>52</v>
      </c>
      <c r="I156" s="29" t="e">
        <f>VLOOKUP(B156,#REF!,2,FALSE)</f>
        <v>#REF!</v>
      </c>
      <c r="J156" s="27"/>
      <c r="K156" s="27"/>
      <c r="L156" s="27"/>
      <c r="M156" s="27"/>
      <c r="N156" s="27"/>
      <c r="O156" s="27"/>
      <c r="P156" s="27"/>
      <c r="Q156" s="27"/>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c r="AO156" s="27"/>
      <c r="AP156" s="27"/>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c r="BU156" s="27"/>
      <c r="BV156" s="27"/>
      <c r="BW156" s="27"/>
      <c r="BX156" s="27"/>
      <c r="BY156" s="27"/>
      <c r="BZ156" s="27"/>
      <c r="CA156" s="27"/>
      <c r="CB156" s="27"/>
    </row>
    <row r="157" spans="1:80" hidden="1" x14ac:dyDescent="0.25">
      <c r="A157" s="31" t="s">
        <v>725</v>
      </c>
      <c r="B157" s="39" t="s">
        <v>724</v>
      </c>
      <c r="C157" s="30" t="s">
        <v>64</v>
      </c>
      <c r="D157" s="30" t="s">
        <v>52</v>
      </c>
      <c r="E157" s="20" t="s">
        <v>1778</v>
      </c>
      <c r="F157" s="26" t="s">
        <v>1779</v>
      </c>
      <c r="G157" s="36"/>
      <c r="H157" s="36" t="s">
        <v>52</v>
      </c>
      <c r="I157" s="29" t="e">
        <f>VLOOKUP(B157,#REF!,2,FALSE)</f>
        <v>#REF!</v>
      </c>
      <c r="J157" s="27"/>
      <c r="K157" s="27"/>
      <c r="L157" s="27"/>
      <c r="M157" s="27"/>
      <c r="N157" s="27"/>
      <c r="O157" s="27"/>
      <c r="P157" s="27"/>
      <c r="Q157" s="27"/>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c r="AO157" s="27"/>
      <c r="AP157" s="27"/>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c r="BU157" s="27"/>
      <c r="BV157" s="27"/>
      <c r="BW157" s="27"/>
      <c r="BX157" s="27"/>
      <c r="BY157" s="27"/>
      <c r="BZ157" s="27"/>
      <c r="CA157" s="27"/>
      <c r="CB157" s="27"/>
    </row>
    <row r="158" spans="1:80" x14ac:dyDescent="0.25">
      <c r="A158" s="31" t="s">
        <v>1782</v>
      </c>
      <c r="B158" s="39" t="s">
        <v>1783</v>
      </c>
      <c r="C158" s="30" t="s">
        <v>163</v>
      </c>
      <c r="D158" s="30" t="s">
        <v>52</v>
      </c>
      <c r="E158" s="20" t="s">
        <v>1778</v>
      </c>
      <c r="F158" s="26" t="s">
        <v>1779</v>
      </c>
      <c r="G158" s="36"/>
      <c r="H158" s="36" t="s">
        <v>52</v>
      </c>
      <c r="I158" s="29" t="e">
        <f>VLOOKUP(B158,#REF!,2,FALSE)</f>
        <v>#REF!</v>
      </c>
      <c r="J158" s="27"/>
      <c r="K158" s="27"/>
      <c r="L158" s="27"/>
      <c r="M158" s="27"/>
      <c r="N158" s="27"/>
      <c r="O158" s="27"/>
      <c r="P158" s="27"/>
      <c r="Q158" s="27"/>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c r="AO158" s="27"/>
      <c r="AP158" s="27"/>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c r="BU158" s="27"/>
      <c r="BV158" s="27"/>
      <c r="BW158" s="27"/>
      <c r="BX158" s="27"/>
      <c r="BY158" s="27"/>
      <c r="BZ158" s="27"/>
      <c r="CA158" s="27"/>
      <c r="CB158" s="27"/>
    </row>
    <row r="159" spans="1:80" hidden="1" x14ac:dyDescent="0.25">
      <c r="A159" s="33" t="s">
        <v>746</v>
      </c>
      <c r="B159" s="38" t="s">
        <v>745</v>
      </c>
      <c r="C159" s="32" t="s">
        <v>107</v>
      </c>
      <c r="D159" s="32" t="s">
        <v>78</v>
      </c>
      <c r="E159" s="21" t="s">
        <v>1778</v>
      </c>
      <c r="F159" s="25" t="s">
        <v>1779</v>
      </c>
      <c r="G159" s="32"/>
      <c r="H159" s="32" t="s">
        <v>78</v>
      </c>
      <c r="I159" s="29" t="e">
        <f>VLOOKUP(B159,#REF!,2,FALSE)</f>
        <v>#REF!</v>
      </c>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row>
    <row r="160" spans="1:80" hidden="1" x14ac:dyDescent="0.25">
      <c r="A160" s="31" t="s">
        <v>755</v>
      </c>
      <c r="B160" s="39" t="s">
        <v>754</v>
      </c>
      <c r="C160" s="30" t="s">
        <v>119</v>
      </c>
      <c r="D160" s="30" t="s">
        <v>52</v>
      </c>
      <c r="E160" s="20" t="s">
        <v>1778</v>
      </c>
      <c r="F160" s="26" t="s">
        <v>1779</v>
      </c>
      <c r="G160" s="36"/>
      <c r="H160" s="36" t="s">
        <v>52</v>
      </c>
      <c r="I160" s="29" t="e">
        <f>VLOOKUP(B160,#REF!,2,FALSE)</f>
        <v>#REF!</v>
      </c>
      <c r="J160" s="27"/>
      <c r="K160" s="27"/>
      <c r="L160" s="27"/>
      <c r="M160" s="27"/>
      <c r="N160" s="27"/>
      <c r="O160" s="27"/>
      <c r="P160" s="27"/>
      <c r="Q160" s="27"/>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c r="AO160" s="27"/>
      <c r="AP160" s="27"/>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c r="BU160" s="27"/>
      <c r="BV160" s="27"/>
      <c r="BW160" s="27"/>
      <c r="BX160" s="27"/>
      <c r="BY160" s="27"/>
      <c r="BZ160" s="27"/>
      <c r="CA160" s="27"/>
      <c r="CB160" s="27"/>
    </row>
    <row r="161" spans="1:80" hidden="1" x14ac:dyDescent="0.25">
      <c r="A161" s="31" t="s">
        <v>759</v>
      </c>
      <c r="B161" s="39" t="s">
        <v>758</v>
      </c>
      <c r="C161" s="30" t="s">
        <v>412</v>
      </c>
      <c r="D161" s="30" t="s">
        <v>52</v>
      </c>
      <c r="E161" s="20" t="s">
        <v>1778</v>
      </c>
      <c r="F161" s="26" t="s">
        <v>1779</v>
      </c>
      <c r="G161" s="36"/>
      <c r="H161" s="36" t="s">
        <v>52</v>
      </c>
      <c r="I161" s="29" t="e">
        <f>VLOOKUP(B161,#REF!,2,FALSE)</f>
        <v>#REF!</v>
      </c>
      <c r="J161" s="27"/>
      <c r="K161" s="27"/>
      <c r="L161" s="27"/>
      <c r="M161" s="27"/>
      <c r="N161" s="27"/>
      <c r="O161" s="27"/>
      <c r="P161" s="27"/>
      <c r="Q161" s="27"/>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c r="AO161" s="27"/>
      <c r="AP161" s="27"/>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c r="BU161" s="27"/>
      <c r="BV161" s="27"/>
      <c r="BW161" s="27"/>
      <c r="BX161" s="27"/>
      <c r="BY161" s="27"/>
      <c r="BZ161" s="27"/>
      <c r="CA161" s="27"/>
      <c r="CB161" s="27"/>
    </row>
    <row r="162" spans="1:80" x14ac:dyDescent="0.25">
      <c r="A162" s="31" t="s">
        <v>1784</v>
      </c>
      <c r="B162" s="39" t="s">
        <v>1785</v>
      </c>
      <c r="C162" s="30" t="s">
        <v>228</v>
      </c>
      <c r="D162" s="30" t="s">
        <v>78</v>
      </c>
      <c r="E162" s="20" t="s">
        <v>1778</v>
      </c>
      <c r="F162" s="26" t="s">
        <v>1779</v>
      </c>
      <c r="G162" s="36"/>
      <c r="H162" s="36" t="s">
        <v>78</v>
      </c>
      <c r="I162" s="29" t="e">
        <f>VLOOKUP(B162,#REF!,2,FALSE)</f>
        <v>#REF!</v>
      </c>
      <c r="J162" s="27"/>
      <c r="K162" s="27"/>
      <c r="L162" s="27"/>
      <c r="M162" s="27"/>
      <c r="N162" s="27"/>
      <c r="O162" s="27"/>
      <c r="P162" s="27"/>
      <c r="Q162" s="27"/>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c r="AO162" s="27"/>
      <c r="AP162" s="27"/>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c r="BU162" s="27"/>
      <c r="BV162" s="27"/>
      <c r="BW162" s="27"/>
      <c r="BX162" s="27"/>
      <c r="BY162" s="27"/>
      <c r="BZ162" s="27"/>
      <c r="CA162" s="27"/>
      <c r="CB162" s="27"/>
    </row>
    <row r="163" spans="1:80" x14ac:dyDescent="0.25">
      <c r="A163" s="31" t="s">
        <v>1786</v>
      </c>
      <c r="B163" s="39" t="s">
        <v>1787</v>
      </c>
      <c r="C163" s="30" t="s">
        <v>195</v>
      </c>
      <c r="D163" s="30" t="s">
        <v>52</v>
      </c>
      <c r="E163" s="20" t="s">
        <v>1778</v>
      </c>
      <c r="F163" s="26" t="s">
        <v>1779</v>
      </c>
      <c r="G163" s="36"/>
      <c r="H163" s="36" t="s">
        <v>52</v>
      </c>
      <c r="I163" s="29" t="e">
        <f>VLOOKUP(B163,#REF!,2,FALSE)</f>
        <v>#REF!</v>
      </c>
      <c r="J163" s="27"/>
      <c r="K163" s="27"/>
      <c r="L163" s="27"/>
      <c r="M163" s="27"/>
      <c r="N163" s="27"/>
      <c r="O163" s="27"/>
      <c r="P163" s="27"/>
      <c r="Q163" s="27"/>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c r="AO163" s="27"/>
      <c r="AP163" s="27"/>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c r="BU163" s="27"/>
      <c r="BV163" s="27"/>
      <c r="BW163" s="27"/>
      <c r="BX163" s="27"/>
      <c r="BY163" s="27"/>
      <c r="BZ163" s="27"/>
      <c r="CA163" s="27"/>
      <c r="CB163" s="27"/>
    </row>
    <row r="164" spans="1:80" x14ac:dyDescent="0.25">
      <c r="A164" s="31" t="s">
        <v>1788</v>
      </c>
      <c r="B164" s="39" t="s">
        <v>1789</v>
      </c>
      <c r="C164" s="30" t="s">
        <v>99</v>
      </c>
      <c r="D164" s="30" t="s">
        <v>78</v>
      </c>
      <c r="E164" s="20" t="s">
        <v>1778</v>
      </c>
      <c r="F164" s="26" t="s">
        <v>1790</v>
      </c>
      <c r="G164" s="36"/>
      <c r="H164" s="36" t="s">
        <v>78</v>
      </c>
      <c r="I164" s="29" t="e">
        <f>VLOOKUP(B164,#REF!,2,FALSE)</f>
        <v>#REF!</v>
      </c>
      <c r="J164" s="27"/>
      <c r="K164" s="27"/>
      <c r="L164" s="27"/>
      <c r="M164" s="27"/>
      <c r="N164" s="27"/>
      <c r="O164" s="27"/>
      <c r="P164" s="27"/>
      <c r="Q164" s="27"/>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c r="AO164" s="27"/>
      <c r="AP164" s="27"/>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c r="BU164" s="27"/>
      <c r="BV164" s="27"/>
      <c r="BW164" s="27"/>
      <c r="BX164" s="27"/>
      <c r="BY164" s="27"/>
      <c r="BZ164" s="27"/>
      <c r="CA164" s="27"/>
      <c r="CB164" s="27"/>
    </row>
    <row r="165" spans="1:80" hidden="1" x14ac:dyDescent="0.25">
      <c r="A165" s="31" t="s">
        <v>672</v>
      </c>
      <c r="B165" s="39" t="s">
        <v>671</v>
      </c>
      <c r="C165" s="30" t="s">
        <v>197</v>
      </c>
      <c r="D165" s="30" t="s">
        <v>78</v>
      </c>
      <c r="E165" s="20" t="s">
        <v>1778</v>
      </c>
      <c r="F165" s="26" t="s">
        <v>1790</v>
      </c>
      <c r="G165" s="36"/>
      <c r="H165" s="36" t="s">
        <v>78</v>
      </c>
      <c r="I165" s="29" t="e">
        <f>VLOOKUP(B165,#REF!,2,FALSE)</f>
        <v>#REF!</v>
      </c>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3"/>
    </row>
    <row r="166" spans="1:80" hidden="1" x14ac:dyDescent="0.25">
      <c r="A166" s="31" t="s">
        <v>683</v>
      </c>
      <c r="B166" s="39" t="s">
        <v>1791</v>
      </c>
      <c r="C166" s="30" t="s">
        <v>1792</v>
      </c>
      <c r="D166" s="30" t="s">
        <v>78</v>
      </c>
      <c r="E166" s="20" t="s">
        <v>1778</v>
      </c>
      <c r="F166" s="26" t="s">
        <v>1790</v>
      </c>
      <c r="G166" s="36"/>
      <c r="H166" s="36" t="s">
        <v>78</v>
      </c>
      <c r="I166" s="29" t="e">
        <f>VLOOKUP(B166,#REF!,2,FALSE)</f>
        <v>#REF!</v>
      </c>
      <c r="J166" s="27"/>
      <c r="K166" s="27"/>
      <c r="L166" s="27"/>
      <c r="M166" s="27"/>
      <c r="N166" s="27"/>
      <c r="O166" s="27"/>
      <c r="P166" s="27"/>
      <c r="Q166" s="27"/>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c r="AO166" s="27"/>
      <c r="AP166" s="27"/>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c r="BU166" s="27"/>
      <c r="BV166" s="27"/>
      <c r="BW166" s="27"/>
      <c r="BX166" s="27"/>
      <c r="BY166" s="27"/>
      <c r="BZ166" s="27"/>
      <c r="CA166" s="27"/>
      <c r="CB166" s="27"/>
    </row>
    <row r="167" spans="1:80" hidden="1" x14ac:dyDescent="0.25">
      <c r="A167" s="31" t="s">
        <v>686</v>
      </c>
      <c r="B167" s="39" t="s">
        <v>1793</v>
      </c>
      <c r="C167" s="30" t="s">
        <v>1794</v>
      </c>
      <c r="D167" s="30" t="s">
        <v>78</v>
      </c>
      <c r="E167" s="20" t="s">
        <v>1778</v>
      </c>
      <c r="F167" s="26" t="s">
        <v>1790</v>
      </c>
      <c r="G167" s="36"/>
      <c r="H167" s="36" t="s">
        <v>78</v>
      </c>
      <c r="I167" s="29" t="e">
        <f>VLOOKUP(B167,#REF!,2,FALSE)</f>
        <v>#REF!</v>
      </c>
      <c r="J167" s="27"/>
      <c r="K167" s="27"/>
      <c r="L167" s="27"/>
      <c r="M167" s="27"/>
      <c r="N167" s="27"/>
      <c r="O167" s="27"/>
      <c r="P167" s="27"/>
      <c r="Q167" s="27"/>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c r="AO167" s="27"/>
      <c r="AP167" s="27"/>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c r="BU167" s="27"/>
      <c r="BV167" s="27"/>
      <c r="BW167" s="27"/>
      <c r="BX167" s="27"/>
      <c r="BY167" s="27"/>
      <c r="BZ167" s="27"/>
      <c r="CA167" s="27"/>
      <c r="CB167" s="27"/>
    </row>
    <row r="168" spans="1:80" hidden="1" x14ac:dyDescent="0.25">
      <c r="A168" s="31" t="s">
        <v>695</v>
      </c>
      <c r="B168" s="39" t="s">
        <v>1795</v>
      </c>
      <c r="C168" s="30" t="s">
        <v>1796</v>
      </c>
      <c r="D168" s="30" t="s">
        <v>78</v>
      </c>
      <c r="E168" s="20" t="s">
        <v>1778</v>
      </c>
      <c r="F168" s="26" t="s">
        <v>1790</v>
      </c>
      <c r="G168" s="36"/>
      <c r="H168" s="36" t="s">
        <v>78</v>
      </c>
      <c r="I168" s="29" t="e">
        <f>VLOOKUP(B168,#REF!,2,FALSE)</f>
        <v>#REF!</v>
      </c>
      <c r="J168" s="27"/>
      <c r="K168" s="27"/>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c r="BU168" s="27"/>
      <c r="BV168" s="27"/>
      <c r="BW168" s="27"/>
      <c r="BX168" s="27"/>
      <c r="BY168" s="27"/>
      <c r="BZ168" s="27"/>
      <c r="CA168" s="27"/>
      <c r="CB168" s="27"/>
    </row>
    <row r="169" spans="1:80" hidden="1" x14ac:dyDescent="0.25">
      <c r="A169" s="31" t="s">
        <v>580</v>
      </c>
      <c r="B169" s="39" t="s">
        <v>1797</v>
      </c>
      <c r="C169" s="30" t="s">
        <v>1798</v>
      </c>
      <c r="D169" s="30" t="s">
        <v>10</v>
      </c>
      <c r="E169" s="20" t="s">
        <v>1778</v>
      </c>
      <c r="F169" s="26" t="s">
        <v>1790</v>
      </c>
      <c r="G169" s="36"/>
      <c r="H169" s="36" t="s">
        <v>10</v>
      </c>
      <c r="I169" s="29" t="e">
        <f>VLOOKUP(B169,#REF!,2,FALSE)</f>
        <v>#REF!</v>
      </c>
      <c r="J169" s="27"/>
      <c r="K169" s="27"/>
      <c r="L169" s="27"/>
      <c r="M169" s="27"/>
      <c r="N169" s="27"/>
      <c r="O169" s="27"/>
      <c r="P169" s="27"/>
      <c r="Q169" s="27"/>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c r="AO169" s="27"/>
      <c r="AP169" s="27"/>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c r="BU169" s="27"/>
      <c r="BV169" s="27"/>
      <c r="BW169" s="27"/>
      <c r="BX169" s="27"/>
      <c r="BY169" s="27"/>
      <c r="BZ169" s="27"/>
      <c r="CA169" s="27"/>
      <c r="CB169" s="27"/>
    </row>
    <row r="170" spans="1:80" hidden="1" x14ac:dyDescent="0.25">
      <c r="A170" s="31" t="s">
        <v>730</v>
      </c>
      <c r="B170" s="39" t="s">
        <v>1799</v>
      </c>
      <c r="C170" s="30" t="s">
        <v>1800</v>
      </c>
      <c r="D170" s="30" t="s">
        <v>78</v>
      </c>
      <c r="E170" s="20" t="s">
        <v>1778</v>
      </c>
      <c r="F170" s="26" t="s">
        <v>1790</v>
      </c>
      <c r="G170" s="36"/>
      <c r="H170" s="36" t="s">
        <v>78</v>
      </c>
      <c r="I170" s="29" t="e">
        <f>VLOOKUP(B170,#REF!,2,FALSE)</f>
        <v>#REF!</v>
      </c>
      <c r="J170" s="27"/>
      <c r="K170" s="27"/>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c r="BU170" s="27"/>
      <c r="BV170" s="27"/>
      <c r="BW170" s="27"/>
      <c r="BX170" s="27"/>
      <c r="BY170" s="27"/>
      <c r="BZ170" s="27"/>
      <c r="CA170" s="27"/>
      <c r="CB170" s="27"/>
    </row>
    <row r="171" spans="1:80" hidden="1" x14ac:dyDescent="0.25">
      <c r="A171" s="31" t="s">
        <v>733</v>
      </c>
      <c r="B171" s="39" t="s">
        <v>731</v>
      </c>
      <c r="C171" s="30" t="s">
        <v>732</v>
      </c>
      <c r="D171" s="30" t="s">
        <v>78</v>
      </c>
      <c r="E171" s="20" t="s">
        <v>1778</v>
      </c>
      <c r="F171" s="26" t="s">
        <v>1790</v>
      </c>
      <c r="G171" s="36"/>
      <c r="H171" s="36" t="s">
        <v>78</v>
      </c>
      <c r="I171" s="29" t="e">
        <f>VLOOKUP(B171,#REF!,2,FALSE)</f>
        <v>#REF!</v>
      </c>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row>
    <row r="172" spans="1:80" hidden="1" x14ac:dyDescent="0.25">
      <c r="A172" s="31" t="s">
        <v>763</v>
      </c>
      <c r="B172" s="39" t="s">
        <v>762</v>
      </c>
      <c r="C172" s="30" t="s">
        <v>15</v>
      </c>
      <c r="D172" s="30" t="s">
        <v>78</v>
      </c>
      <c r="E172" s="20" t="s">
        <v>1778</v>
      </c>
      <c r="F172" s="26" t="s">
        <v>1790</v>
      </c>
      <c r="G172" s="36"/>
      <c r="H172" s="36" t="s">
        <v>78</v>
      </c>
      <c r="I172" s="29" t="e">
        <f>VLOOKUP(B172,#REF!,2,FALSE)</f>
        <v>#REF!</v>
      </c>
      <c r="J172" s="27"/>
      <c r="K172" s="27"/>
      <c r="L172" s="27"/>
      <c r="M172" s="27"/>
      <c r="N172" s="27"/>
      <c r="O172" s="27"/>
      <c r="P172" s="27"/>
      <c r="Q172" s="27"/>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c r="AO172" s="27"/>
      <c r="AP172" s="27"/>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c r="BU172" s="27"/>
      <c r="BV172" s="27"/>
      <c r="BW172" s="27"/>
      <c r="BX172" s="27"/>
      <c r="BY172" s="27"/>
      <c r="BZ172" s="27"/>
      <c r="CA172" s="27"/>
      <c r="CB172" s="27"/>
    </row>
    <row r="173" spans="1:80" hidden="1" x14ac:dyDescent="0.25">
      <c r="A173" s="31" t="s">
        <v>765</v>
      </c>
      <c r="B173" s="39" t="s">
        <v>1801</v>
      </c>
      <c r="C173" s="30" t="s">
        <v>1767</v>
      </c>
      <c r="D173" s="30" t="s">
        <v>78</v>
      </c>
      <c r="E173" s="20" t="s">
        <v>1778</v>
      </c>
      <c r="F173" s="26" t="s">
        <v>1790</v>
      </c>
      <c r="G173" s="36"/>
      <c r="H173" s="36" t="s">
        <v>78</v>
      </c>
      <c r="I173" s="29" t="e">
        <f>VLOOKUP(B173,#REF!,2,FALSE)</f>
        <v>#REF!</v>
      </c>
      <c r="J173" s="27"/>
      <c r="K173" s="27"/>
      <c r="L173" s="27"/>
      <c r="M173" s="27"/>
      <c r="N173" s="27"/>
      <c r="O173" s="27"/>
      <c r="P173" s="27"/>
      <c r="Q173" s="27"/>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c r="AO173" s="27"/>
      <c r="AP173" s="27"/>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c r="BU173" s="27"/>
      <c r="BV173" s="27"/>
      <c r="BW173" s="27"/>
      <c r="BX173" s="27"/>
      <c r="BY173" s="27"/>
      <c r="BZ173" s="27"/>
      <c r="CA173" s="27"/>
      <c r="CB173" s="27"/>
    </row>
    <row r="174" spans="1:80" hidden="1" x14ac:dyDescent="0.25">
      <c r="A174" s="31" t="s">
        <v>779</v>
      </c>
      <c r="B174" s="39" t="s">
        <v>1802</v>
      </c>
      <c r="C174" s="30" t="s">
        <v>1701</v>
      </c>
      <c r="D174" s="30" t="s">
        <v>78</v>
      </c>
      <c r="E174" s="20" t="s">
        <v>1778</v>
      </c>
      <c r="F174" s="26" t="s">
        <v>1790</v>
      </c>
      <c r="G174" s="36" t="s">
        <v>1746</v>
      </c>
      <c r="H174" s="36" t="s">
        <v>78</v>
      </c>
      <c r="I174" s="29" t="e">
        <f>VLOOKUP(B174,#REF!,2,FALSE)</f>
        <v>#REF!</v>
      </c>
      <c r="J174" s="27"/>
      <c r="K174" s="27"/>
      <c r="L174" s="27"/>
      <c r="M174" s="27"/>
      <c r="N174" s="27"/>
      <c r="O174" s="27"/>
      <c r="P174" s="27"/>
      <c r="Q174" s="27"/>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c r="AO174" s="27"/>
      <c r="AP174" s="27"/>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c r="BU174" s="27"/>
      <c r="BV174" s="27"/>
      <c r="BW174" s="27"/>
      <c r="BX174" s="27"/>
      <c r="BY174" s="27"/>
      <c r="BZ174" s="27"/>
      <c r="CA174" s="27"/>
      <c r="CB174" s="27"/>
    </row>
    <row r="175" spans="1:80" hidden="1" x14ac:dyDescent="0.25">
      <c r="A175" s="31" t="s">
        <v>588</v>
      </c>
      <c r="B175" s="39" t="s">
        <v>1803</v>
      </c>
      <c r="C175" s="30" t="s">
        <v>1800</v>
      </c>
      <c r="D175" s="30" t="s">
        <v>97</v>
      </c>
      <c r="E175" s="20" t="s">
        <v>1778</v>
      </c>
      <c r="F175" s="26" t="s">
        <v>1804</v>
      </c>
      <c r="G175" s="36"/>
      <c r="H175" s="36" t="s">
        <v>97</v>
      </c>
      <c r="I175" s="29" t="e">
        <f>VLOOKUP(B175,#REF!,2,FALSE)</f>
        <v>#REF!</v>
      </c>
      <c r="J175" s="27"/>
      <c r="K175" s="27"/>
      <c r="L175" s="27"/>
      <c r="M175" s="27"/>
      <c r="N175" s="27"/>
      <c r="O175" s="27"/>
      <c r="P175" s="27"/>
      <c r="Q175" s="27"/>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c r="AO175" s="27"/>
      <c r="AP175" s="27"/>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c r="BU175" s="27"/>
      <c r="BV175" s="27"/>
      <c r="BW175" s="27"/>
      <c r="BX175" s="27"/>
      <c r="BY175" s="27"/>
      <c r="BZ175" s="27"/>
      <c r="CA175" s="27"/>
      <c r="CB175" s="27"/>
    </row>
    <row r="176" spans="1:80" hidden="1" x14ac:dyDescent="0.25">
      <c r="A176" s="31" t="s">
        <v>591</v>
      </c>
      <c r="B176" s="39" t="s">
        <v>589</v>
      </c>
      <c r="C176" s="30" t="s">
        <v>590</v>
      </c>
      <c r="D176" s="30" t="s">
        <v>52</v>
      </c>
      <c r="E176" s="20" t="s">
        <v>1778</v>
      </c>
      <c r="F176" s="26" t="s">
        <v>1804</v>
      </c>
      <c r="G176" s="36"/>
      <c r="H176" s="36" t="s">
        <v>52</v>
      </c>
      <c r="I176" s="29" t="e">
        <f>VLOOKUP(B176,#REF!,2,FALSE)</f>
        <v>#REF!</v>
      </c>
      <c r="J176" s="27"/>
      <c r="K176" s="27"/>
      <c r="L176" s="27"/>
      <c r="M176" s="27"/>
      <c r="N176" s="27"/>
      <c r="O176" s="27"/>
      <c r="P176" s="27"/>
      <c r="Q176" s="27"/>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c r="AO176" s="27"/>
      <c r="AP176" s="27"/>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c r="BU176" s="27"/>
      <c r="BV176" s="27"/>
      <c r="BW176" s="27"/>
      <c r="BX176" s="27"/>
      <c r="BY176" s="27"/>
      <c r="BZ176" s="27"/>
      <c r="CA176" s="27"/>
      <c r="CB176" s="27"/>
    </row>
    <row r="177" spans="1:80" hidden="1" x14ac:dyDescent="0.25">
      <c r="A177" s="31" t="s">
        <v>593</v>
      </c>
      <c r="B177" s="39" t="s">
        <v>592</v>
      </c>
      <c r="C177" s="30" t="s">
        <v>412</v>
      </c>
      <c r="D177" s="30" t="s">
        <v>97</v>
      </c>
      <c r="E177" s="20" t="s">
        <v>1778</v>
      </c>
      <c r="F177" s="26" t="s">
        <v>1804</v>
      </c>
      <c r="G177" s="36"/>
      <c r="H177" s="36" t="s">
        <v>97</v>
      </c>
      <c r="I177" s="29" t="e">
        <f>VLOOKUP(B177,#REF!,2,FALSE)</f>
        <v>#REF!</v>
      </c>
      <c r="J177" s="27"/>
      <c r="K177" s="27"/>
      <c r="L177" s="27"/>
      <c r="M177" s="27"/>
      <c r="N177" s="27"/>
      <c r="O177" s="27"/>
      <c r="P177" s="27"/>
      <c r="Q177" s="27"/>
      <c r="R177" s="27"/>
      <c r="S177" s="27"/>
      <c r="T177" s="27"/>
      <c r="U177" s="27"/>
      <c r="V177" s="27"/>
      <c r="W177" s="27"/>
      <c r="X177" s="27"/>
      <c r="Y177" s="27"/>
      <c r="Z177" s="27"/>
      <c r="AA177" s="27"/>
      <c r="AB177" s="27"/>
      <c r="AC177" s="27"/>
      <c r="AD177" s="27"/>
      <c r="AE177" s="27"/>
      <c r="AF177" s="27"/>
      <c r="AG177" s="27"/>
      <c r="AH177" s="27"/>
      <c r="AI177" s="27"/>
      <c r="AJ177" s="27"/>
      <c r="AK177" s="27"/>
      <c r="AL177" s="27"/>
      <c r="AM177" s="27"/>
      <c r="AN177" s="27"/>
      <c r="AO177" s="27"/>
      <c r="AP177" s="27"/>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c r="BU177" s="27"/>
      <c r="BV177" s="27"/>
      <c r="BW177" s="27"/>
      <c r="BX177" s="27"/>
      <c r="BY177" s="27"/>
      <c r="BZ177" s="27"/>
      <c r="CA177" s="27"/>
      <c r="CB177" s="27"/>
    </row>
    <row r="178" spans="1:80" hidden="1" x14ac:dyDescent="0.25">
      <c r="A178" s="31" t="s">
        <v>599</v>
      </c>
      <c r="B178" s="39" t="s">
        <v>598</v>
      </c>
      <c r="C178" s="30" t="s">
        <v>91</v>
      </c>
      <c r="D178" s="30" t="s">
        <v>52</v>
      </c>
      <c r="E178" s="20" t="s">
        <v>1778</v>
      </c>
      <c r="F178" s="26" t="s">
        <v>1804</v>
      </c>
      <c r="G178" s="36"/>
      <c r="H178" s="36" t="s">
        <v>52</v>
      </c>
      <c r="I178" s="29" t="e">
        <f>VLOOKUP(B178,#REF!,2,FALSE)</f>
        <v>#REF!</v>
      </c>
      <c r="J178" s="27"/>
      <c r="K178" s="27"/>
      <c r="L178" s="27"/>
      <c r="M178" s="27"/>
      <c r="N178" s="27"/>
      <c r="O178" s="27"/>
      <c r="P178" s="27"/>
      <c r="Q178" s="27"/>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c r="AO178" s="27"/>
      <c r="AP178" s="27"/>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c r="BU178" s="27"/>
      <c r="BV178" s="27"/>
      <c r="BW178" s="27"/>
      <c r="BX178" s="27"/>
      <c r="BY178" s="27"/>
      <c r="BZ178" s="27"/>
      <c r="CA178" s="27"/>
      <c r="CB178" s="27"/>
    </row>
    <row r="179" spans="1:80" hidden="1" x14ac:dyDescent="0.25">
      <c r="A179" s="31" t="s">
        <v>1404</v>
      </c>
      <c r="B179" s="39" t="s">
        <v>1403</v>
      </c>
      <c r="C179" s="30" t="s">
        <v>195</v>
      </c>
      <c r="D179" s="30" t="s">
        <v>52</v>
      </c>
      <c r="E179" s="20" t="s">
        <v>1778</v>
      </c>
      <c r="F179" s="26" t="s">
        <v>1804</v>
      </c>
      <c r="G179" s="36"/>
      <c r="H179" s="36" t="s">
        <v>52</v>
      </c>
      <c r="I179" s="29" t="e">
        <f>VLOOKUP(B179,#REF!,2,FALSE)</f>
        <v>#REF!</v>
      </c>
      <c r="J179" s="27"/>
      <c r="K179" s="27"/>
      <c r="L179" s="27"/>
      <c r="M179" s="27"/>
      <c r="N179" s="27"/>
      <c r="O179" s="27"/>
      <c r="P179" s="27"/>
      <c r="Q179" s="27"/>
      <c r="R179" s="27"/>
      <c r="S179" s="27"/>
      <c r="T179" s="27"/>
      <c r="U179" s="27"/>
      <c r="V179" s="27"/>
      <c r="W179" s="27"/>
      <c r="X179" s="27"/>
      <c r="Y179" s="27"/>
      <c r="Z179" s="27"/>
      <c r="AA179" s="27"/>
      <c r="AB179" s="27"/>
      <c r="AC179" s="27"/>
      <c r="AD179" s="27"/>
      <c r="AE179" s="27"/>
      <c r="AF179" s="27"/>
      <c r="AG179" s="27"/>
      <c r="AH179" s="27"/>
      <c r="AI179" s="27"/>
      <c r="AJ179" s="27"/>
      <c r="AK179" s="27"/>
      <c r="AL179" s="27"/>
      <c r="AM179" s="27"/>
      <c r="AN179" s="27"/>
      <c r="AO179" s="27"/>
      <c r="AP179" s="27"/>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c r="BU179" s="27"/>
      <c r="BV179" s="27"/>
      <c r="BW179" s="27"/>
      <c r="BX179" s="27"/>
      <c r="BY179" s="27"/>
      <c r="BZ179" s="27"/>
      <c r="CA179" s="27"/>
      <c r="CB179" s="27"/>
    </row>
    <row r="180" spans="1:80" hidden="1" x14ac:dyDescent="0.25">
      <c r="A180" s="31" t="s">
        <v>610</v>
      </c>
      <c r="B180" s="39" t="s">
        <v>608</v>
      </c>
      <c r="C180" s="30" t="s">
        <v>609</v>
      </c>
      <c r="D180" s="30" t="s">
        <v>52</v>
      </c>
      <c r="E180" s="20" t="s">
        <v>1778</v>
      </c>
      <c r="F180" s="26" t="s">
        <v>1804</v>
      </c>
      <c r="G180" s="36"/>
      <c r="H180" s="36" t="s">
        <v>52</v>
      </c>
      <c r="I180" s="29" t="e">
        <f>VLOOKUP(B180,#REF!,2,FALSE)</f>
        <v>#REF!</v>
      </c>
      <c r="J180" s="27"/>
      <c r="K180" s="27"/>
      <c r="L180" s="27"/>
      <c r="M180" s="27"/>
      <c r="N180" s="27"/>
      <c r="O180" s="27"/>
      <c r="P180" s="27"/>
      <c r="Q180" s="27"/>
      <c r="R180" s="27"/>
      <c r="S180" s="27"/>
      <c r="T180" s="27"/>
      <c r="U180" s="27"/>
      <c r="V180" s="27"/>
      <c r="W180" s="27"/>
      <c r="X180" s="27"/>
      <c r="Y180" s="27"/>
      <c r="Z180" s="27"/>
      <c r="AA180" s="27"/>
      <c r="AB180" s="27"/>
      <c r="AC180" s="27"/>
      <c r="AD180" s="27"/>
      <c r="AE180" s="27"/>
      <c r="AF180" s="27"/>
      <c r="AG180" s="27"/>
      <c r="AH180" s="27"/>
      <c r="AI180" s="27"/>
      <c r="AJ180" s="27"/>
      <c r="AK180" s="27"/>
      <c r="AL180" s="27"/>
      <c r="AM180" s="27"/>
      <c r="AN180" s="27"/>
      <c r="AO180" s="27"/>
      <c r="AP180" s="27"/>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c r="BU180" s="27"/>
      <c r="BV180" s="27"/>
      <c r="BW180" s="27"/>
      <c r="BX180" s="27"/>
      <c r="BY180" s="27"/>
      <c r="BZ180" s="27"/>
      <c r="CA180" s="27"/>
      <c r="CB180" s="27"/>
    </row>
    <row r="181" spans="1:80" hidden="1" x14ac:dyDescent="0.25">
      <c r="A181" s="31" t="s">
        <v>630</v>
      </c>
      <c r="B181" s="39" t="s">
        <v>629</v>
      </c>
      <c r="C181" s="30" t="s">
        <v>27</v>
      </c>
      <c r="D181" s="30" t="s">
        <v>97</v>
      </c>
      <c r="E181" s="20" t="s">
        <v>1778</v>
      </c>
      <c r="F181" s="26" t="s">
        <v>1804</v>
      </c>
      <c r="G181" s="36"/>
      <c r="H181" s="36" t="s">
        <v>97</v>
      </c>
      <c r="I181" s="29" t="e">
        <f>VLOOKUP(B181,#REF!,2,FALSE)</f>
        <v>#REF!</v>
      </c>
      <c r="J181" s="27"/>
      <c r="K181" s="27"/>
      <c r="L181" s="27"/>
      <c r="M181" s="27"/>
      <c r="N181" s="27"/>
      <c r="O181" s="27"/>
      <c r="P181" s="27"/>
      <c r="Q181" s="27"/>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c r="AO181" s="27"/>
      <c r="AP181" s="27"/>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c r="BU181" s="27"/>
      <c r="BV181" s="27"/>
      <c r="BW181" s="27"/>
      <c r="BX181" s="27"/>
      <c r="BY181" s="27"/>
      <c r="BZ181" s="27"/>
      <c r="CA181" s="27"/>
      <c r="CB181" s="27"/>
    </row>
    <row r="182" spans="1:80" hidden="1" x14ac:dyDescent="0.25">
      <c r="A182" s="31" t="s">
        <v>641</v>
      </c>
      <c r="B182" s="39" t="s">
        <v>1805</v>
      </c>
      <c r="C182" s="30" t="s">
        <v>1742</v>
      </c>
      <c r="D182" s="30" t="s">
        <v>97</v>
      </c>
      <c r="E182" s="20" t="s">
        <v>1778</v>
      </c>
      <c r="F182" s="26" t="s">
        <v>1804</v>
      </c>
      <c r="G182" s="36"/>
      <c r="H182" s="36" t="s">
        <v>97</v>
      </c>
      <c r="I182" s="29" t="e">
        <f>VLOOKUP(B182,#REF!,2,FALSE)</f>
        <v>#REF!</v>
      </c>
      <c r="J182" s="27"/>
      <c r="K182" s="27"/>
      <c r="L182" s="27"/>
      <c r="M182" s="27"/>
      <c r="N182" s="27"/>
      <c r="O182" s="27"/>
      <c r="P182" s="27"/>
      <c r="Q182" s="27"/>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c r="AO182" s="27"/>
      <c r="AP182" s="27"/>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c r="BU182" s="27"/>
      <c r="BV182" s="27"/>
      <c r="BW182" s="27"/>
      <c r="BX182" s="27"/>
      <c r="BY182" s="27"/>
      <c r="BZ182" s="27"/>
      <c r="CA182" s="27"/>
      <c r="CB182" s="27"/>
    </row>
    <row r="183" spans="1:80" hidden="1" x14ac:dyDescent="0.25">
      <c r="A183" s="31" t="s">
        <v>649</v>
      </c>
      <c r="B183" s="39" t="s">
        <v>648</v>
      </c>
      <c r="C183" s="30" t="s">
        <v>234</v>
      </c>
      <c r="D183" s="30" t="s">
        <v>97</v>
      </c>
      <c r="E183" s="20" t="s">
        <v>1778</v>
      </c>
      <c r="F183" s="26" t="s">
        <v>1804</v>
      </c>
      <c r="G183" s="36"/>
      <c r="H183" s="36" t="s">
        <v>97</v>
      </c>
      <c r="I183" s="29" t="e">
        <f>VLOOKUP(B183,#REF!,2,FALSE)</f>
        <v>#REF!</v>
      </c>
      <c r="J183" s="27"/>
      <c r="K183" s="27"/>
      <c r="L183" s="27"/>
      <c r="M183" s="27"/>
      <c r="N183" s="27"/>
      <c r="O183" s="27"/>
      <c r="P183" s="27"/>
      <c r="Q183" s="27"/>
      <c r="R183" s="27"/>
      <c r="S183" s="27"/>
      <c r="T183" s="27"/>
      <c r="U183" s="27"/>
      <c r="V183" s="27"/>
      <c r="W183" s="27"/>
      <c r="X183" s="27"/>
      <c r="Y183" s="27"/>
      <c r="Z183" s="27"/>
      <c r="AA183" s="27"/>
      <c r="AB183" s="27"/>
      <c r="AC183" s="27"/>
      <c r="AD183" s="27"/>
      <c r="AE183" s="27"/>
      <c r="AF183" s="27"/>
      <c r="AG183" s="27"/>
      <c r="AH183" s="27"/>
      <c r="AI183" s="27"/>
      <c r="AJ183" s="27"/>
      <c r="AK183" s="27"/>
      <c r="AL183" s="27"/>
      <c r="AM183" s="27"/>
      <c r="AN183" s="27"/>
      <c r="AO183" s="27"/>
      <c r="AP183" s="27"/>
      <c r="AQ183" s="27"/>
      <c r="AR183" s="27"/>
      <c r="AS183" s="27"/>
      <c r="AT183" s="27"/>
      <c r="AU183" s="27"/>
      <c r="AV183" s="27"/>
      <c r="AW183" s="27"/>
      <c r="AX183" s="27"/>
      <c r="AY183" s="27"/>
      <c r="AZ183" s="27"/>
      <c r="BA183" s="27"/>
      <c r="BB183" s="27"/>
      <c r="BC183" s="27"/>
      <c r="BD183" s="27"/>
      <c r="BE183" s="27"/>
      <c r="BF183" s="27"/>
      <c r="BG183" s="27"/>
      <c r="BH183" s="27"/>
      <c r="BI183" s="27"/>
      <c r="BJ183" s="27"/>
      <c r="BK183" s="27"/>
      <c r="BL183" s="27"/>
      <c r="BM183" s="27"/>
      <c r="BN183" s="27"/>
      <c r="BO183" s="27"/>
      <c r="BP183" s="27"/>
      <c r="BQ183" s="27"/>
      <c r="BR183" s="27"/>
      <c r="BS183" s="27"/>
      <c r="BT183" s="27"/>
      <c r="BU183" s="27"/>
      <c r="BV183" s="27"/>
      <c r="BW183" s="27"/>
      <c r="BX183" s="27"/>
      <c r="BY183" s="27"/>
      <c r="BZ183" s="27"/>
      <c r="CA183" s="27"/>
      <c r="CB183" s="27"/>
    </row>
    <row r="184" spans="1:80" hidden="1" x14ac:dyDescent="0.25">
      <c r="A184" s="31" t="s">
        <v>403</v>
      </c>
      <c r="B184" s="39" t="s">
        <v>401</v>
      </c>
      <c r="C184" s="30" t="s">
        <v>402</v>
      </c>
      <c r="D184" s="30" t="s">
        <v>52</v>
      </c>
      <c r="E184" s="20" t="s">
        <v>1778</v>
      </c>
      <c r="F184" s="26" t="s">
        <v>1804</v>
      </c>
      <c r="G184" s="36"/>
      <c r="H184" s="36" t="s">
        <v>52</v>
      </c>
      <c r="I184" s="29" t="e">
        <f>VLOOKUP(B184,#REF!,2,FALSE)</f>
        <v>#REF!</v>
      </c>
      <c r="J184" s="27"/>
      <c r="K184" s="27"/>
      <c r="L184" s="27"/>
      <c r="M184" s="27"/>
      <c r="N184" s="27"/>
      <c r="O184" s="27"/>
      <c r="P184" s="27"/>
      <c r="Q184" s="27"/>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c r="AO184" s="27"/>
      <c r="AP184" s="27"/>
      <c r="AQ184" s="27"/>
      <c r="AR184" s="27"/>
      <c r="AS184" s="27"/>
      <c r="AT184" s="27"/>
      <c r="AU184" s="27"/>
      <c r="AV184" s="27"/>
      <c r="AW184" s="27"/>
      <c r="AX184" s="27"/>
      <c r="AY184" s="27"/>
      <c r="AZ184" s="27"/>
      <c r="BA184" s="27"/>
      <c r="BB184" s="27"/>
      <c r="BC184" s="27"/>
      <c r="BD184" s="27"/>
      <c r="BE184" s="27"/>
      <c r="BF184" s="27"/>
      <c r="BG184" s="27"/>
      <c r="BH184" s="27"/>
      <c r="BI184" s="27"/>
      <c r="BJ184" s="27"/>
      <c r="BK184" s="27"/>
      <c r="BL184" s="27"/>
      <c r="BM184" s="27"/>
      <c r="BN184" s="27"/>
      <c r="BO184" s="27"/>
      <c r="BP184" s="27"/>
      <c r="BQ184" s="27"/>
      <c r="BR184" s="27"/>
      <c r="BS184" s="27"/>
      <c r="BT184" s="27"/>
      <c r="BU184" s="27"/>
      <c r="BV184" s="27"/>
      <c r="BW184" s="27"/>
      <c r="BX184" s="27"/>
      <c r="BY184" s="27"/>
      <c r="BZ184" s="27"/>
      <c r="CA184" s="27"/>
      <c r="CB184" s="27"/>
    </row>
    <row r="185" spans="1:80" hidden="1" x14ac:dyDescent="0.25">
      <c r="A185" s="31" t="s">
        <v>657</v>
      </c>
      <c r="B185" s="39" t="s">
        <v>1806</v>
      </c>
      <c r="C185" s="36" t="s">
        <v>1807</v>
      </c>
      <c r="D185" s="30" t="s">
        <v>52</v>
      </c>
      <c r="E185" s="20" t="s">
        <v>1778</v>
      </c>
      <c r="F185" s="26" t="s">
        <v>1804</v>
      </c>
      <c r="G185" s="36"/>
      <c r="H185" s="36" t="s">
        <v>52</v>
      </c>
      <c r="I185" s="29" t="e">
        <f>VLOOKUP(B185,#REF!,2,FALSE)</f>
        <v>#REF!</v>
      </c>
      <c r="J185" s="27"/>
      <c r="K185" s="27"/>
      <c r="L185" s="27"/>
      <c r="M185" s="27"/>
      <c r="N185" s="27"/>
      <c r="O185" s="27"/>
      <c r="P185" s="27"/>
      <c r="Q185" s="27"/>
      <c r="R185" s="27"/>
      <c r="S185" s="27"/>
      <c r="T185" s="27"/>
      <c r="U185" s="27"/>
      <c r="V185" s="27"/>
      <c r="W185" s="27"/>
      <c r="X185" s="27"/>
      <c r="Y185" s="27"/>
      <c r="Z185" s="27"/>
      <c r="AA185" s="27"/>
      <c r="AB185" s="27"/>
      <c r="AC185" s="27"/>
      <c r="AD185" s="27"/>
      <c r="AE185" s="27"/>
      <c r="AF185" s="27"/>
      <c r="AG185" s="27"/>
      <c r="AH185" s="27"/>
      <c r="AI185" s="27"/>
      <c r="AJ185" s="27"/>
      <c r="AK185" s="27"/>
      <c r="AL185" s="27"/>
      <c r="AM185" s="27"/>
      <c r="AN185" s="27"/>
      <c r="AO185" s="27"/>
      <c r="AP185" s="27"/>
      <c r="AQ185" s="27"/>
      <c r="AR185" s="27"/>
      <c r="AS185" s="27"/>
      <c r="AT185" s="27"/>
      <c r="AU185" s="27"/>
      <c r="AV185" s="27"/>
      <c r="AW185" s="27"/>
      <c r="AX185" s="27"/>
      <c r="AY185" s="27"/>
      <c r="AZ185" s="27"/>
      <c r="BA185" s="27"/>
      <c r="BB185" s="27"/>
      <c r="BC185" s="27"/>
      <c r="BD185" s="27"/>
      <c r="BE185" s="27"/>
      <c r="BF185" s="27"/>
      <c r="BG185" s="27"/>
      <c r="BH185" s="27"/>
      <c r="BI185" s="27"/>
      <c r="BJ185" s="27"/>
      <c r="BK185" s="27"/>
      <c r="BL185" s="27"/>
      <c r="BM185" s="27"/>
      <c r="BN185" s="27"/>
      <c r="BO185" s="27"/>
      <c r="BP185" s="27"/>
      <c r="BQ185" s="27"/>
      <c r="BR185" s="27"/>
      <c r="BS185" s="27"/>
      <c r="BT185" s="27"/>
      <c r="BU185" s="27"/>
      <c r="BV185" s="27"/>
      <c r="BW185" s="27"/>
      <c r="BX185" s="27"/>
      <c r="BY185" s="27"/>
      <c r="BZ185" s="27"/>
      <c r="CA185" s="27"/>
      <c r="CB185" s="27"/>
    </row>
    <row r="186" spans="1:80" hidden="1" x14ac:dyDescent="0.25">
      <c r="A186" s="31" t="s">
        <v>660</v>
      </c>
      <c r="B186" s="39" t="s">
        <v>1808</v>
      </c>
      <c r="C186" s="36" t="s">
        <v>1809</v>
      </c>
      <c r="D186" s="30" t="s">
        <v>52</v>
      </c>
      <c r="E186" s="20" t="s">
        <v>1778</v>
      </c>
      <c r="F186" s="26" t="s">
        <v>1804</v>
      </c>
      <c r="G186" s="27" t="s">
        <v>1810</v>
      </c>
      <c r="H186" s="36" t="s">
        <v>52</v>
      </c>
      <c r="I186" s="29" t="e">
        <f>VLOOKUP(B186,#REF!,2,FALSE)</f>
        <v>#REF!</v>
      </c>
      <c r="J186" s="27"/>
      <c r="K186" s="27"/>
      <c r="L186" s="27"/>
      <c r="M186" s="27"/>
      <c r="N186" s="27"/>
      <c r="O186" s="27"/>
      <c r="P186" s="27"/>
      <c r="Q186" s="27"/>
      <c r="R186" s="27"/>
      <c r="S186" s="27"/>
      <c r="T186" s="27"/>
      <c r="U186" s="27"/>
      <c r="V186" s="27"/>
      <c r="W186" s="27"/>
      <c r="X186" s="27"/>
      <c r="Y186" s="27"/>
      <c r="Z186" s="27"/>
      <c r="AA186" s="27"/>
      <c r="AB186" s="27"/>
      <c r="AC186" s="27"/>
      <c r="AD186" s="27"/>
      <c r="AE186" s="27"/>
      <c r="AF186" s="27"/>
      <c r="AG186" s="27"/>
      <c r="AH186" s="27"/>
      <c r="AI186" s="27"/>
      <c r="AJ186" s="27"/>
      <c r="AK186" s="27"/>
      <c r="AL186" s="27"/>
      <c r="AM186" s="27"/>
      <c r="AN186" s="27"/>
      <c r="AO186" s="27"/>
      <c r="AP186" s="27"/>
      <c r="AQ186" s="27"/>
      <c r="AR186" s="27"/>
      <c r="AS186" s="27"/>
      <c r="AT186" s="27"/>
      <c r="AU186" s="27"/>
      <c r="AV186" s="27"/>
      <c r="AW186" s="27"/>
      <c r="AX186" s="27"/>
      <c r="AY186" s="27"/>
      <c r="AZ186" s="27"/>
      <c r="BA186" s="27"/>
      <c r="BB186" s="27"/>
      <c r="BC186" s="27"/>
      <c r="BD186" s="27"/>
      <c r="BE186" s="27"/>
      <c r="BF186" s="27"/>
      <c r="BG186" s="27"/>
      <c r="BH186" s="27"/>
      <c r="BI186" s="27"/>
      <c r="BJ186" s="27"/>
      <c r="BK186" s="27"/>
      <c r="BL186" s="27"/>
      <c r="BM186" s="27"/>
      <c r="BN186" s="27"/>
      <c r="BO186" s="27"/>
      <c r="BP186" s="27"/>
      <c r="BQ186" s="27"/>
      <c r="BR186" s="27"/>
      <c r="BS186" s="27"/>
      <c r="BT186" s="27"/>
      <c r="BU186" s="27"/>
      <c r="BV186" s="27"/>
      <c r="BW186" s="27"/>
      <c r="BX186" s="27"/>
      <c r="BY186" s="27"/>
      <c r="BZ186" s="27"/>
      <c r="CA186" s="27"/>
      <c r="CB186" s="27"/>
    </row>
    <row r="187" spans="1:80" hidden="1" x14ac:dyDescent="0.25">
      <c r="A187" s="31" t="s">
        <v>665</v>
      </c>
      <c r="B187" s="39" t="s">
        <v>663</v>
      </c>
      <c r="C187" s="36" t="s">
        <v>664</v>
      </c>
      <c r="D187" s="30" t="s">
        <v>52</v>
      </c>
      <c r="E187" s="20" t="s">
        <v>1778</v>
      </c>
      <c r="F187" s="26" t="s">
        <v>1804</v>
      </c>
      <c r="G187" s="36"/>
      <c r="H187" s="36" t="s">
        <v>52</v>
      </c>
      <c r="I187" s="29" t="e">
        <f>VLOOKUP(B187,#REF!,2,FALSE)</f>
        <v>#REF!</v>
      </c>
      <c r="J187" s="27"/>
      <c r="K187" s="27"/>
      <c r="L187" s="27"/>
      <c r="M187" s="27"/>
      <c r="N187" s="27"/>
      <c r="O187" s="27"/>
      <c r="P187" s="27"/>
      <c r="Q187" s="27"/>
      <c r="R187" s="27"/>
      <c r="S187" s="27"/>
      <c r="T187" s="27"/>
      <c r="U187" s="27"/>
      <c r="V187" s="27"/>
      <c r="W187" s="27"/>
      <c r="X187" s="27"/>
      <c r="Y187" s="27"/>
      <c r="Z187" s="27"/>
      <c r="AA187" s="27"/>
      <c r="AB187" s="27"/>
      <c r="AC187" s="27"/>
      <c r="AD187" s="27"/>
      <c r="AE187" s="27"/>
      <c r="AF187" s="27"/>
      <c r="AG187" s="27"/>
      <c r="AH187" s="27"/>
      <c r="AI187" s="27"/>
      <c r="AJ187" s="27"/>
      <c r="AK187" s="27"/>
      <c r="AL187" s="27"/>
      <c r="AM187" s="27"/>
      <c r="AN187" s="27"/>
      <c r="AO187" s="27"/>
      <c r="AP187" s="27"/>
      <c r="AQ187" s="27"/>
      <c r="AR187" s="27"/>
      <c r="AS187" s="27"/>
      <c r="AT187" s="27"/>
      <c r="AU187" s="27"/>
      <c r="AV187" s="27"/>
      <c r="AW187" s="27"/>
      <c r="AX187" s="27"/>
      <c r="AY187" s="27"/>
      <c r="AZ187" s="27"/>
      <c r="BA187" s="27"/>
      <c r="BB187" s="27"/>
      <c r="BC187" s="27"/>
      <c r="BD187" s="27"/>
      <c r="BE187" s="27"/>
      <c r="BF187" s="27"/>
      <c r="BG187" s="27"/>
      <c r="BH187" s="27"/>
      <c r="BI187" s="27"/>
      <c r="BJ187" s="27"/>
      <c r="BK187" s="27"/>
      <c r="BL187" s="27"/>
      <c r="BM187" s="27"/>
      <c r="BN187" s="27"/>
      <c r="BO187" s="27"/>
      <c r="BP187" s="27"/>
      <c r="BQ187" s="27"/>
      <c r="BR187" s="27"/>
      <c r="BS187" s="27"/>
      <c r="BT187" s="27"/>
      <c r="BU187" s="27"/>
      <c r="BV187" s="27"/>
      <c r="BW187" s="27"/>
      <c r="BX187" s="27"/>
      <c r="BY187" s="27"/>
      <c r="BZ187" s="27"/>
      <c r="CA187" s="27"/>
      <c r="CB187" s="27"/>
    </row>
    <row r="188" spans="1:80" hidden="1" x14ac:dyDescent="0.25">
      <c r="A188" s="31" t="s">
        <v>668</v>
      </c>
      <c r="B188" s="39" t="s">
        <v>1811</v>
      </c>
      <c r="C188" s="36" t="s">
        <v>1812</v>
      </c>
      <c r="D188" s="30" t="s">
        <v>52</v>
      </c>
      <c r="E188" s="20" t="s">
        <v>1778</v>
      </c>
      <c r="F188" s="26" t="s">
        <v>1804</v>
      </c>
      <c r="G188" s="36"/>
      <c r="H188" s="36" t="s">
        <v>52</v>
      </c>
      <c r="I188" s="29" t="e">
        <f>VLOOKUP(B188,#REF!,2,FALSE)</f>
        <v>#REF!</v>
      </c>
      <c r="J188" s="27"/>
      <c r="K188" s="27"/>
      <c r="L188" s="27"/>
      <c r="M188" s="27"/>
      <c r="N188" s="27"/>
      <c r="O188" s="27"/>
      <c r="P188" s="27"/>
      <c r="Q188" s="27"/>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c r="AO188" s="27"/>
      <c r="AP188" s="27"/>
      <c r="AQ188" s="27"/>
      <c r="AR188" s="27"/>
      <c r="AS188" s="27"/>
      <c r="AT188" s="27"/>
      <c r="AU188" s="27"/>
      <c r="AV188" s="27"/>
      <c r="AW188" s="27"/>
      <c r="AX188" s="27"/>
      <c r="AY188" s="27"/>
      <c r="AZ188" s="27"/>
      <c r="BA188" s="27"/>
      <c r="BB188" s="27"/>
      <c r="BC188" s="27"/>
      <c r="BD188" s="27"/>
      <c r="BE188" s="27"/>
      <c r="BF188" s="27"/>
      <c r="BG188" s="27"/>
      <c r="BH188" s="27"/>
      <c r="BI188" s="27"/>
      <c r="BJ188" s="27"/>
      <c r="BK188" s="27"/>
      <c r="BL188" s="27"/>
      <c r="BM188" s="27"/>
      <c r="BN188" s="27"/>
      <c r="BO188" s="27"/>
      <c r="BP188" s="27"/>
      <c r="BQ188" s="27"/>
      <c r="BR188" s="27"/>
      <c r="BS188" s="27"/>
      <c r="BT188" s="27"/>
      <c r="BU188" s="27"/>
      <c r="BV188" s="27"/>
      <c r="BW188" s="27"/>
      <c r="BX188" s="27"/>
      <c r="BY188" s="27"/>
      <c r="BZ188" s="27"/>
      <c r="CA188" s="27"/>
      <c r="CB188" s="27"/>
    </row>
    <row r="189" spans="1:80" hidden="1" x14ac:dyDescent="0.25">
      <c r="A189" s="31" t="s">
        <v>670</v>
      </c>
      <c r="B189" s="39" t="s">
        <v>669</v>
      </c>
      <c r="C189" s="30" t="s">
        <v>173</v>
      </c>
      <c r="D189" s="30" t="s">
        <v>52</v>
      </c>
      <c r="E189" s="20" t="s">
        <v>1778</v>
      </c>
      <c r="F189" s="26" t="s">
        <v>1804</v>
      </c>
      <c r="G189" s="36"/>
      <c r="H189" s="36" t="s">
        <v>52</v>
      </c>
      <c r="I189" s="29" t="e">
        <f>VLOOKUP(B189,#REF!,2,FALSE)</f>
        <v>#REF!</v>
      </c>
      <c r="J189" s="27"/>
      <c r="K189" s="27"/>
      <c r="L189" s="27"/>
      <c r="M189" s="27"/>
      <c r="N189" s="27"/>
      <c r="O189" s="27"/>
      <c r="P189" s="27"/>
      <c r="Q189" s="27"/>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c r="AO189" s="27"/>
      <c r="AP189" s="27"/>
      <c r="AQ189" s="27"/>
      <c r="AR189" s="27"/>
      <c r="AS189" s="27"/>
      <c r="AT189" s="27"/>
      <c r="AU189" s="27"/>
      <c r="AV189" s="27"/>
      <c r="AW189" s="27"/>
      <c r="AX189" s="27"/>
      <c r="AY189" s="27"/>
      <c r="AZ189" s="27"/>
      <c r="BA189" s="27"/>
      <c r="BB189" s="27"/>
      <c r="BC189" s="27"/>
      <c r="BD189" s="27"/>
      <c r="BE189" s="27"/>
      <c r="BF189" s="27"/>
      <c r="BG189" s="27"/>
      <c r="BH189" s="27"/>
      <c r="BI189" s="27"/>
      <c r="BJ189" s="27"/>
      <c r="BK189" s="27"/>
      <c r="BL189" s="27"/>
      <c r="BM189" s="27"/>
      <c r="BN189" s="27"/>
      <c r="BO189" s="27"/>
      <c r="BP189" s="27"/>
      <c r="BQ189" s="27"/>
      <c r="BR189" s="27"/>
      <c r="BS189" s="27"/>
      <c r="BT189" s="27"/>
      <c r="BU189" s="27"/>
      <c r="BV189" s="27"/>
      <c r="BW189" s="27"/>
      <c r="BX189" s="27"/>
      <c r="BY189" s="27"/>
      <c r="BZ189" s="27"/>
      <c r="CA189" s="27"/>
      <c r="CB189" s="27"/>
    </row>
    <row r="190" spans="1:80" hidden="1" x14ac:dyDescent="0.25">
      <c r="A190" s="31" t="s">
        <v>675</v>
      </c>
      <c r="B190" s="39" t="s">
        <v>673</v>
      </c>
      <c r="C190" s="30" t="s">
        <v>674</v>
      </c>
      <c r="D190" s="30" t="s">
        <v>52</v>
      </c>
      <c r="E190" s="20" t="s">
        <v>1778</v>
      </c>
      <c r="F190" s="26" t="s">
        <v>1804</v>
      </c>
      <c r="G190" s="36"/>
      <c r="H190" s="36" t="s">
        <v>52</v>
      </c>
      <c r="I190" s="29" t="e">
        <f>VLOOKUP(B190,#REF!,2,FALSE)</f>
        <v>#REF!</v>
      </c>
      <c r="J190" s="27"/>
      <c r="K190" s="27"/>
      <c r="L190" s="27"/>
      <c r="M190" s="27"/>
      <c r="N190" s="27"/>
      <c r="O190" s="27"/>
      <c r="P190" s="27"/>
      <c r="Q190" s="27"/>
      <c r="R190" s="27"/>
      <c r="S190" s="27"/>
      <c r="T190" s="27"/>
      <c r="U190" s="27"/>
      <c r="V190" s="27"/>
      <c r="W190" s="27"/>
      <c r="X190" s="27"/>
      <c r="Y190" s="27"/>
      <c r="Z190" s="27"/>
      <c r="AA190" s="27"/>
      <c r="AB190" s="27"/>
      <c r="AC190" s="27"/>
      <c r="AD190" s="27"/>
      <c r="AE190" s="27"/>
      <c r="AF190" s="27"/>
      <c r="AG190" s="27"/>
      <c r="AH190" s="27"/>
      <c r="AI190" s="27"/>
      <c r="AJ190" s="27"/>
      <c r="AK190" s="27"/>
      <c r="AL190" s="27"/>
      <c r="AM190" s="27"/>
      <c r="AN190" s="27"/>
      <c r="AO190" s="27"/>
      <c r="AP190" s="27"/>
      <c r="AQ190" s="27"/>
      <c r="AR190" s="27"/>
      <c r="AS190" s="27"/>
      <c r="AT190" s="27"/>
      <c r="AU190" s="27"/>
      <c r="AV190" s="27"/>
      <c r="AW190" s="27"/>
      <c r="AX190" s="27"/>
      <c r="AY190" s="27"/>
      <c r="AZ190" s="27"/>
      <c r="BA190" s="27"/>
      <c r="BB190" s="27"/>
      <c r="BC190" s="27"/>
      <c r="BD190" s="27"/>
      <c r="BE190" s="27"/>
      <c r="BF190" s="27"/>
      <c r="BG190" s="27"/>
      <c r="BH190" s="27"/>
      <c r="BI190" s="27"/>
      <c r="BJ190" s="27"/>
      <c r="BK190" s="27"/>
      <c r="BL190" s="27"/>
      <c r="BM190" s="27"/>
      <c r="BN190" s="27"/>
      <c r="BO190" s="27"/>
      <c r="BP190" s="27"/>
      <c r="BQ190" s="27"/>
      <c r="BR190" s="27"/>
      <c r="BS190" s="27"/>
      <c r="BT190" s="27"/>
      <c r="BU190" s="27"/>
      <c r="BV190" s="27"/>
      <c r="BW190" s="27"/>
      <c r="BX190" s="27"/>
      <c r="BY190" s="27"/>
      <c r="BZ190" s="27"/>
      <c r="CA190" s="27"/>
      <c r="CB190" s="27"/>
    </row>
    <row r="191" spans="1:80" hidden="1" x14ac:dyDescent="0.25">
      <c r="A191" s="31" t="s">
        <v>679</v>
      </c>
      <c r="B191" s="39" t="s">
        <v>1813</v>
      </c>
      <c r="C191" s="30" t="s">
        <v>1810</v>
      </c>
      <c r="D191" s="30" t="s">
        <v>52</v>
      </c>
      <c r="E191" s="20" t="s">
        <v>1778</v>
      </c>
      <c r="F191" s="26" t="s">
        <v>1804</v>
      </c>
      <c r="G191" s="36"/>
      <c r="H191" s="36" t="s">
        <v>52</v>
      </c>
      <c r="I191" s="29" t="e">
        <f>VLOOKUP(B191,#REF!,2,FALSE)</f>
        <v>#REF!</v>
      </c>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c r="AO191" s="27"/>
      <c r="AP191" s="27"/>
      <c r="AQ191" s="27"/>
      <c r="AR191" s="27"/>
      <c r="AS191" s="27"/>
      <c r="AT191" s="27"/>
      <c r="AU191" s="27"/>
      <c r="AV191" s="27"/>
      <c r="AW191" s="27"/>
      <c r="AX191" s="27"/>
      <c r="AY191" s="27"/>
      <c r="AZ191" s="27"/>
      <c r="BA191" s="27"/>
      <c r="BB191" s="27"/>
      <c r="BC191" s="27"/>
      <c r="BD191" s="27"/>
      <c r="BE191" s="27"/>
      <c r="BF191" s="27"/>
      <c r="BG191" s="27"/>
      <c r="BH191" s="27"/>
      <c r="BI191" s="27"/>
      <c r="BJ191" s="27"/>
      <c r="BK191" s="27"/>
      <c r="BL191" s="27"/>
      <c r="BM191" s="27"/>
      <c r="BN191" s="27"/>
      <c r="BO191" s="27"/>
      <c r="BP191" s="27"/>
      <c r="BQ191" s="27"/>
      <c r="BR191" s="27"/>
      <c r="BS191" s="27"/>
      <c r="BT191" s="27"/>
      <c r="BU191" s="27"/>
      <c r="BV191" s="27"/>
      <c r="BW191" s="27"/>
      <c r="BX191" s="27"/>
      <c r="BY191" s="27"/>
      <c r="BZ191" s="27"/>
      <c r="CA191" s="27"/>
      <c r="CB191" s="27"/>
    </row>
    <row r="192" spans="1:80" hidden="1" x14ac:dyDescent="0.25">
      <c r="A192" s="31" t="s">
        <v>684</v>
      </c>
      <c r="B192" s="39" t="s">
        <v>163</v>
      </c>
      <c r="C192" s="30" t="s">
        <v>228</v>
      </c>
      <c r="D192" s="30" t="s">
        <v>52</v>
      </c>
      <c r="E192" s="20" t="s">
        <v>1778</v>
      </c>
      <c r="F192" s="26" t="s">
        <v>1804</v>
      </c>
      <c r="G192" s="36"/>
      <c r="H192" s="36" t="s">
        <v>52</v>
      </c>
      <c r="I192" s="29" t="e">
        <f>VLOOKUP(B192,#REF!,2,FALSE)</f>
        <v>#REF!</v>
      </c>
      <c r="J192" s="27"/>
      <c r="K192" s="27"/>
      <c r="L192" s="27"/>
      <c r="M192" s="27"/>
      <c r="N192" s="27"/>
      <c r="O192" s="27"/>
      <c r="P192" s="27"/>
      <c r="Q192" s="27"/>
      <c r="R192" s="27"/>
      <c r="S192" s="27"/>
      <c r="T192" s="27"/>
      <c r="U192" s="27"/>
      <c r="V192" s="27"/>
      <c r="W192" s="27"/>
      <c r="X192" s="27"/>
      <c r="Y192" s="27"/>
      <c r="Z192" s="27"/>
      <c r="AA192" s="27"/>
      <c r="AB192" s="27"/>
      <c r="AC192" s="27"/>
      <c r="AD192" s="27"/>
      <c r="AE192" s="27"/>
      <c r="AF192" s="27"/>
      <c r="AG192" s="27"/>
      <c r="AH192" s="27"/>
      <c r="AI192" s="27"/>
      <c r="AJ192" s="27"/>
      <c r="AK192" s="27"/>
      <c r="AL192" s="27"/>
      <c r="AM192" s="27"/>
      <c r="AN192" s="27"/>
      <c r="AO192" s="27"/>
      <c r="AP192" s="27"/>
      <c r="AQ192" s="27"/>
      <c r="AR192" s="27"/>
      <c r="AS192" s="27"/>
      <c r="AT192" s="27"/>
      <c r="AU192" s="27"/>
      <c r="AV192" s="27"/>
      <c r="AW192" s="27"/>
      <c r="AX192" s="27"/>
      <c r="AY192" s="27"/>
      <c r="AZ192" s="27"/>
      <c r="BA192" s="27"/>
      <c r="BB192" s="27"/>
      <c r="BC192" s="27"/>
      <c r="BD192" s="27"/>
      <c r="BE192" s="27"/>
      <c r="BF192" s="27"/>
      <c r="BG192" s="27"/>
      <c r="BH192" s="27"/>
      <c r="BI192" s="27"/>
      <c r="BJ192" s="27"/>
      <c r="BK192" s="27"/>
      <c r="BL192" s="27"/>
      <c r="BM192" s="27"/>
      <c r="BN192" s="27"/>
      <c r="BO192" s="27"/>
      <c r="BP192" s="27"/>
      <c r="BQ192" s="27"/>
      <c r="BR192" s="27"/>
      <c r="BS192" s="27"/>
      <c r="BT192" s="27"/>
      <c r="BU192" s="27"/>
      <c r="BV192" s="27"/>
      <c r="BW192" s="27"/>
      <c r="BX192" s="27"/>
      <c r="BY192" s="27"/>
      <c r="BZ192" s="27"/>
      <c r="CA192" s="27"/>
      <c r="CB192" s="27"/>
    </row>
    <row r="193" spans="1:80" hidden="1" x14ac:dyDescent="0.25">
      <c r="A193" s="31" t="s">
        <v>1319</v>
      </c>
      <c r="B193" s="39" t="s">
        <v>1318</v>
      </c>
      <c r="C193" s="30" t="s">
        <v>95</v>
      </c>
      <c r="D193" s="30" t="s">
        <v>52</v>
      </c>
      <c r="E193" s="20" t="s">
        <v>1778</v>
      </c>
      <c r="F193" s="26" t="s">
        <v>1804</v>
      </c>
      <c r="G193" s="36"/>
      <c r="H193" s="36" t="s">
        <v>52</v>
      </c>
      <c r="I193" s="29" t="e">
        <f>VLOOKUP(B193,#REF!,2,FALSE)</f>
        <v>#REF!</v>
      </c>
      <c r="J193" s="27"/>
      <c r="K193" s="27"/>
      <c r="L193" s="27"/>
      <c r="M193" s="27"/>
      <c r="N193" s="27"/>
      <c r="O193" s="27"/>
      <c r="P193" s="27"/>
      <c r="Q193" s="27"/>
      <c r="R193" s="27"/>
      <c r="S193" s="27"/>
      <c r="T193" s="27"/>
      <c r="U193" s="27"/>
      <c r="V193" s="27"/>
      <c r="W193" s="27"/>
      <c r="X193" s="27"/>
      <c r="Y193" s="27"/>
      <c r="Z193" s="27"/>
      <c r="AA193" s="27"/>
      <c r="AB193" s="27"/>
      <c r="AC193" s="27"/>
      <c r="AD193" s="27"/>
      <c r="AE193" s="27"/>
      <c r="AF193" s="27"/>
      <c r="AG193" s="27"/>
      <c r="AH193" s="27"/>
      <c r="AI193" s="27"/>
      <c r="AJ193" s="27"/>
      <c r="AK193" s="27"/>
      <c r="AL193" s="27"/>
      <c r="AM193" s="27"/>
      <c r="AN193" s="27"/>
      <c r="AO193" s="27"/>
      <c r="AP193" s="27"/>
      <c r="AQ193" s="27"/>
      <c r="AR193" s="27"/>
      <c r="AS193" s="27"/>
      <c r="AT193" s="27"/>
      <c r="AU193" s="27"/>
      <c r="AV193" s="27"/>
      <c r="AW193" s="27"/>
      <c r="AX193" s="27"/>
      <c r="AY193" s="27"/>
      <c r="AZ193" s="27"/>
      <c r="BA193" s="27"/>
      <c r="BB193" s="27"/>
      <c r="BC193" s="27"/>
      <c r="BD193" s="27"/>
      <c r="BE193" s="27"/>
      <c r="BF193" s="27"/>
      <c r="BG193" s="27"/>
      <c r="BH193" s="27"/>
      <c r="BI193" s="27"/>
      <c r="BJ193" s="27"/>
      <c r="BK193" s="27"/>
      <c r="BL193" s="27"/>
      <c r="BM193" s="27"/>
      <c r="BN193" s="27"/>
      <c r="BO193" s="27"/>
      <c r="BP193" s="27"/>
      <c r="BQ193" s="27"/>
      <c r="BR193" s="27"/>
      <c r="BS193" s="27"/>
      <c r="BT193" s="27"/>
      <c r="BU193" s="27"/>
      <c r="BV193" s="27"/>
      <c r="BW193" s="27"/>
      <c r="BX193" s="27"/>
      <c r="BY193" s="27"/>
      <c r="BZ193" s="27"/>
      <c r="CA193" s="27"/>
      <c r="CB193" s="27"/>
    </row>
    <row r="194" spans="1:80" hidden="1" x14ac:dyDescent="0.25">
      <c r="A194" s="31" t="s">
        <v>688</v>
      </c>
      <c r="B194" s="39" t="s">
        <v>1814</v>
      </c>
      <c r="C194" s="30" t="s">
        <v>1670</v>
      </c>
      <c r="D194" s="30" t="s">
        <v>52</v>
      </c>
      <c r="E194" s="20" t="s">
        <v>1778</v>
      </c>
      <c r="F194" s="26" t="s">
        <v>1804</v>
      </c>
      <c r="G194" s="36"/>
      <c r="H194" s="36" t="s">
        <v>52</v>
      </c>
      <c r="I194" s="29" t="e">
        <f>VLOOKUP(B194,#REF!,2,FALSE)</f>
        <v>#REF!</v>
      </c>
      <c r="J194" s="27"/>
      <c r="K194" s="27"/>
      <c r="L194" s="27"/>
      <c r="M194" s="27"/>
      <c r="N194" s="27"/>
      <c r="O194" s="27"/>
      <c r="P194" s="27"/>
      <c r="Q194" s="27"/>
      <c r="R194" s="27"/>
      <c r="S194" s="27"/>
      <c r="T194" s="27"/>
      <c r="U194" s="27"/>
      <c r="V194" s="27"/>
      <c r="W194" s="27"/>
      <c r="X194" s="27"/>
      <c r="Y194" s="27"/>
      <c r="Z194" s="27"/>
      <c r="AA194" s="27"/>
      <c r="AB194" s="27"/>
      <c r="AC194" s="27"/>
      <c r="AD194" s="27"/>
      <c r="AE194" s="27"/>
      <c r="AF194" s="27"/>
      <c r="AG194" s="27"/>
      <c r="AH194" s="27"/>
      <c r="AI194" s="27"/>
      <c r="AJ194" s="27"/>
      <c r="AK194" s="27"/>
      <c r="AL194" s="27"/>
      <c r="AM194" s="27"/>
      <c r="AN194" s="27"/>
      <c r="AO194" s="27"/>
      <c r="AP194" s="27"/>
      <c r="AQ194" s="27"/>
      <c r="AR194" s="27"/>
      <c r="AS194" s="27"/>
      <c r="AT194" s="27"/>
      <c r="AU194" s="27"/>
      <c r="AV194" s="27"/>
      <c r="AW194" s="27"/>
      <c r="AX194" s="27"/>
      <c r="AY194" s="27"/>
      <c r="AZ194" s="27"/>
      <c r="BA194" s="27"/>
      <c r="BB194" s="27"/>
      <c r="BC194" s="27"/>
      <c r="BD194" s="27"/>
      <c r="BE194" s="27"/>
      <c r="BF194" s="27"/>
      <c r="BG194" s="27"/>
      <c r="BH194" s="27"/>
      <c r="BI194" s="27"/>
      <c r="BJ194" s="27"/>
      <c r="BK194" s="27"/>
      <c r="BL194" s="27"/>
      <c r="BM194" s="27"/>
      <c r="BN194" s="27"/>
      <c r="BO194" s="27"/>
      <c r="BP194" s="27"/>
      <c r="BQ194" s="27"/>
      <c r="BR194" s="27"/>
      <c r="BS194" s="27"/>
      <c r="BT194" s="27"/>
      <c r="BU194" s="27"/>
      <c r="BV194" s="27"/>
      <c r="BW194" s="27"/>
      <c r="BX194" s="27"/>
      <c r="BY194" s="27"/>
      <c r="BZ194" s="27"/>
      <c r="CA194" s="27"/>
      <c r="CB194" s="27"/>
    </row>
    <row r="195" spans="1:80" hidden="1" x14ac:dyDescent="0.25">
      <c r="A195" s="31" t="s">
        <v>182</v>
      </c>
      <c r="B195" s="39" t="s">
        <v>181</v>
      </c>
      <c r="C195" s="30" t="s">
        <v>25</v>
      </c>
      <c r="D195" s="30" t="s">
        <v>52</v>
      </c>
      <c r="E195" s="20" t="s">
        <v>1778</v>
      </c>
      <c r="F195" s="26" t="s">
        <v>1804</v>
      </c>
      <c r="G195" s="36"/>
      <c r="H195" s="36" t="s">
        <v>52</v>
      </c>
      <c r="I195" s="29" t="e">
        <f>VLOOKUP(B195,#REF!,2,FALSE)</f>
        <v>#REF!</v>
      </c>
      <c r="J195" s="27"/>
      <c r="K195" s="27"/>
      <c r="L195" s="27"/>
      <c r="M195" s="27"/>
      <c r="N195" s="27"/>
      <c r="O195" s="27"/>
      <c r="P195" s="27"/>
      <c r="Q195" s="27"/>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c r="AO195" s="27"/>
      <c r="AP195" s="27"/>
      <c r="AQ195" s="27"/>
      <c r="AR195" s="27"/>
      <c r="AS195" s="27"/>
      <c r="AT195" s="27"/>
      <c r="AU195" s="27"/>
      <c r="AV195" s="27"/>
      <c r="AW195" s="27"/>
      <c r="AX195" s="27"/>
      <c r="AY195" s="27"/>
      <c r="AZ195" s="27"/>
      <c r="BA195" s="27"/>
      <c r="BB195" s="27"/>
      <c r="BC195" s="27"/>
      <c r="BD195" s="27"/>
      <c r="BE195" s="27"/>
      <c r="BF195" s="27"/>
      <c r="BG195" s="27"/>
      <c r="BH195" s="27"/>
      <c r="BI195" s="27"/>
      <c r="BJ195" s="27"/>
      <c r="BK195" s="27"/>
      <c r="BL195" s="27"/>
      <c r="BM195" s="27"/>
      <c r="BN195" s="27"/>
      <c r="BO195" s="27"/>
      <c r="BP195" s="27"/>
      <c r="BQ195" s="27"/>
      <c r="BR195" s="27"/>
      <c r="BS195" s="27"/>
      <c r="BT195" s="27"/>
      <c r="BU195" s="27"/>
      <c r="BV195" s="27"/>
      <c r="BW195" s="27"/>
      <c r="BX195" s="27"/>
      <c r="BY195" s="27"/>
      <c r="BZ195" s="27"/>
      <c r="CA195" s="27"/>
      <c r="CB195" s="27"/>
    </row>
    <row r="196" spans="1:80" hidden="1" x14ac:dyDescent="0.25">
      <c r="A196" s="31" t="s">
        <v>1815</v>
      </c>
      <c r="B196" s="39" t="s">
        <v>1816</v>
      </c>
      <c r="C196" s="30" t="s">
        <v>1817</v>
      </c>
      <c r="D196" s="30" t="s">
        <v>97</v>
      </c>
      <c r="E196" s="20" t="s">
        <v>1778</v>
      </c>
      <c r="F196" s="26" t="s">
        <v>1804</v>
      </c>
      <c r="G196" s="36" t="s">
        <v>1818</v>
      </c>
      <c r="H196" s="36" t="s">
        <v>97</v>
      </c>
      <c r="I196" s="29" t="e">
        <f>VLOOKUP(B196,#REF!,2,FALSE)</f>
        <v>#REF!</v>
      </c>
      <c r="J196" s="27"/>
      <c r="K196" s="27"/>
      <c r="L196" s="27"/>
      <c r="M196" s="27"/>
      <c r="N196" s="27"/>
      <c r="O196" s="27"/>
      <c r="P196" s="27"/>
      <c r="Q196" s="27"/>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c r="AO196" s="27"/>
      <c r="AP196" s="27"/>
      <c r="AQ196" s="27"/>
      <c r="AR196" s="27"/>
      <c r="AS196" s="27"/>
      <c r="AT196" s="27"/>
      <c r="AU196" s="27"/>
      <c r="AV196" s="27"/>
      <c r="AW196" s="27"/>
      <c r="AX196" s="27"/>
      <c r="AY196" s="27"/>
      <c r="AZ196" s="27"/>
      <c r="BA196" s="27"/>
      <c r="BB196" s="27"/>
      <c r="BC196" s="27"/>
      <c r="BD196" s="27"/>
      <c r="BE196" s="27"/>
      <c r="BF196" s="27"/>
      <c r="BG196" s="27"/>
      <c r="BH196" s="27"/>
      <c r="BI196" s="27"/>
      <c r="BJ196" s="27"/>
      <c r="BK196" s="27"/>
      <c r="BL196" s="27"/>
      <c r="BM196" s="27"/>
      <c r="BN196" s="27"/>
      <c r="BO196" s="27"/>
      <c r="BP196" s="27"/>
      <c r="BQ196" s="27"/>
      <c r="BR196" s="27"/>
      <c r="BS196" s="27"/>
      <c r="BT196" s="27"/>
      <c r="BU196" s="27"/>
      <c r="BV196" s="27"/>
      <c r="BW196" s="27"/>
      <c r="BX196" s="27"/>
      <c r="BY196" s="27"/>
      <c r="BZ196" s="27"/>
      <c r="CA196" s="27"/>
      <c r="CB196" s="27"/>
    </row>
    <row r="197" spans="1:80" hidden="1" x14ac:dyDescent="0.25">
      <c r="A197" s="31" t="s">
        <v>713</v>
      </c>
      <c r="B197" s="39" t="s">
        <v>712</v>
      </c>
      <c r="C197" s="30" t="s">
        <v>316</v>
      </c>
      <c r="D197" s="30" t="s">
        <v>97</v>
      </c>
      <c r="E197" s="20" t="s">
        <v>1778</v>
      </c>
      <c r="F197" s="26" t="s">
        <v>1804</v>
      </c>
      <c r="G197" s="36"/>
      <c r="H197" s="36" t="s">
        <v>97</v>
      </c>
      <c r="I197" s="29" t="e">
        <f>VLOOKUP(B197,#REF!,2,FALSE)</f>
        <v>#REF!</v>
      </c>
      <c r="J197" s="27"/>
      <c r="K197" s="27"/>
      <c r="L197" s="27"/>
      <c r="M197" s="27"/>
      <c r="N197" s="27"/>
      <c r="O197" s="27"/>
      <c r="P197" s="27"/>
      <c r="Q197" s="27"/>
      <c r="R197" s="27"/>
      <c r="S197" s="27"/>
      <c r="T197" s="27"/>
      <c r="U197" s="27"/>
      <c r="V197" s="27"/>
      <c r="W197" s="27"/>
      <c r="X197" s="27"/>
      <c r="Y197" s="27"/>
      <c r="Z197" s="27"/>
      <c r="AA197" s="27"/>
      <c r="AB197" s="27"/>
      <c r="AC197" s="27"/>
      <c r="AD197" s="27"/>
      <c r="AE197" s="27"/>
      <c r="AF197" s="27"/>
      <c r="AG197" s="27"/>
      <c r="AH197" s="27"/>
      <c r="AI197" s="27"/>
      <c r="AJ197" s="27"/>
      <c r="AK197" s="27"/>
      <c r="AL197" s="27"/>
      <c r="AM197" s="27"/>
      <c r="AN197" s="27"/>
      <c r="AO197" s="27"/>
      <c r="AP197" s="27"/>
      <c r="AQ197" s="27"/>
      <c r="AR197" s="27"/>
      <c r="AS197" s="27"/>
      <c r="AT197" s="27"/>
      <c r="AU197" s="27"/>
      <c r="AV197" s="27"/>
      <c r="AW197" s="27"/>
      <c r="AX197" s="27"/>
      <c r="AY197" s="27"/>
      <c r="AZ197" s="27"/>
      <c r="BA197" s="27"/>
      <c r="BB197" s="27"/>
      <c r="BC197" s="27"/>
      <c r="BD197" s="27"/>
      <c r="BE197" s="27"/>
      <c r="BF197" s="27"/>
      <c r="BG197" s="27"/>
      <c r="BH197" s="27"/>
      <c r="BI197" s="27"/>
      <c r="BJ197" s="27"/>
      <c r="BK197" s="27"/>
      <c r="BL197" s="27"/>
      <c r="BM197" s="27"/>
      <c r="BN197" s="27"/>
      <c r="BO197" s="27"/>
      <c r="BP197" s="27"/>
      <c r="BQ197" s="27"/>
      <c r="BR197" s="27"/>
      <c r="BS197" s="27"/>
      <c r="BT197" s="27"/>
      <c r="BU197" s="27"/>
      <c r="BV197" s="27"/>
      <c r="BW197" s="27"/>
      <c r="BX197" s="27"/>
      <c r="BY197" s="27"/>
      <c r="BZ197" s="27"/>
      <c r="CA197" s="27"/>
      <c r="CB197" s="27"/>
    </row>
    <row r="198" spans="1:80" hidden="1" x14ac:dyDescent="0.25">
      <c r="A198" s="31" t="s">
        <v>716</v>
      </c>
      <c r="B198" s="39" t="s">
        <v>715</v>
      </c>
      <c r="C198" s="30" t="s">
        <v>64</v>
      </c>
      <c r="D198" s="30" t="s">
        <v>52</v>
      </c>
      <c r="E198" s="20" t="s">
        <v>1778</v>
      </c>
      <c r="F198" s="26" t="s">
        <v>1804</v>
      </c>
      <c r="G198" s="36"/>
      <c r="H198" s="36" t="s">
        <v>52</v>
      </c>
      <c r="I198" s="29" t="e">
        <f>VLOOKUP(B198,#REF!,2,FALSE)</f>
        <v>#REF!</v>
      </c>
      <c r="J198" s="27"/>
      <c r="K198" s="27"/>
      <c r="L198" s="27"/>
      <c r="M198" s="27"/>
      <c r="N198" s="27"/>
      <c r="O198" s="27"/>
      <c r="P198" s="27"/>
      <c r="Q198" s="27"/>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c r="AO198" s="27"/>
      <c r="AP198" s="27"/>
      <c r="AQ198" s="27"/>
      <c r="AR198" s="27"/>
      <c r="AS198" s="27"/>
      <c r="AT198" s="27"/>
      <c r="AU198" s="27"/>
      <c r="AV198" s="27"/>
      <c r="AW198" s="27"/>
      <c r="AX198" s="27"/>
      <c r="AY198" s="27"/>
      <c r="AZ198" s="27"/>
      <c r="BA198" s="27"/>
      <c r="BB198" s="27"/>
      <c r="BC198" s="27"/>
      <c r="BD198" s="27"/>
      <c r="BE198" s="27"/>
      <c r="BF198" s="27"/>
      <c r="BG198" s="27"/>
      <c r="BH198" s="27"/>
      <c r="BI198" s="27"/>
      <c r="BJ198" s="27"/>
      <c r="BK198" s="27"/>
      <c r="BL198" s="27"/>
      <c r="BM198" s="27"/>
      <c r="BN198" s="27"/>
      <c r="BO198" s="27"/>
      <c r="BP198" s="27"/>
      <c r="BQ198" s="27"/>
      <c r="BR198" s="27"/>
      <c r="BS198" s="27"/>
      <c r="BT198" s="27"/>
      <c r="BU198" s="27"/>
      <c r="BV198" s="27"/>
      <c r="BW198" s="27"/>
      <c r="BX198" s="27"/>
      <c r="BY198" s="27"/>
      <c r="BZ198" s="27"/>
      <c r="CA198" s="27"/>
      <c r="CB198" s="27"/>
    </row>
    <row r="199" spans="1:80" hidden="1" x14ac:dyDescent="0.25">
      <c r="A199" s="31" t="s">
        <v>727</v>
      </c>
      <c r="B199" s="39" t="s">
        <v>1819</v>
      </c>
      <c r="C199" s="30" t="s">
        <v>1670</v>
      </c>
      <c r="D199" s="30" t="s">
        <v>52</v>
      </c>
      <c r="E199" s="20" t="s">
        <v>1778</v>
      </c>
      <c r="F199" s="26" t="s">
        <v>1804</v>
      </c>
      <c r="G199" s="36"/>
      <c r="H199" s="36" t="s">
        <v>97</v>
      </c>
      <c r="I199" s="29" t="e">
        <f>VLOOKUP(B199,#REF!,2,FALSE)</f>
        <v>#REF!</v>
      </c>
      <c r="J199" s="27"/>
      <c r="K199" s="27"/>
      <c r="L199" s="27"/>
      <c r="M199" s="27"/>
      <c r="N199" s="27"/>
      <c r="O199" s="27"/>
      <c r="P199" s="27"/>
      <c r="Q199" s="27"/>
      <c r="R199" s="27"/>
      <c r="S199" s="27"/>
      <c r="T199" s="27"/>
      <c r="U199" s="27"/>
      <c r="V199" s="27"/>
      <c r="W199" s="27"/>
      <c r="X199" s="27"/>
      <c r="Y199" s="27"/>
      <c r="Z199" s="27"/>
      <c r="AA199" s="27"/>
      <c r="AB199" s="27"/>
      <c r="AC199" s="27"/>
      <c r="AD199" s="27"/>
      <c r="AE199" s="27"/>
      <c r="AF199" s="27"/>
      <c r="AG199" s="27"/>
      <c r="AH199" s="27"/>
      <c r="AI199" s="27"/>
      <c r="AJ199" s="27"/>
      <c r="AK199" s="27"/>
      <c r="AL199" s="27"/>
      <c r="AM199" s="27"/>
      <c r="AN199" s="27"/>
      <c r="AO199" s="27"/>
      <c r="AP199" s="27"/>
      <c r="AQ199" s="27"/>
      <c r="AR199" s="27"/>
      <c r="AS199" s="27"/>
      <c r="AT199" s="27"/>
      <c r="AU199" s="27"/>
      <c r="AV199" s="27"/>
      <c r="AW199" s="27"/>
      <c r="AX199" s="27"/>
      <c r="AY199" s="27"/>
      <c r="AZ199" s="27"/>
      <c r="BA199" s="27"/>
      <c r="BB199" s="27"/>
      <c r="BC199" s="27"/>
      <c r="BD199" s="27"/>
      <c r="BE199" s="27"/>
      <c r="BF199" s="27"/>
      <c r="BG199" s="27"/>
      <c r="BH199" s="27"/>
      <c r="BI199" s="27"/>
      <c r="BJ199" s="27"/>
      <c r="BK199" s="27"/>
      <c r="BL199" s="27"/>
      <c r="BM199" s="27"/>
      <c r="BN199" s="27"/>
      <c r="BO199" s="27"/>
      <c r="BP199" s="27"/>
      <c r="BQ199" s="27"/>
      <c r="BR199" s="27"/>
      <c r="BS199" s="27"/>
      <c r="BT199" s="27"/>
      <c r="BU199" s="27"/>
      <c r="BV199" s="27"/>
      <c r="BW199" s="27"/>
      <c r="BX199" s="27"/>
      <c r="BY199" s="27"/>
      <c r="BZ199" s="27"/>
      <c r="CA199" s="27"/>
      <c r="CB199" s="27"/>
    </row>
    <row r="200" spans="1:80" hidden="1" x14ac:dyDescent="0.25">
      <c r="A200" s="31" t="s">
        <v>735</v>
      </c>
      <c r="B200" s="39" t="s">
        <v>1820</v>
      </c>
      <c r="C200" s="30" t="s">
        <v>1807</v>
      </c>
      <c r="D200" s="30" t="s">
        <v>52</v>
      </c>
      <c r="E200" s="20" t="s">
        <v>1778</v>
      </c>
      <c r="F200" s="26" t="s">
        <v>1804</v>
      </c>
      <c r="G200" s="36"/>
      <c r="H200" s="36" t="s">
        <v>52</v>
      </c>
      <c r="I200" s="29" t="e">
        <f>VLOOKUP(B200,#REF!,2,FALSE)</f>
        <v>#REF!</v>
      </c>
      <c r="J200" s="27"/>
      <c r="K200" s="27"/>
      <c r="L200" s="27"/>
      <c r="M200" s="27"/>
      <c r="N200" s="27"/>
      <c r="O200" s="27"/>
      <c r="P200" s="27"/>
      <c r="Q200" s="27"/>
      <c r="R200" s="27"/>
      <c r="S200" s="27"/>
      <c r="T200" s="27"/>
      <c r="U200" s="27"/>
      <c r="V200" s="27"/>
      <c r="W200" s="27"/>
      <c r="X200" s="27"/>
      <c r="Y200" s="27"/>
      <c r="Z200" s="27"/>
      <c r="AA200" s="27"/>
      <c r="AB200" s="27"/>
      <c r="AC200" s="27"/>
      <c r="AD200" s="27"/>
      <c r="AE200" s="27"/>
      <c r="AF200" s="27"/>
      <c r="AG200" s="27"/>
      <c r="AH200" s="27"/>
      <c r="AI200" s="27"/>
      <c r="AJ200" s="27"/>
      <c r="AK200" s="27"/>
      <c r="AL200" s="27"/>
      <c r="AM200" s="27"/>
      <c r="AN200" s="27"/>
      <c r="AO200" s="27"/>
      <c r="AP200" s="27"/>
      <c r="AQ200" s="27"/>
      <c r="AR200" s="27"/>
      <c r="AS200" s="27"/>
      <c r="AT200" s="27"/>
      <c r="AU200" s="27"/>
      <c r="AV200" s="27"/>
      <c r="AW200" s="27"/>
      <c r="AX200" s="27"/>
      <c r="AY200" s="27"/>
      <c r="AZ200" s="27"/>
      <c r="BA200" s="27"/>
      <c r="BB200" s="27"/>
      <c r="BC200" s="27"/>
      <c r="BD200" s="27"/>
      <c r="BE200" s="27"/>
      <c r="BF200" s="27"/>
      <c r="BG200" s="27"/>
      <c r="BH200" s="27"/>
      <c r="BI200" s="27"/>
      <c r="BJ200" s="27"/>
      <c r="BK200" s="27"/>
      <c r="BL200" s="27"/>
      <c r="BM200" s="27"/>
      <c r="BN200" s="27"/>
      <c r="BO200" s="27"/>
      <c r="BP200" s="27"/>
      <c r="BQ200" s="27"/>
      <c r="BR200" s="27"/>
      <c r="BS200" s="27"/>
      <c r="BT200" s="27"/>
      <c r="BU200" s="27"/>
      <c r="BV200" s="27"/>
      <c r="BW200" s="27"/>
      <c r="BX200" s="27"/>
      <c r="BY200" s="27"/>
      <c r="BZ200" s="27"/>
      <c r="CA200" s="27"/>
      <c r="CB200" s="27"/>
    </row>
    <row r="201" spans="1:80" hidden="1" x14ac:dyDescent="0.25">
      <c r="A201" s="33" t="s">
        <v>737</v>
      </c>
      <c r="B201" s="38" t="s">
        <v>736</v>
      </c>
      <c r="C201" s="32" t="s">
        <v>91</v>
      </c>
      <c r="D201" s="32" t="s">
        <v>52</v>
      </c>
      <c r="E201" s="21" t="s">
        <v>1778</v>
      </c>
      <c r="F201" s="25" t="s">
        <v>1804</v>
      </c>
      <c r="G201" s="32"/>
      <c r="H201" s="32" t="s">
        <v>52</v>
      </c>
      <c r="I201" s="29" t="e">
        <f>VLOOKUP(B201,#REF!,2,FALSE)</f>
        <v>#REF!</v>
      </c>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row>
    <row r="202" spans="1:80" hidden="1" x14ac:dyDescent="0.25">
      <c r="A202" s="31" t="s">
        <v>742</v>
      </c>
      <c r="B202" s="39" t="s">
        <v>1821</v>
      </c>
      <c r="C202" s="30" t="s">
        <v>1800</v>
      </c>
      <c r="D202" s="30" t="s">
        <v>52</v>
      </c>
      <c r="E202" s="20" t="s">
        <v>1778</v>
      </c>
      <c r="F202" s="26" t="s">
        <v>1804</v>
      </c>
      <c r="G202" s="36"/>
      <c r="H202" s="36" t="s">
        <v>52</v>
      </c>
      <c r="I202" s="29" t="e">
        <f>VLOOKUP(B202,#REF!,2,FALSE)</f>
        <v>#REF!</v>
      </c>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c r="AO202" s="27"/>
      <c r="AP202" s="27"/>
      <c r="AQ202" s="27"/>
      <c r="AR202" s="27"/>
      <c r="AS202" s="27"/>
      <c r="AT202" s="27"/>
      <c r="AU202" s="27"/>
      <c r="AV202" s="27"/>
      <c r="AW202" s="27"/>
      <c r="AX202" s="27"/>
      <c r="AY202" s="27"/>
      <c r="AZ202" s="27"/>
      <c r="BA202" s="27"/>
      <c r="BB202" s="27"/>
      <c r="BC202" s="27"/>
      <c r="BD202" s="27"/>
      <c r="BE202" s="27"/>
      <c r="BF202" s="27"/>
      <c r="BG202" s="27"/>
      <c r="BH202" s="27"/>
      <c r="BI202" s="27"/>
      <c r="BJ202" s="27"/>
      <c r="BK202" s="27"/>
      <c r="BL202" s="27"/>
      <c r="BM202" s="27"/>
      <c r="BN202" s="27"/>
      <c r="BO202" s="27"/>
      <c r="BP202" s="27"/>
      <c r="BQ202" s="27"/>
      <c r="BR202" s="27"/>
      <c r="BS202" s="27"/>
      <c r="BT202" s="27"/>
      <c r="BU202" s="27"/>
      <c r="BV202" s="27"/>
      <c r="BW202" s="27"/>
      <c r="BX202" s="27"/>
      <c r="BY202" s="27"/>
      <c r="BZ202" s="27"/>
      <c r="CA202" s="27"/>
      <c r="CB202" s="27"/>
    </row>
    <row r="203" spans="1:80" hidden="1" x14ac:dyDescent="0.25">
      <c r="A203" s="31" t="s">
        <v>744</v>
      </c>
      <c r="B203" s="39" t="s">
        <v>1822</v>
      </c>
      <c r="C203" s="30" t="s">
        <v>1791</v>
      </c>
      <c r="D203" s="30" t="s">
        <v>52</v>
      </c>
      <c r="E203" s="20" t="s">
        <v>1778</v>
      </c>
      <c r="F203" s="26" t="s">
        <v>1804</v>
      </c>
      <c r="G203" s="36"/>
      <c r="H203" s="36" t="s">
        <v>52</v>
      </c>
      <c r="I203" s="29" t="e">
        <f>VLOOKUP(B203,#REF!,2,FALSE)</f>
        <v>#REF!</v>
      </c>
      <c r="J203" s="27"/>
      <c r="K203" s="27"/>
      <c r="L203" s="27"/>
      <c r="M203" s="27"/>
      <c r="N203" s="27"/>
      <c r="O203" s="27"/>
      <c r="P203" s="27"/>
      <c r="Q203" s="27"/>
      <c r="R203" s="27"/>
      <c r="S203" s="27"/>
      <c r="T203" s="27"/>
      <c r="U203" s="27"/>
      <c r="V203" s="27"/>
      <c r="W203" s="27"/>
      <c r="X203" s="27"/>
      <c r="Y203" s="27"/>
      <c r="Z203" s="27"/>
      <c r="AA203" s="27"/>
      <c r="AB203" s="27"/>
      <c r="AC203" s="27"/>
      <c r="AD203" s="27"/>
      <c r="AE203" s="27"/>
      <c r="AF203" s="27"/>
      <c r="AG203" s="27"/>
      <c r="AH203" s="27"/>
      <c r="AI203" s="27"/>
      <c r="AJ203" s="27"/>
      <c r="AK203" s="27"/>
      <c r="AL203" s="27"/>
      <c r="AM203" s="27"/>
      <c r="AN203" s="27"/>
      <c r="AO203" s="27"/>
      <c r="AP203" s="27"/>
      <c r="AQ203" s="27"/>
      <c r="AR203" s="27"/>
      <c r="AS203" s="27"/>
      <c r="AT203" s="27"/>
      <c r="AU203" s="27"/>
      <c r="AV203" s="27"/>
      <c r="AW203" s="27"/>
      <c r="AX203" s="27"/>
      <c r="AY203" s="27"/>
      <c r="AZ203" s="27"/>
      <c r="BA203" s="27"/>
      <c r="BB203" s="27"/>
      <c r="BC203" s="27"/>
      <c r="BD203" s="27"/>
      <c r="BE203" s="27"/>
      <c r="BF203" s="27"/>
      <c r="BG203" s="27"/>
      <c r="BH203" s="27"/>
      <c r="BI203" s="27"/>
      <c r="BJ203" s="27"/>
      <c r="BK203" s="27"/>
      <c r="BL203" s="27"/>
      <c r="BM203" s="27"/>
      <c r="BN203" s="27"/>
      <c r="BO203" s="27"/>
      <c r="BP203" s="27"/>
      <c r="BQ203" s="27"/>
      <c r="BR203" s="27"/>
      <c r="BS203" s="27"/>
      <c r="BT203" s="27"/>
      <c r="BU203" s="27"/>
      <c r="BV203" s="27"/>
      <c r="BW203" s="27"/>
      <c r="BX203" s="27"/>
      <c r="BY203" s="27"/>
      <c r="BZ203" s="27"/>
      <c r="CA203" s="27"/>
      <c r="CB203" s="27"/>
    </row>
    <row r="204" spans="1:80" hidden="1" x14ac:dyDescent="0.25">
      <c r="A204" s="31" t="s">
        <v>1556</v>
      </c>
      <c r="B204" s="39" t="s">
        <v>1823</v>
      </c>
      <c r="C204" s="30" t="s">
        <v>1679</v>
      </c>
      <c r="D204" s="30" t="s">
        <v>52</v>
      </c>
      <c r="E204" s="20" t="s">
        <v>1778</v>
      </c>
      <c r="F204" s="26" t="s">
        <v>1804</v>
      </c>
      <c r="G204" s="36"/>
      <c r="H204" s="36" t="s">
        <v>52</v>
      </c>
      <c r="I204" s="29" t="e">
        <f>VLOOKUP(B204,#REF!,2,FALSE)</f>
        <v>#REF!</v>
      </c>
      <c r="J204" s="27"/>
      <c r="K204" s="27"/>
      <c r="L204" s="27"/>
      <c r="M204" s="27"/>
      <c r="N204" s="27"/>
      <c r="O204" s="27"/>
      <c r="P204" s="27"/>
      <c r="Q204" s="27"/>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c r="AO204" s="27"/>
      <c r="AP204" s="27"/>
      <c r="AQ204" s="27"/>
      <c r="AR204" s="27"/>
      <c r="AS204" s="27"/>
      <c r="AT204" s="27"/>
      <c r="AU204" s="27"/>
      <c r="AV204" s="27"/>
      <c r="AW204" s="27"/>
      <c r="AX204" s="27"/>
      <c r="AY204" s="27"/>
      <c r="AZ204" s="27"/>
      <c r="BA204" s="27"/>
      <c r="BB204" s="27"/>
      <c r="BC204" s="27"/>
      <c r="BD204" s="27"/>
      <c r="BE204" s="27"/>
      <c r="BF204" s="27"/>
      <c r="BG204" s="27"/>
      <c r="BH204" s="27"/>
      <c r="BI204" s="27"/>
      <c r="BJ204" s="27"/>
      <c r="BK204" s="27"/>
      <c r="BL204" s="27"/>
      <c r="BM204" s="27"/>
      <c r="BN204" s="27"/>
      <c r="BO204" s="27"/>
      <c r="BP204" s="27"/>
      <c r="BQ204" s="27"/>
      <c r="BR204" s="27"/>
      <c r="BS204" s="27"/>
      <c r="BT204" s="27"/>
      <c r="BU204" s="27"/>
      <c r="BV204" s="27"/>
      <c r="BW204" s="27"/>
      <c r="BX204" s="27"/>
      <c r="BY204" s="27"/>
      <c r="BZ204" s="27"/>
      <c r="CA204" s="27"/>
      <c r="CB204" s="27"/>
    </row>
    <row r="205" spans="1:80" hidden="1" x14ac:dyDescent="0.25">
      <c r="A205" s="31" t="s">
        <v>768</v>
      </c>
      <c r="B205" s="39" t="s">
        <v>767</v>
      </c>
      <c r="C205" s="30" t="s">
        <v>55</v>
      </c>
      <c r="D205" s="30" t="s">
        <v>52</v>
      </c>
      <c r="E205" s="20" t="s">
        <v>1778</v>
      </c>
      <c r="F205" s="26" t="s">
        <v>1804</v>
      </c>
      <c r="G205" s="36"/>
      <c r="H205" s="36" t="s">
        <v>52</v>
      </c>
      <c r="I205" s="29" t="e">
        <f>VLOOKUP(B205,#REF!,2,FALSE)</f>
        <v>#REF!</v>
      </c>
      <c r="J205" s="27"/>
      <c r="K205" s="27"/>
      <c r="L205" s="27"/>
      <c r="M205" s="27"/>
      <c r="N205" s="27"/>
      <c r="O205" s="27"/>
      <c r="P205" s="27"/>
      <c r="Q205" s="27"/>
      <c r="R205" s="27"/>
      <c r="S205" s="27"/>
      <c r="T205" s="27"/>
      <c r="U205" s="27"/>
      <c r="V205" s="27"/>
      <c r="W205" s="27"/>
      <c r="X205" s="27"/>
      <c r="Y205" s="27"/>
      <c r="Z205" s="27"/>
      <c r="AA205" s="27"/>
      <c r="AB205" s="27"/>
      <c r="AC205" s="27"/>
      <c r="AD205" s="27"/>
      <c r="AE205" s="27"/>
      <c r="AF205" s="27"/>
      <c r="AG205" s="27"/>
      <c r="AH205" s="27"/>
      <c r="AI205" s="27"/>
      <c r="AJ205" s="27"/>
      <c r="AK205" s="27"/>
      <c r="AL205" s="27"/>
      <c r="AM205" s="27"/>
      <c r="AN205" s="27"/>
      <c r="AO205" s="27"/>
      <c r="AP205" s="27"/>
      <c r="AQ205" s="27"/>
      <c r="AR205" s="27"/>
      <c r="AS205" s="27"/>
      <c r="AT205" s="27"/>
      <c r="AU205" s="27"/>
      <c r="AV205" s="27"/>
      <c r="AW205" s="27"/>
      <c r="AX205" s="27"/>
      <c r="AY205" s="27"/>
      <c r="AZ205" s="27"/>
      <c r="BA205" s="27"/>
      <c r="BB205" s="27"/>
      <c r="BC205" s="27"/>
      <c r="BD205" s="27"/>
      <c r="BE205" s="27"/>
      <c r="BF205" s="27"/>
      <c r="BG205" s="27"/>
      <c r="BH205" s="27"/>
      <c r="BI205" s="27"/>
      <c r="BJ205" s="27"/>
      <c r="BK205" s="27"/>
      <c r="BL205" s="27"/>
      <c r="BM205" s="27"/>
      <c r="BN205" s="27"/>
      <c r="BO205" s="27"/>
      <c r="BP205" s="27"/>
      <c r="BQ205" s="27"/>
      <c r="BR205" s="27"/>
      <c r="BS205" s="27"/>
      <c r="BT205" s="27"/>
      <c r="BU205" s="27"/>
      <c r="BV205" s="27"/>
      <c r="BW205" s="27"/>
      <c r="BX205" s="27"/>
      <c r="BY205" s="27"/>
      <c r="BZ205" s="27"/>
      <c r="CA205" s="27"/>
      <c r="CB205" s="27"/>
    </row>
    <row r="206" spans="1:80" hidden="1" x14ac:dyDescent="0.25">
      <c r="A206" s="31" t="s">
        <v>772</v>
      </c>
      <c r="B206" s="39" t="s">
        <v>771</v>
      </c>
      <c r="C206" s="30" t="s">
        <v>23</v>
      </c>
      <c r="D206" s="30" t="s">
        <v>52</v>
      </c>
      <c r="E206" s="20" t="s">
        <v>1778</v>
      </c>
      <c r="F206" s="26" t="s">
        <v>1804</v>
      </c>
      <c r="G206" s="36"/>
      <c r="H206" s="36" t="s">
        <v>52</v>
      </c>
      <c r="I206" s="29" t="e">
        <f>VLOOKUP(B206,#REF!,2,FALSE)</f>
        <v>#REF!</v>
      </c>
      <c r="J206" s="27"/>
      <c r="K206" s="27"/>
      <c r="L206" s="27"/>
      <c r="M206" s="27"/>
      <c r="N206" s="27"/>
      <c r="O206" s="27"/>
      <c r="P206" s="27"/>
      <c r="Q206" s="27"/>
      <c r="R206" s="27"/>
      <c r="S206" s="27"/>
      <c r="T206" s="27"/>
      <c r="U206" s="27"/>
      <c r="V206" s="27"/>
      <c r="W206" s="27"/>
      <c r="X206" s="27"/>
      <c r="Y206" s="27"/>
      <c r="Z206" s="27"/>
      <c r="AA206" s="27"/>
      <c r="AB206" s="27"/>
      <c r="AC206" s="27"/>
      <c r="AD206" s="27"/>
      <c r="AE206" s="27"/>
      <c r="AF206" s="27"/>
      <c r="AG206" s="27"/>
      <c r="AH206" s="27"/>
      <c r="AI206" s="27"/>
      <c r="AJ206" s="27"/>
      <c r="AK206" s="27"/>
      <c r="AL206" s="27"/>
      <c r="AM206" s="27"/>
      <c r="AN206" s="27"/>
      <c r="AO206" s="27"/>
      <c r="AP206" s="27"/>
      <c r="AQ206" s="27"/>
      <c r="AR206" s="27"/>
      <c r="AS206" s="27"/>
      <c r="AT206" s="27"/>
      <c r="AU206" s="27"/>
      <c r="AV206" s="27"/>
      <c r="AW206" s="27"/>
      <c r="AX206" s="27"/>
      <c r="AY206" s="27"/>
      <c r="AZ206" s="27"/>
      <c r="BA206" s="27"/>
      <c r="BB206" s="27"/>
      <c r="BC206" s="27"/>
      <c r="BD206" s="27"/>
      <c r="BE206" s="27"/>
      <c r="BF206" s="27"/>
      <c r="BG206" s="27"/>
      <c r="BH206" s="27"/>
      <c r="BI206" s="27"/>
      <c r="BJ206" s="27"/>
      <c r="BK206" s="27"/>
      <c r="BL206" s="27"/>
      <c r="BM206" s="27"/>
      <c r="BN206" s="27"/>
      <c r="BO206" s="27"/>
      <c r="BP206" s="27"/>
      <c r="BQ206" s="27"/>
      <c r="BR206" s="27"/>
      <c r="BS206" s="27"/>
      <c r="BT206" s="27"/>
      <c r="BU206" s="27"/>
      <c r="BV206" s="27"/>
      <c r="BW206" s="27"/>
      <c r="BX206" s="27"/>
      <c r="BY206" s="27"/>
      <c r="BZ206" s="27"/>
      <c r="CA206" s="27"/>
      <c r="CB206" s="27"/>
    </row>
    <row r="207" spans="1:80" hidden="1" x14ac:dyDescent="0.25">
      <c r="A207" s="31" t="s">
        <v>781</v>
      </c>
      <c r="B207" s="39" t="s">
        <v>780</v>
      </c>
      <c r="C207" s="30" t="s">
        <v>202</v>
      </c>
      <c r="D207" s="30" t="s">
        <v>52</v>
      </c>
      <c r="E207" s="20" t="s">
        <v>1778</v>
      </c>
      <c r="F207" s="26" t="s">
        <v>1804</v>
      </c>
      <c r="G207" s="36"/>
      <c r="H207" s="36" t="s">
        <v>52</v>
      </c>
      <c r="I207" s="29" t="e">
        <f>VLOOKUP(B207,#REF!,2,FALSE)</f>
        <v>#REF!</v>
      </c>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c r="AS207" s="27"/>
      <c r="AT207" s="27"/>
      <c r="AU207" s="27"/>
      <c r="AV207" s="27"/>
      <c r="AW207" s="27"/>
      <c r="AX207" s="27"/>
      <c r="AY207" s="27"/>
      <c r="AZ207" s="27"/>
      <c r="BA207" s="27"/>
      <c r="BB207" s="27"/>
      <c r="BC207" s="27"/>
      <c r="BD207" s="27"/>
      <c r="BE207" s="27"/>
      <c r="BF207" s="27"/>
      <c r="BG207" s="27"/>
      <c r="BH207" s="27"/>
      <c r="BI207" s="27"/>
      <c r="BJ207" s="27"/>
      <c r="BK207" s="27"/>
      <c r="BL207" s="27"/>
      <c r="BM207" s="27"/>
      <c r="BN207" s="27"/>
      <c r="BO207" s="27"/>
      <c r="BP207" s="27"/>
      <c r="BQ207" s="27"/>
      <c r="BR207" s="27"/>
      <c r="BS207" s="27"/>
      <c r="BT207" s="27"/>
      <c r="BU207" s="27"/>
      <c r="BV207" s="27"/>
      <c r="BW207" s="27"/>
      <c r="BX207" s="27"/>
      <c r="BY207" s="27"/>
      <c r="BZ207" s="27"/>
      <c r="CA207" s="27"/>
      <c r="CB207" s="27"/>
    </row>
    <row r="208" spans="1:80" hidden="1" x14ac:dyDescent="0.25">
      <c r="A208" s="31" t="s">
        <v>783</v>
      </c>
      <c r="B208" s="39" t="s">
        <v>782</v>
      </c>
      <c r="C208" s="30" t="s">
        <v>278</v>
      </c>
      <c r="D208" s="30" t="s">
        <v>52</v>
      </c>
      <c r="E208" s="20" t="s">
        <v>1778</v>
      </c>
      <c r="F208" s="26" t="s">
        <v>1804</v>
      </c>
      <c r="G208" s="36"/>
      <c r="H208" s="36" t="s">
        <v>52</v>
      </c>
      <c r="I208" s="29" t="e">
        <f>VLOOKUP(B208,#REF!,2,FALSE)</f>
        <v>#REF!</v>
      </c>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7"/>
      <c r="BC208" s="27"/>
      <c r="BD208" s="27"/>
      <c r="BE208" s="27"/>
      <c r="BF208" s="27"/>
      <c r="BG208" s="27"/>
      <c r="BH208" s="27"/>
      <c r="BI208" s="27"/>
      <c r="BJ208" s="27"/>
      <c r="BK208" s="27"/>
      <c r="BL208" s="27"/>
      <c r="BM208" s="27"/>
      <c r="BN208" s="27"/>
      <c r="BO208" s="27"/>
      <c r="BP208" s="27"/>
      <c r="BQ208" s="27"/>
      <c r="BR208" s="27"/>
      <c r="BS208" s="27"/>
      <c r="BT208" s="27"/>
      <c r="BU208" s="27"/>
      <c r="BV208" s="27"/>
      <c r="BW208" s="27"/>
      <c r="BX208" s="27"/>
      <c r="BY208" s="27"/>
      <c r="BZ208" s="27"/>
      <c r="CA208" s="27"/>
      <c r="CB208" s="27"/>
    </row>
    <row r="209" spans="1:80" hidden="1" x14ac:dyDescent="0.25">
      <c r="A209" s="31" t="s">
        <v>586</v>
      </c>
      <c r="B209" s="39" t="s">
        <v>585</v>
      </c>
      <c r="C209" s="30" t="s">
        <v>144</v>
      </c>
      <c r="D209" s="30" t="s">
        <v>10</v>
      </c>
      <c r="E209" s="20" t="s">
        <v>1778</v>
      </c>
      <c r="F209" s="26" t="s">
        <v>1804</v>
      </c>
      <c r="G209" s="36"/>
      <c r="H209" s="36" t="s">
        <v>10</v>
      </c>
      <c r="I209" s="29" t="e">
        <f>VLOOKUP(B209,#REF!,2,FALSE)</f>
        <v>#REF!</v>
      </c>
      <c r="J209" s="27"/>
      <c r="K209" s="27"/>
      <c r="L209" s="27"/>
      <c r="M209" s="27"/>
      <c r="N209" s="27"/>
      <c r="O209" s="27"/>
      <c r="P209" s="27"/>
      <c r="Q209" s="27"/>
      <c r="R209" s="27"/>
      <c r="S209" s="27"/>
      <c r="T209" s="27"/>
      <c r="U209" s="27"/>
      <c r="V209" s="27"/>
      <c r="W209" s="27"/>
      <c r="X209" s="27"/>
      <c r="Y209" s="27"/>
      <c r="Z209" s="27"/>
      <c r="AA209" s="27"/>
      <c r="AB209" s="27"/>
      <c r="AC209" s="27"/>
      <c r="AD209" s="27"/>
      <c r="AE209" s="27"/>
      <c r="AF209" s="27"/>
      <c r="AG209" s="27"/>
      <c r="AH209" s="27"/>
      <c r="AI209" s="27"/>
      <c r="AJ209" s="27"/>
      <c r="AK209" s="27"/>
      <c r="AL209" s="27"/>
      <c r="AM209" s="27"/>
      <c r="AN209" s="27"/>
      <c r="AO209" s="27"/>
      <c r="AP209" s="27"/>
      <c r="AQ209" s="27"/>
      <c r="AR209" s="27"/>
      <c r="AS209" s="27"/>
      <c r="AT209" s="27"/>
      <c r="AU209" s="27"/>
      <c r="AV209" s="27"/>
      <c r="AW209" s="27"/>
      <c r="AX209" s="27"/>
      <c r="AY209" s="27"/>
      <c r="AZ209" s="27"/>
      <c r="BA209" s="27"/>
      <c r="BB209" s="27"/>
      <c r="BC209" s="27"/>
      <c r="BD209" s="27"/>
      <c r="BE209" s="27"/>
      <c r="BF209" s="27"/>
      <c r="BG209" s="27"/>
      <c r="BH209" s="27"/>
      <c r="BI209" s="27"/>
      <c r="BJ209" s="27"/>
      <c r="BK209" s="27"/>
      <c r="BL209" s="27"/>
      <c r="BM209" s="27"/>
      <c r="BN209" s="27"/>
      <c r="BO209" s="27"/>
      <c r="BP209" s="27"/>
      <c r="BQ209" s="27"/>
      <c r="BR209" s="27"/>
      <c r="BS209" s="27"/>
      <c r="BT209" s="27"/>
      <c r="BU209" s="27"/>
      <c r="BV209" s="27"/>
      <c r="BW209" s="27"/>
      <c r="BX209" s="27"/>
      <c r="BY209" s="27"/>
      <c r="BZ209" s="27"/>
      <c r="CA209" s="27"/>
      <c r="CB209" s="27"/>
    </row>
    <row r="210" spans="1:80" hidden="1" x14ac:dyDescent="0.25">
      <c r="A210" s="33" t="s">
        <v>604</v>
      </c>
      <c r="B210" s="40" t="s">
        <v>602</v>
      </c>
      <c r="C210" s="32" t="s">
        <v>603</v>
      </c>
      <c r="D210" s="32" t="s">
        <v>605</v>
      </c>
      <c r="E210" s="21" t="s">
        <v>1778</v>
      </c>
      <c r="F210" s="25" t="s">
        <v>1824</v>
      </c>
      <c r="G210" s="32"/>
      <c r="H210" s="32"/>
      <c r="I210" s="29" t="e">
        <f>VLOOKUP(B210,#REF!,2,FALSE)</f>
        <v>#REF!</v>
      </c>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row>
    <row r="211" spans="1:80" hidden="1" x14ac:dyDescent="0.25">
      <c r="A211" s="31" t="s">
        <v>613</v>
      </c>
      <c r="B211" s="39" t="s">
        <v>611</v>
      </c>
      <c r="C211" s="30" t="s">
        <v>612</v>
      </c>
      <c r="D211" s="30" t="s">
        <v>52</v>
      </c>
      <c r="E211" s="20" t="s">
        <v>1778</v>
      </c>
      <c r="F211" s="26" t="s">
        <v>1824</v>
      </c>
      <c r="G211" s="36"/>
      <c r="H211" s="36" t="s">
        <v>52</v>
      </c>
      <c r="I211" s="29" t="e">
        <f>VLOOKUP(B211,#REF!,2,FALSE)</f>
        <v>#REF!</v>
      </c>
      <c r="J211" s="27"/>
      <c r="K211" s="27"/>
      <c r="L211" s="27"/>
      <c r="M211" s="27"/>
      <c r="N211" s="27"/>
      <c r="O211" s="27"/>
      <c r="P211" s="27"/>
      <c r="Q211" s="27"/>
      <c r="R211" s="27"/>
      <c r="S211" s="27"/>
      <c r="T211" s="27"/>
      <c r="U211" s="27"/>
      <c r="V211" s="27"/>
      <c r="W211" s="27"/>
      <c r="X211" s="27"/>
      <c r="Y211" s="27"/>
      <c r="Z211" s="27"/>
      <c r="AA211" s="27"/>
      <c r="AB211" s="27"/>
      <c r="AC211" s="27"/>
      <c r="AD211" s="27"/>
      <c r="AE211" s="27"/>
      <c r="AF211" s="27"/>
      <c r="AG211" s="27"/>
      <c r="AH211" s="27"/>
      <c r="AI211" s="27"/>
      <c r="AJ211" s="27"/>
      <c r="AK211" s="27"/>
      <c r="AL211" s="27"/>
      <c r="AM211" s="27"/>
      <c r="AN211" s="27"/>
      <c r="AO211" s="27"/>
      <c r="AP211" s="27"/>
      <c r="AQ211" s="27"/>
      <c r="AR211" s="27"/>
      <c r="AS211" s="27"/>
      <c r="AT211" s="27"/>
      <c r="AU211" s="27"/>
      <c r="AV211" s="27"/>
      <c r="AW211" s="27"/>
      <c r="AX211" s="27"/>
      <c r="AY211" s="27"/>
      <c r="AZ211" s="27"/>
      <c r="BA211" s="27"/>
      <c r="BB211" s="27"/>
      <c r="BC211" s="27"/>
      <c r="BD211" s="27"/>
      <c r="BE211" s="27"/>
      <c r="BF211" s="27"/>
      <c r="BG211" s="27"/>
      <c r="BH211" s="27"/>
      <c r="BI211" s="27"/>
      <c r="BJ211" s="27"/>
      <c r="BK211" s="27"/>
      <c r="BL211" s="27"/>
      <c r="BM211" s="27"/>
      <c r="BN211" s="27"/>
      <c r="BO211" s="27"/>
      <c r="BP211" s="27"/>
      <c r="BQ211" s="27"/>
      <c r="BR211" s="27"/>
      <c r="BS211" s="27"/>
      <c r="BT211" s="27"/>
      <c r="BU211" s="27"/>
      <c r="BV211" s="27"/>
      <c r="BW211" s="27"/>
      <c r="BX211" s="27"/>
      <c r="BY211" s="27"/>
      <c r="BZ211" s="27"/>
      <c r="CA211" s="27"/>
      <c r="CB211" s="27"/>
    </row>
    <row r="212" spans="1:80" hidden="1" x14ac:dyDescent="0.25">
      <c r="A212" s="31" t="s">
        <v>624</v>
      </c>
      <c r="B212" s="39" t="s">
        <v>623</v>
      </c>
      <c r="C212" s="30" t="s">
        <v>119</v>
      </c>
      <c r="D212" s="30" t="s">
        <v>14</v>
      </c>
      <c r="E212" s="20" t="s">
        <v>1778</v>
      </c>
      <c r="F212" s="26" t="s">
        <v>1824</v>
      </c>
      <c r="G212" s="36"/>
      <c r="H212" s="36" t="s">
        <v>14</v>
      </c>
      <c r="I212" s="29" t="e">
        <f>VLOOKUP(B212,#REF!,2,FALSE)</f>
        <v>#REF!</v>
      </c>
      <c r="J212" s="27"/>
      <c r="K212" s="27"/>
      <c r="L212" s="27"/>
      <c r="M212" s="27"/>
      <c r="N212" s="27"/>
      <c r="O212" s="27"/>
      <c r="P212" s="27"/>
      <c r="Q212" s="27"/>
      <c r="R212" s="27"/>
      <c r="S212" s="27"/>
      <c r="T212" s="27"/>
      <c r="U212" s="27"/>
      <c r="V212" s="27"/>
      <c r="W212" s="27"/>
      <c r="X212" s="27"/>
      <c r="Y212" s="27"/>
      <c r="Z212" s="27"/>
      <c r="AA212" s="27"/>
      <c r="AB212" s="27"/>
      <c r="AC212" s="27"/>
      <c r="AD212" s="27"/>
      <c r="AE212" s="27"/>
      <c r="AF212" s="27"/>
      <c r="AG212" s="27"/>
      <c r="AH212" s="27"/>
      <c r="AI212" s="27"/>
      <c r="AJ212" s="27"/>
      <c r="AK212" s="27"/>
      <c r="AL212" s="27"/>
      <c r="AM212" s="27"/>
      <c r="AN212" s="27"/>
      <c r="AO212" s="27"/>
      <c r="AP212" s="27"/>
      <c r="AQ212" s="27"/>
      <c r="AR212" s="27"/>
      <c r="AS212" s="27"/>
      <c r="AT212" s="27"/>
      <c r="AU212" s="27"/>
      <c r="AV212" s="27"/>
      <c r="AW212" s="27"/>
      <c r="AX212" s="27"/>
      <c r="AY212" s="27"/>
      <c r="AZ212" s="27"/>
      <c r="BA212" s="27"/>
      <c r="BB212" s="27"/>
      <c r="BC212" s="27"/>
      <c r="BD212" s="27"/>
      <c r="BE212" s="27"/>
      <c r="BF212" s="27"/>
      <c r="BG212" s="27"/>
      <c r="BH212" s="27"/>
      <c r="BI212" s="27"/>
      <c r="BJ212" s="27"/>
      <c r="BK212" s="27"/>
      <c r="BL212" s="27"/>
      <c r="BM212" s="27"/>
      <c r="BN212" s="27"/>
      <c r="BO212" s="27"/>
      <c r="BP212" s="27"/>
      <c r="BQ212" s="27"/>
      <c r="BR212" s="27"/>
      <c r="BS212" s="27"/>
      <c r="BT212" s="27"/>
      <c r="BU212" s="27"/>
      <c r="BV212" s="27"/>
      <c r="BW212" s="27"/>
      <c r="BX212" s="27"/>
      <c r="BY212" s="27"/>
      <c r="BZ212" s="27"/>
      <c r="CA212" s="27"/>
      <c r="CB212" s="27"/>
    </row>
    <row r="213" spans="1:80" hidden="1" x14ac:dyDescent="0.25">
      <c r="A213" s="33" t="s">
        <v>627</v>
      </c>
      <c r="B213" s="40" t="s">
        <v>625</v>
      </c>
      <c r="C213" s="32" t="s">
        <v>626</v>
      </c>
      <c r="D213" s="32" t="s">
        <v>605</v>
      </c>
      <c r="E213" s="21" t="s">
        <v>1778</v>
      </c>
      <c r="F213" s="25" t="s">
        <v>1824</v>
      </c>
      <c r="G213" s="32"/>
      <c r="H213" s="32"/>
      <c r="I213" s="29" t="e">
        <f>VLOOKUP(B213,#REF!,2,FALSE)</f>
        <v>#REF!</v>
      </c>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row>
    <row r="214" spans="1:80" hidden="1" x14ac:dyDescent="0.25">
      <c r="A214" s="31" t="s">
        <v>639</v>
      </c>
      <c r="B214" s="39" t="s">
        <v>637</v>
      </c>
      <c r="C214" s="30" t="s">
        <v>202</v>
      </c>
      <c r="D214" s="30" t="s">
        <v>52</v>
      </c>
      <c r="E214" s="20" t="s">
        <v>1778</v>
      </c>
      <c r="F214" s="26" t="s">
        <v>1824</v>
      </c>
      <c r="G214" s="36" t="s">
        <v>173</v>
      </c>
      <c r="H214" s="36" t="s">
        <v>52</v>
      </c>
      <c r="I214" s="29" t="e">
        <f>VLOOKUP(B214,#REF!,2,FALSE)</f>
        <v>#REF!</v>
      </c>
      <c r="J214" s="27"/>
      <c r="K214" s="27"/>
      <c r="L214" s="27"/>
      <c r="M214" s="27"/>
      <c r="N214" s="27"/>
      <c r="O214" s="27"/>
      <c r="P214" s="27"/>
      <c r="Q214" s="27"/>
      <c r="R214" s="27"/>
      <c r="S214" s="27"/>
      <c r="T214" s="27"/>
      <c r="U214" s="27"/>
      <c r="V214" s="27"/>
      <c r="W214" s="27"/>
      <c r="X214" s="27"/>
      <c r="Y214" s="27"/>
      <c r="Z214" s="27"/>
      <c r="AA214" s="27"/>
      <c r="AB214" s="27"/>
      <c r="AC214" s="27"/>
      <c r="AD214" s="27"/>
      <c r="AE214" s="27"/>
      <c r="AF214" s="27"/>
      <c r="AG214" s="27"/>
      <c r="AH214" s="27"/>
      <c r="AI214" s="27"/>
      <c r="AJ214" s="27"/>
      <c r="AK214" s="27"/>
      <c r="AL214" s="27"/>
      <c r="AM214" s="27"/>
      <c r="AN214" s="27"/>
      <c r="AO214" s="27"/>
      <c r="AP214" s="27"/>
      <c r="AQ214" s="27"/>
      <c r="AR214" s="27"/>
      <c r="AS214" s="27"/>
      <c r="AT214" s="27"/>
      <c r="AU214" s="27"/>
      <c r="AV214" s="27"/>
      <c r="AW214" s="27"/>
      <c r="AX214" s="27"/>
      <c r="AY214" s="27"/>
      <c r="AZ214" s="27"/>
      <c r="BA214" s="27"/>
      <c r="BB214" s="27"/>
      <c r="BC214" s="27"/>
      <c r="BD214" s="27"/>
      <c r="BE214" s="27"/>
      <c r="BF214" s="27"/>
      <c r="BG214" s="27"/>
      <c r="BH214" s="27"/>
      <c r="BI214" s="27"/>
      <c r="BJ214" s="27"/>
      <c r="BK214" s="27"/>
      <c r="BL214" s="27"/>
      <c r="BM214" s="27"/>
      <c r="BN214" s="27"/>
      <c r="BO214" s="27"/>
      <c r="BP214" s="27"/>
      <c r="BQ214" s="27"/>
      <c r="BR214" s="27"/>
      <c r="BS214" s="27"/>
      <c r="BT214" s="27"/>
      <c r="BU214" s="27"/>
      <c r="BV214" s="27"/>
      <c r="BW214" s="27"/>
      <c r="BX214" s="27"/>
      <c r="BY214" s="27"/>
      <c r="BZ214" s="27"/>
      <c r="CA214" s="27"/>
      <c r="CB214" s="27"/>
    </row>
    <row r="215" spans="1:80" hidden="1" x14ac:dyDescent="0.25">
      <c r="A215" s="31" t="s">
        <v>1183</v>
      </c>
      <c r="B215" s="39" t="s">
        <v>1825</v>
      </c>
      <c r="C215" s="30" t="s">
        <v>1800</v>
      </c>
      <c r="D215" s="30" t="s">
        <v>52</v>
      </c>
      <c r="E215" s="20" t="s">
        <v>1778</v>
      </c>
      <c r="F215" s="26" t="s">
        <v>1824</v>
      </c>
      <c r="G215" s="36"/>
      <c r="H215" s="36" t="s">
        <v>52</v>
      </c>
      <c r="I215" s="29" t="e">
        <f>VLOOKUP(B215,#REF!,2,FALSE)</f>
        <v>#REF!</v>
      </c>
      <c r="J215" s="27"/>
      <c r="K215" s="27"/>
      <c r="L215" s="27"/>
      <c r="M215" s="27"/>
      <c r="N215" s="27"/>
      <c r="O215" s="27"/>
      <c r="P215" s="27"/>
      <c r="Q215" s="27"/>
      <c r="R215" s="27"/>
      <c r="S215" s="27"/>
      <c r="T215" s="27"/>
      <c r="U215" s="27"/>
      <c r="V215" s="27"/>
      <c r="W215" s="27"/>
      <c r="X215" s="27"/>
      <c r="Y215" s="27"/>
      <c r="Z215" s="27"/>
      <c r="AA215" s="27"/>
      <c r="AB215" s="27"/>
      <c r="AC215" s="27"/>
      <c r="AD215" s="27"/>
      <c r="AE215" s="27"/>
      <c r="AF215" s="27"/>
      <c r="AG215" s="27"/>
      <c r="AH215" s="27"/>
      <c r="AI215" s="27"/>
      <c r="AJ215" s="27"/>
      <c r="AK215" s="27"/>
      <c r="AL215" s="27"/>
      <c r="AM215" s="27"/>
      <c r="AN215" s="27"/>
      <c r="AO215" s="27"/>
      <c r="AP215" s="27"/>
      <c r="AQ215" s="27"/>
      <c r="AR215" s="27"/>
      <c r="AS215" s="27"/>
      <c r="AT215" s="27"/>
      <c r="AU215" s="27"/>
      <c r="AV215" s="27"/>
      <c r="AW215" s="27"/>
      <c r="AX215" s="27"/>
      <c r="AY215" s="27"/>
      <c r="AZ215" s="27"/>
      <c r="BA215" s="27"/>
      <c r="BB215" s="27"/>
      <c r="BC215" s="27"/>
      <c r="BD215" s="27"/>
      <c r="BE215" s="27"/>
      <c r="BF215" s="27"/>
      <c r="BG215" s="27"/>
      <c r="BH215" s="27"/>
      <c r="BI215" s="27"/>
      <c r="BJ215" s="27"/>
      <c r="BK215" s="27"/>
      <c r="BL215" s="27"/>
      <c r="BM215" s="27"/>
      <c r="BN215" s="27"/>
      <c r="BO215" s="27"/>
      <c r="BP215" s="27"/>
      <c r="BQ215" s="27"/>
      <c r="BR215" s="27"/>
      <c r="BS215" s="27"/>
      <c r="BT215" s="27"/>
      <c r="BU215" s="27"/>
      <c r="BV215" s="27"/>
      <c r="BW215" s="27"/>
      <c r="BX215" s="27"/>
      <c r="BY215" s="27"/>
      <c r="BZ215" s="27"/>
      <c r="CA215" s="27"/>
      <c r="CB215" s="27"/>
    </row>
    <row r="216" spans="1:80" hidden="1" x14ac:dyDescent="0.25">
      <c r="A216" s="31" t="s">
        <v>655</v>
      </c>
      <c r="B216" s="39" t="s">
        <v>654</v>
      </c>
      <c r="C216" s="36" t="s">
        <v>73</v>
      </c>
      <c r="D216" s="30" t="s">
        <v>52</v>
      </c>
      <c r="E216" s="20" t="s">
        <v>1778</v>
      </c>
      <c r="F216" s="26" t="s">
        <v>1824</v>
      </c>
      <c r="G216" s="36"/>
      <c r="H216" s="36" t="s">
        <v>52</v>
      </c>
      <c r="I216" s="29" t="e">
        <f>VLOOKUP(B216,#REF!,2,FALSE)</f>
        <v>#REF!</v>
      </c>
      <c r="J216" s="27"/>
      <c r="K216" s="27"/>
      <c r="L216" s="27"/>
      <c r="M216" s="27"/>
      <c r="N216" s="27"/>
      <c r="O216" s="27"/>
      <c r="P216" s="27"/>
      <c r="Q216" s="27"/>
      <c r="R216" s="27"/>
      <c r="S216" s="27"/>
      <c r="T216" s="27"/>
      <c r="U216" s="27"/>
      <c r="V216" s="27"/>
      <c r="W216" s="27"/>
      <c r="X216" s="27"/>
      <c r="Y216" s="27"/>
      <c r="Z216" s="27"/>
      <c r="AA216" s="27"/>
      <c r="AB216" s="27"/>
      <c r="AC216" s="27"/>
      <c r="AD216" s="27"/>
      <c r="AE216" s="27"/>
      <c r="AF216" s="27"/>
      <c r="AG216" s="27"/>
      <c r="AH216" s="27"/>
      <c r="AI216" s="27"/>
      <c r="AJ216" s="27"/>
      <c r="AK216" s="27"/>
      <c r="AL216" s="27"/>
      <c r="AM216" s="27"/>
      <c r="AN216" s="27"/>
      <c r="AO216" s="27"/>
      <c r="AP216" s="27"/>
      <c r="AQ216" s="27"/>
      <c r="AR216" s="27"/>
      <c r="AS216" s="27"/>
      <c r="AT216" s="27"/>
      <c r="AU216" s="27"/>
      <c r="AV216" s="27"/>
      <c r="AW216" s="27"/>
      <c r="AX216" s="27"/>
      <c r="AY216" s="27"/>
      <c r="AZ216" s="27"/>
      <c r="BA216" s="27"/>
      <c r="BB216" s="27"/>
      <c r="BC216" s="27"/>
      <c r="BD216" s="27"/>
      <c r="BE216" s="27"/>
      <c r="BF216" s="27"/>
      <c r="BG216" s="27"/>
      <c r="BH216" s="27"/>
      <c r="BI216" s="27"/>
      <c r="BJ216" s="27"/>
      <c r="BK216" s="27"/>
      <c r="BL216" s="27"/>
      <c r="BM216" s="27"/>
      <c r="BN216" s="27"/>
      <c r="BO216" s="27"/>
      <c r="BP216" s="27"/>
      <c r="BQ216" s="27"/>
      <c r="BR216" s="27"/>
      <c r="BS216" s="27"/>
      <c r="BT216" s="27"/>
      <c r="BU216" s="27"/>
      <c r="BV216" s="27"/>
      <c r="BW216" s="27"/>
      <c r="BX216" s="27"/>
      <c r="BY216" s="27"/>
      <c r="BZ216" s="27"/>
      <c r="CA216" s="27"/>
      <c r="CB216" s="27"/>
    </row>
    <row r="217" spans="1:80" hidden="1" x14ac:dyDescent="0.25">
      <c r="A217" s="31" t="s">
        <v>677</v>
      </c>
      <c r="B217" s="39" t="s">
        <v>676</v>
      </c>
      <c r="C217" s="30" t="s">
        <v>292</v>
      </c>
      <c r="D217" s="30" t="s">
        <v>52</v>
      </c>
      <c r="E217" s="20" t="s">
        <v>1778</v>
      </c>
      <c r="F217" s="26" t="s">
        <v>1824</v>
      </c>
      <c r="G217" s="36"/>
      <c r="H217" s="36" t="s">
        <v>52</v>
      </c>
      <c r="I217" s="29" t="e">
        <f>VLOOKUP(B217,#REF!,2,FALSE)</f>
        <v>#REF!</v>
      </c>
      <c r="J217" s="27"/>
      <c r="K217" s="27"/>
      <c r="L217" s="27"/>
      <c r="M217" s="27"/>
      <c r="N217" s="27"/>
      <c r="O217" s="27"/>
      <c r="P217" s="27"/>
      <c r="Q217" s="27"/>
      <c r="R217" s="27"/>
      <c r="S217" s="27"/>
      <c r="T217" s="27"/>
      <c r="U217" s="27"/>
      <c r="V217" s="27"/>
      <c r="W217" s="27"/>
      <c r="X217" s="27"/>
      <c r="Y217" s="27"/>
      <c r="Z217" s="27"/>
      <c r="AA217" s="27"/>
      <c r="AB217" s="27"/>
      <c r="AC217" s="27"/>
      <c r="AD217" s="27"/>
      <c r="AE217" s="27"/>
      <c r="AF217" s="27"/>
      <c r="AG217" s="27"/>
      <c r="AH217" s="27"/>
      <c r="AI217" s="27"/>
      <c r="AJ217" s="27"/>
      <c r="AK217" s="27"/>
      <c r="AL217" s="27"/>
      <c r="AM217" s="27"/>
      <c r="AN217" s="27"/>
      <c r="AO217" s="27"/>
      <c r="AP217" s="27"/>
      <c r="AQ217" s="27"/>
      <c r="AR217" s="27"/>
      <c r="AS217" s="27"/>
      <c r="AT217" s="27"/>
      <c r="AU217" s="27"/>
      <c r="AV217" s="27"/>
      <c r="AW217" s="27"/>
      <c r="AX217" s="27"/>
      <c r="AY217" s="27"/>
      <c r="AZ217" s="27"/>
      <c r="BA217" s="27"/>
      <c r="BB217" s="27"/>
      <c r="BC217" s="27"/>
      <c r="BD217" s="27"/>
      <c r="BE217" s="27"/>
      <c r="BF217" s="27"/>
      <c r="BG217" s="27"/>
      <c r="BH217" s="27"/>
      <c r="BI217" s="27"/>
      <c r="BJ217" s="27"/>
      <c r="BK217" s="27"/>
      <c r="BL217" s="27"/>
      <c r="BM217" s="27"/>
      <c r="BN217" s="27"/>
      <c r="BO217" s="27"/>
      <c r="BP217" s="27"/>
      <c r="BQ217" s="27"/>
      <c r="BR217" s="27"/>
      <c r="BS217" s="27"/>
      <c r="BT217" s="27"/>
      <c r="BU217" s="27"/>
      <c r="BV217" s="27"/>
      <c r="BW217" s="27"/>
      <c r="BX217" s="27"/>
      <c r="BY217" s="27"/>
      <c r="BZ217" s="27"/>
      <c r="CA217" s="27"/>
      <c r="CB217" s="27"/>
    </row>
    <row r="218" spans="1:80" hidden="1" x14ac:dyDescent="0.25">
      <c r="A218" s="31" t="s">
        <v>573</v>
      </c>
      <c r="B218" s="39" t="s">
        <v>572</v>
      </c>
      <c r="C218" s="30" t="s">
        <v>43</v>
      </c>
      <c r="D218" s="30" t="s">
        <v>52</v>
      </c>
      <c r="E218" s="20" t="s">
        <v>1778</v>
      </c>
      <c r="F218" s="26" t="s">
        <v>1824</v>
      </c>
      <c r="G218" s="36"/>
      <c r="H218" s="36" t="s">
        <v>52</v>
      </c>
      <c r="I218" s="29" t="e">
        <f>VLOOKUP(B218,#REF!,2,FALSE)</f>
        <v>#REF!</v>
      </c>
      <c r="J218" s="27"/>
      <c r="K218" s="27"/>
      <c r="L218" s="27"/>
      <c r="M218" s="27"/>
      <c r="N218" s="27"/>
      <c r="O218" s="27"/>
      <c r="P218" s="27"/>
      <c r="Q218" s="27"/>
      <c r="R218" s="27"/>
      <c r="S218" s="27"/>
      <c r="T218" s="27"/>
      <c r="U218" s="27"/>
      <c r="V218" s="27"/>
      <c r="W218" s="27"/>
      <c r="X218" s="27"/>
      <c r="Y218" s="27"/>
      <c r="Z218" s="27"/>
      <c r="AA218" s="27"/>
      <c r="AB218" s="27"/>
      <c r="AC218" s="27"/>
      <c r="AD218" s="27"/>
      <c r="AE218" s="27"/>
      <c r="AF218" s="27"/>
      <c r="AG218" s="27"/>
      <c r="AH218" s="27"/>
      <c r="AI218" s="27"/>
      <c r="AJ218" s="27"/>
      <c r="AK218" s="27"/>
      <c r="AL218" s="27"/>
      <c r="AM218" s="27"/>
      <c r="AN218" s="27"/>
      <c r="AO218" s="27"/>
      <c r="AP218" s="27"/>
      <c r="AQ218" s="27"/>
      <c r="AR218" s="27"/>
      <c r="AS218" s="27"/>
      <c r="AT218" s="27"/>
      <c r="AU218" s="27"/>
      <c r="AV218" s="27"/>
      <c r="AW218" s="27"/>
      <c r="AX218" s="27"/>
      <c r="AY218" s="27"/>
      <c r="AZ218" s="27"/>
      <c r="BA218" s="27"/>
      <c r="BB218" s="27"/>
      <c r="BC218" s="27"/>
      <c r="BD218" s="27"/>
      <c r="BE218" s="27"/>
      <c r="BF218" s="27"/>
      <c r="BG218" s="27"/>
      <c r="BH218" s="27"/>
      <c r="BI218" s="27"/>
      <c r="BJ218" s="27"/>
      <c r="BK218" s="27"/>
      <c r="BL218" s="27"/>
      <c r="BM218" s="27"/>
      <c r="BN218" s="27"/>
      <c r="BO218" s="27"/>
      <c r="BP218" s="27"/>
      <c r="BQ218" s="27"/>
      <c r="BR218" s="27"/>
      <c r="BS218" s="27"/>
      <c r="BT218" s="27"/>
      <c r="BU218" s="27"/>
      <c r="BV218" s="27"/>
      <c r="BW218" s="27"/>
      <c r="BX218" s="27"/>
      <c r="BY218" s="27"/>
      <c r="BZ218" s="27"/>
      <c r="CA218" s="27"/>
      <c r="CB218" s="27"/>
    </row>
    <row r="219" spans="1:80" hidden="1" x14ac:dyDescent="0.25">
      <c r="A219" s="31" t="s">
        <v>691</v>
      </c>
      <c r="B219" s="39" t="s">
        <v>1826</v>
      </c>
      <c r="C219" s="30" t="s">
        <v>1812</v>
      </c>
      <c r="D219" s="30" t="s">
        <v>78</v>
      </c>
      <c r="E219" s="20" t="s">
        <v>1778</v>
      </c>
      <c r="F219" s="26" t="s">
        <v>1824</v>
      </c>
      <c r="G219" s="36"/>
      <c r="H219" s="36" t="s">
        <v>78</v>
      </c>
      <c r="I219" s="29" t="e">
        <f>VLOOKUP(B219,#REF!,2,FALSE)</f>
        <v>#REF!</v>
      </c>
      <c r="J219" s="27"/>
      <c r="K219" s="27"/>
      <c r="L219" s="27"/>
      <c r="M219" s="27"/>
      <c r="N219" s="27"/>
      <c r="O219" s="27"/>
      <c r="P219" s="27"/>
      <c r="Q219" s="27"/>
      <c r="R219" s="27"/>
      <c r="S219" s="27"/>
      <c r="T219" s="27"/>
      <c r="U219" s="27"/>
      <c r="V219" s="27"/>
      <c r="W219" s="27"/>
      <c r="X219" s="27"/>
      <c r="Y219" s="27"/>
      <c r="Z219" s="27"/>
      <c r="AA219" s="27"/>
      <c r="AB219" s="27"/>
      <c r="AC219" s="27"/>
      <c r="AD219" s="27"/>
      <c r="AE219" s="27"/>
      <c r="AF219" s="27"/>
      <c r="AG219" s="27"/>
      <c r="AH219" s="27"/>
      <c r="AI219" s="27"/>
      <c r="AJ219" s="27"/>
      <c r="AK219" s="27"/>
      <c r="AL219" s="27"/>
      <c r="AM219" s="27"/>
      <c r="AN219" s="27"/>
      <c r="AO219" s="27"/>
      <c r="AP219" s="27"/>
      <c r="AQ219" s="27"/>
      <c r="AR219" s="27"/>
      <c r="AS219" s="27"/>
      <c r="AT219" s="27"/>
      <c r="AU219" s="27"/>
      <c r="AV219" s="27"/>
      <c r="AW219" s="27"/>
      <c r="AX219" s="27"/>
      <c r="AY219" s="27"/>
      <c r="AZ219" s="27"/>
      <c r="BA219" s="27"/>
      <c r="BB219" s="27"/>
      <c r="BC219" s="27"/>
      <c r="BD219" s="27"/>
      <c r="BE219" s="27"/>
      <c r="BF219" s="27"/>
      <c r="BG219" s="27"/>
      <c r="BH219" s="27"/>
      <c r="BI219" s="27"/>
      <c r="BJ219" s="27"/>
      <c r="BK219" s="27"/>
      <c r="BL219" s="27"/>
      <c r="BM219" s="27"/>
      <c r="BN219" s="27"/>
      <c r="BO219" s="27"/>
      <c r="BP219" s="27"/>
      <c r="BQ219" s="27"/>
      <c r="BR219" s="27"/>
      <c r="BS219" s="27"/>
      <c r="BT219" s="27"/>
      <c r="BU219" s="27"/>
      <c r="BV219" s="27"/>
      <c r="BW219" s="27"/>
      <c r="BX219" s="27"/>
      <c r="BY219" s="27"/>
      <c r="BZ219" s="27"/>
      <c r="CA219" s="27"/>
      <c r="CB219" s="27"/>
    </row>
    <row r="220" spans="1:80" hidden="1" x14ac:dyDescent="0.25">
      <c r="A220" s="31" t="s">
        <v>198</v>
      </c>
      <c r="B220" s="39" t="s">
        <v>1827</v>
      </c>
      <c r="C220" s="30" t="s">
        <v>1828</v>
      </c>
      <c r="D220" s="30" t="s">
        <v>52</v>
      </c>
      <c r="E220" s="20" t="s">
        <v>1778</v>
      </c>
      <c r="F220" s="26" t="s">
        <v>1824</v>
      </c>
      <c r="G220" s="36"/>
      <c r="H220" s="36" t="s">
        <v>52</v>
      </c>
      <c r="I220" s="29" t="e">
        <f>VLOOKUP(B220,#REF!,2,FALSE)</f>
        <v>#REF!</v>
      </c>
      <c r="J220" s="27"/>
      <c r="K220" s="27"/>
      <c r="L220" s="27"/>
      <c r="M220" s="27"/>
      <c r="N220" s="27"/>
      <c r="O220" s="27"/>
      <c r="P220" s="27"/>
      <c r="Q220" s="27"/>
      <c r="R220" s="27"/>
      <c r="S220" s="27"/>
      <c r="T220" s="27"/>
      <c r="U220" s="27"/>
      <c r="V220" s="27"/>
      <c r="W220" s="27"/>
      <c r="X220" s="27"/>
      <c r="Y220" s="27"/>
      <c r="Z220" s="27"/>
      <c r="AA220" s="27"/>
      <c r="AB220" s="27"/>
      <c r="AC220" s="27"/>
      <c r="AD220" s="27"/>
      <c r="AE220" s="27"/>
      <c r="AF220" s="27"/>
      <c r="AG220" s="27"/>
      <c r="AH220" s="27"/>
      <c r="AI220" s="27"/>
      <c r="AJ220" s="27"/>
      <c r="AK220" s="27"/>
      <c r="AL220" s="27"/>
      <c r="AM220" s="27"/>
      <c r="AN220" s="27"/>
      <c r="AO220" s="27"/>
      <c r="AP220" s="27"/>
      <c r="AQ220" s="27"/>
      <c r="AR220" s="27"/>
      <c r="AS220" s="27"/>
      <c r="AT220" s="27"/>
      <c r="AU220" s="27"/>
      <c r="AV220" s="27"/>
      <c r="AW220" s="27"/>
      <c r="AX220" s="27"/>
      <c r="AY220" s="27"/>
      <c r="AZ220" s="27"/>
      <c r="BA220" s="27"/>
      <c r="BB220" s="27"/>
      <c r="BC220" s="27"/>
      <c r="BD220" s="27"/>
      <c r="BE220" s="27"/>
      <c r="BF220" s="27"/>
      <c r="BG220" s="27"/>
      <c r="BH220" s="27"/>
      <c r="BI220" s="27"/>
      <c r="BJ220" s="27"/>
      <c r="BK220" s="27"/>
      <c r="BL220" s="27"/>
      <c r="BM220" s="27"/>
      <c r="BN220" s="27"/>
      <c r="BO220" s="27"/>
      <c r="BP220" s="27"/>
      <c r="BQ220" s="27"/>
      <c r="BR220" s="27"/>
      <c r="BS220" s="27"/>
      <c r="BT220" s="27"/>
      <c r="BU220" s="27"/>
      <c r="BV220" s="27"/>
      <c r="BW220" s="27"/>
      <c r="BX220" s="27"/>
      <c r="BY220" s="27"/>
      <c r="BZ220" s="27"/>
      <c r="CA220" s="27"/>
      <c r="CB220" s="27"/>
    </row>
    <row r="221" spans="1:80" x14ac:dyDescent="0.25">
      <c r="A221" s="31" t="s">
        <v>1829</v>
      </c>
      <c r="B221" s="39" t="s">
        <v>1830</v>
      </c>
      <c r="C221" s="30" t="s">
        <v>1340</v>
      </c>
      <c r="D221" s="30" t="s">
        <v>52</v>
      </c>
      <c r="E221" s="20" t="s">
        <v>1778</v>
      </c>
      <c r="F221" s="26" t="s">
        <v>1824</v>
      </c>
      <c r="G221" s="36"/>
      <c r="H221" s="36" t="s">
        <v>52</v>
      </c>
      <c r="I221" s="29" t="e">
        <f>VLOOKUP(B221,#REF!,2,FALSE)</f>
        <v>#REF!</v>
      </c>
      <c r="J221" s="27"/>
      <c r="K221" s="27"/>
      <c r="L221" s="27"/>
      <c r="M221" s="27"/>
      <c r="N221" s="27"/>
      <c r="O221" s="27"/>
      <c r="P221" s="27"/>
      <c r="Q221" s="27"/>
      <c r="R221" s="27"/>
      <c r="S221" s="27"/>
      <c r="T221" s="27"/>
      <c r="U221" s="27"/>
      <c r="V221" s="27"/>
      <c r="W221" s="27"/>
      <c r="X221" s="27"/>
      <c r="Y221" s="27"/>
      <c r="Z221" s="27"/>
      <c r="AA221" s="27"/>
      <c r="AB221" s="27"/>
      <c r="AC221" s="27"/>
      <c r="AD221" s="27"/>
      <c r="AE221" s="27"/>
      <c r="AF221" s="27"/>
      <c r="AG221" s="27"/>
      <c r="AH221" s="27"/>
      <c r="AI221" s="27"/>
      <c r="AJ221" s="27"/>
      <c r="AK221" s="27"/>
      <c r="AL221" s="27"/>
      <c r="AM221" s="27"/>
      <c r="AN221" s="27"/>
      <c r="AO221" s="27"/>
      <c r="AP221" s="27"/>
      <c r="AQ221" s="27"/>
      <c r="AR221" s="27"/>
      <c r="AS221" s="27"/>
      <c r="AT221" s="27"/>
      <c r="AU221" s="27"/>
      <c r="AV221" s="27"/>
      <c r="AW221" s="27"/>
      <c r="AX221" s="27"/>
      <c r="AY221" s="27"/>
      <c r="AZ221" s="27"/>
      <c r="BA221" s="27"/>
      <c r="BB221" s="27"/>
      <c r="BC221" s="27"/>
      <c r="BD221" s="27"/>
      <c r="BE221" s="27"/>
      <c r="BF221" s="27"/>
      <c r="BG221" s="27"/>
      <c r="BH221" s="27"/>
      <c r="BI221" s="27"/>
      <c r="BJ221" s="27"/>
      <c r="BK221" s="27"/>
      <c r="BL221" s="27"/>
      <c r="BM221" s="27"/>
      <c r="BN221" s="27"/>
      <c r="BO221" s="27"/>
      <c r="BP221" s="27"/>
      <c r="BQ221" s="27"/>
      <c r="BR221" s="27"/>
      <c r="BS221" s="27"/>
      <c r="BT221" s="27"/>
      <c r="BU221" s="27"/>
      <c r="BV221" s="27"/>
      <c r="BW221" s="27"/>
      <c r="BX221" s="27"/>
      <c r="BY221" s="27"/>
      <c r="BZ221" s="27"/>
      <c r="CA221" s="27"/>
      <c r="CB221" s="27"/>
    </row>
    <row r="222" spans="1:80" hidden="1" x14ac:dyDescent="0.25">
      <c r="A222" s="31" t="s">
        <v>1222</v>
      </c>
      <c r="B222" s="39" t="s">
        <v>1221</v>
      </c>
      <c r="C222" s="30" t="s">
        <v>126</v>
      </c>
      <c r="D222" s="30" t="s">
        <v>52</v>
      </c>
      <c r="E222" s="20" t="s">
        <v>1778</v>
      </c>
      <c r="F222" s="26" t="s">
        <v>1824</v>
      </c>
      <c r="G222" s="36"/>
      <c r="H222" s="36" t="s">
        <v>52</v>
      </c>
      <c r="I222" s="29" t="e">
        <f>VLOOKUP(B222,#REF!,2,FALSE)</f>
        <v>#REF!</v>
      </c>
      <c r="J222" s="27"/>
      <c r="K222" s="27"/>
      <c r="L222" s="27"/>
      <c r="M222" s="27"/>
      <c r="N222" s="27"/>
      <c r="O222" s="27"/>
      <c r="P222" s="27"/>
      <c r="Q222" s="27"/>
      <c r="R222" s="27"/>
      <c r="S222" s="27"/>
      <c r="T222" s="27"/>
      <c r="U222" s="27"/>
      <c r="V222" s="27"/>
      <c r="W222" s="27"/>
      <c r="X222" s="27"/>
      <c r="Y222" s="27"/>
      <c r="Z222" s="27"/>
      <c r="AA222" s="27"/>
      <c r="AB222" s="27"/>
      <c r="AC222" s="27"/>
      <c r="AD222" s="27"/>
      <c r="AE222" s="27"/>
      <c r="AF222" s="27"/>
      <c r="AG222" s="27"/>
      <c r="AH222" s="27"/>
      <c r="AI222" s="27"/>
      <c r="AJ222" s="27"/>
      <c r="AK222" s="27"/>
      <c r="AL222" s="27"/>
      <c r="AM222" s="27"/>
      <c r="AN222" s="27"/>
      <c r="AO222" s="27"/>
      <c r="AP222" s="27"/>
      <c r="AQ222" s="27"/>
      <c r="AR222" s="27"/>
      <c r="AS222" s="27"/>
      <c r="AT222" s="27"/>
      <c r="AU222" s="27"/>
      <c r="AV222" s="27"/>
      <c r="AW222" s="27"/>
      <c r="AX222" s="27"/>
      <c r="AY222" s="27"/>
      <c r="AZ222" s="27"/>
      <c r="BA222" s="27"/>
      <c r="BB222" s="27"/>
      <c r="BC222" s="27"/>
      <c r="BD222" s="27"/>
      <c r="BE222" s="27"/>
      <c r="BF222" s="27"/>
      <c r="BG222" s="27"/>
      <c r="BH222" s="27"/>
      <c r="BI222" s="27"/>
      <c r="BJ222" s="27"/>
      <c r="BK222" s="27"/>
      <c r="BL222" s="27"/>
      <c r="BM222" s="27"/>
      <c r="BN222" s="27"/>
      <c r="BO222" s="27"/>
      <c r="BP222" s="27"/>
      <c r="BQ222" s="27"/>
      <c r="BR222" s="27"/>
      <c r="BS222" s="27"/>
      <c r="BT222" s="27"/>
      <c r="BU222" s="27"/>
      <c r="BV222" s="27"/>
      <c r="BW222" s="27"/>
      <c r="BX222" s="27"/>
      <c r="BY222" s="27"/>
      <c r="BZ222" s="27"/>
      <c r="CA222" s="27"/>
      <c r="CB222" s="27"/>
    </row>
    <row r="223" spans="1:80" hidden="1" x14ac:dyDescent="0.25">
      <c r="A223" s="31" t="s">
        <v>532</v>
      </c>
      <c r="B223" s="39" t="s">
        <v>531</v>
      </c>
      <c r="C223" s="30" t="s">
        <v>200</v>
      </c>
      <c r="D223" s="30" t="s">
        <v>52</v>
      </c>
      <c r="E223" s="20" t="s">
        <v>1778</v>
      </c>
      <c r="F223" s="26" t="s">
        <v>1824</v>
      </c>
      <c r="G223" s="36"/>
      <c r="H223" s="36" t="s">
        <v>52</v>
      </c>
      <c r="I223" s="29" t="e">
        <f>VLOOKUP(B223,#REF!,2,FALSE)</f>
        <v>#REF!</v>
      </c>
      <c r="J223" s="27"/>
      <c r="K223" s="27"/>
      <c r="L223" s="27"/>
      <c r="M223" s="27"/>
      <c r="N223" s="27"/>
      <c r="O223" s="27"/>
      <c r="P223" s="27"/>
      <c r="Q223" s="27"/>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c r="AO223" s="27"/>
      <c r="AP223" s="27"/>
      <c r="AQ223" s="27"/>
      <c r="AR223" s="27"/>
      <c r="AS223" s="27"/>
      <c r="AT223" s="27"/>
      <c r="AU223" s="27"/>
      <c r="AV223" s="27"/>
      <c r="AW223" s="27"/>
      <c r="AX223" s="27"/>
      <c r="AY223" s="27"/>
      <c r="AZ223" s="27"/>
      <c r="BA223" s="27"/>
      <c r="BB223" s="27"/>
      <c r="BC223" s="27"/>
      <c r="BD223" s="27"/>
      <c r="BE223" s="27"/>
      <c r="BF223" s="27"/>
      <c r="BG223" s="27"/>
      <c r="BH223" s="27"/>
      <c r="BI223" s="27"/>
      <c r="BJ223" s="27"/>
      <c r="BK223" s="27"/>
      <c r="BL223" s="27"/>
      <c r="BM223" s="27"/>
      <c r="BN223" s="27"/>
      <c r="BO223" s="27"/>
      <c r="BP223" s="27"/>
      <c r="BQ223" s="27"/>
      <c r="BR223" s="27"/>
      <c r="BS223" s="27"/>
      <c r="BT223" s="27"/>
      <c r="BU223" s="27"/>
      <c r="BV223" s="27"/>
      <c r="BW223" s="27"/>
      <c r="BX223" s="27"/>
      <c r="BY223" s="27"/>
      <c r="BZ223" s="27"/>
      <c r="CA223" s="27"/>
      <c r="CB223" s="27"/>
    </row>
    <row r="224" spans="1:80" hidden="1" x14ac:dyDescent="0.25">
      <c r="A224" s="31" t="s">
        <v>751</v>
      </c>
      <c r="B224" s="39" t="s">
        <v>750</v>
      </c>
      <c r="C224" s="30" t="s">
        <v>91</v>
      </c>
      <c r="D224" s="30" t="s">
        <v>52</v>
      </c>
      <c r="E224" s="20" t="s">
        <v>1778</v>
      </c>
      <c r="F224" s="26" t="s">
        <v>1824</v>
      </c>
      <c r="G224" s="36"/>
      <c r="H224" s="36" t="s">
        <v>52</v>
      </c>
      <c r="I224" s="29" t="e">
        <f>VLOOKUP(B224,#REF!,2,FALSE)</f>
        <v>#REF!</v>
      </c>
      <c r="J224" s="27"/>
      <c r="K224" s="27"/>
      <c r="L224" s="27"/>
      <c r="M224" s="27"/>
      <c r="N224" s="27"/>
      <c r="O224" s="27"/>
      <c r="P224" s="27"/>
      <c r="Q224" s="27"/>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c r="AO224" s="27"/>
      <c r="AP224" s="27"/>
      <c r="AQ224" s="27"/>
      <c r="AR224" s="27"/>
      <c r="AS224" s="27"/>
      <c r="AT224" s="27"/>
      <c r="AU224" s="27"/>
      <c r="AV224" s="27"/>
      <c r="AW224" s="27"/>
      <c r="AX224" s="27"/>
      <c r="AY224" s="27"/>
      <c r="AZ224" s="27"/>
      <c r="BA224" s="27"/>
      <c r="BB224" s="27"/>
      <c r="BC224" s="27"/>
      <c r="BD224" s="27"/>
      <c r="BE224" s="27"/>
      <c r="BF224" s="27"/>
      <c r="BG224" s="27"/>
      <c r="BH224" s="27"/>
      <c r="BI224" s="27"/>
      <c r="BJ224" s="27"/>
      <c r="BK224" s="27"/>
      <c r="BL224" s="27"/>
      <c r="BM224" s="27"/>
      <c r="BN224" s="27"/>
      <c r="BO224" s="27"/>
      <c r="BP224" s="27"/>
      <c r="BQ224" s="27"/>
      <c r="BR224" s="27"/>
      <c r="BS224" s="27"/>
      <c r="BT224" s="27"/>
      <c r="BU224" s="27"/>
      <c r="BV224" s="27"/>
      <c r="BW224" s="27"/>
      <c r="BX224" s="27"/>
      <c r="BY224" s="27"/>
      <c r="BZ224" s="27"/>
      <c r="CA224" s="27"/>
      <c r="CB224" s="27"/>
    </row>
    <row r="225" spans="1:80" hidden="1" x14ac:dyDescent="0.25">
      <c r="A225" s="31" t="s">
        <v>551</v>
      </c>
      <c r="B225" s="39" t="s">
        <v>550</v>
      </c>
      <c r="C225" s="30" t="s">
        <v>412</v>
      </c>
      <c r="D225" s="30" t="s">
        <v>52</v>
      </c>
      <c r="E225" s="20" t="s">
        <v>1778</v>
      </c>
      <c r="F225" s="26" t="s">
        <v>1824</v>
      </c>
      <c r="G225" s="36"/>
      <c r="H225" s="36" t="s">
        <v>52</v>
      </c>
      <c r="I225" s="29" t="e">
        <f>VLOOKUP(B225,#REF!,2,FALSE)</f>
        <v>#REF!</v>
      </c>
      <c r="J225" s="27"/>
      <c r="K225" s="27"/>
      <c r="L225" s="27"/>
      <c r="M225" s="27"/>
      <c r="N225" s="27"/>
      <c r="O225" s="27"/>
      <c r="P225" s="27"/>
      <c r="Q225" s="27"/>
      <c r="R225" s="27"/>
      <c r="S225" s="27"/>
      <c r="T225" s="27"/>
      <c r="U225" s="27"/>
      <c r="V225" s="27"/>
      <c r="W225" s="27"/>
      <c r="X225" s="27"/>
      <c r="Y225" s="27"/>
      <c r="Z225" s="27"/>
      <c r="AA225" s="27"/>
      <c r="AB225" s="27"/>
      <c r="AC225" s="27"/>
      <c r="AD225" s="27"/>
      <c r="AE225" s="27"/>
      <c r="AF225" s="27"/>
      <c r="AG225" s="27"/>
      <c r="AH225" s="27"/>
      <c r="AI225" s="27"/>
      <c r="AJ225" s="27"/>
      <c r="AK225" s="27"/>
      <c r="AL225" s="27"/>
      <c r="AM225" s="27"/>
      <c r="AN225" s="27"/>
      <c r="AO225" s="27"/>
      <c r="AP225" s="27"/>
      <c r="AQ225" s="27"/>
      <c r="AR225" s="27"/>
      <c r="AS225" s="27"/>
      <c r="AT225" s="27"/>
      <c r="AU225" s="27"/>
      <c r="AV225" s="27"/>
      <c r="AW225" s="27"/>
      <c r="AX225" s="27"/>
      <c r="AY225" s="27"/>
      <c r="AZ225" s="27"/>
      <c r="BA225" s="27"/>
      <c r="BB225" s="27"/>
      <c r="BC225" s="27"/>
      <c r="BD225" s="27"/>
      <c r="BE225" s="27"/>
      <c r="BF225" s="27"/>
      <c r="BG225" s="27"/>
      <c r="BH225" s="27"/>
      <c r="BI225" s="27"/>
      <c r="BJ225" s="27"/>
      <c r="BK225" s="27"/>
      <c r="BL225" s="27"/>
      <c r="BM225" s="27"/>
      <c r="BN225" s="27"/>
      <c r="BO225" s="27"/>
      <c r="BP225" s="27"/>
      <c r="BQ225" s="27"/>
      <c r="BR225" s="27"/>
      <c r="BS225" s="27"/>
      <c r="BT225" s="27"/>
      <c r="BU225" s="27"/>
      <c r="BV225" s="27"/>
      <c r="BW225" s="27"/>
      <c r="BX225" s="27"/>
      <c r="BY225" s="27"/>
      <c r="BZ225" s="27"/>
      <c r="CA225" s="27"/>
      <c r="CB225" s="27"/>
    </row>
    <row r="226" spans="1:80" hidden="1" x14ac:dyDescent="0.25">
      <c r="A226" s="31" t="s">
        <v>776</v>
      </c>
      <c r="B226" s="39" t="s">
        <v>775</v>
      </c>
      <c r="C226" s="30" t="s">
        <v>116</v>
      </c>
      <c r="D226" s="30" t="s">
        <v>52</v>
      </c>
      <c r="E226" s="20" t="s">
        <v>1778</v>
      </c>
      <c r="F226" s="26" t="s">
        <v>1824</v>
      </c>
      <c r="G226" s="36" t="s">
        <v>139</v>
      </c>
      <c r="H226" s="36" t="s">
        <v>52</v>
      </c>
      <c r="I226" s="29" t="e">
        <f>VLOOKUP(B226,#REF!,2,FALSE)</f>
        <v>#REF!</v>
      </c>
      <c r="J226" s="27"/>
      <c r="K226" s="27"/>
      <c r="L226" s="27"/>
      <c r="M226" s="27"/>
      <c r="N226" s="27"/>
      <c r="O226" s="27"/>
      <c r="P226" s="27"/>
      <c r="Q226" s="27"/>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c r="AO226" s="27"/>
      <c r="AP226" s="27"/>
      <c r="AQ226" s="27"/>
      <c r="AR226" s="27"/>
      <c r="AS226" s="27"/>
      <c r="AT226" s="27"/>
      <c r="AU226" s="27"/>
      <c r="AV226" s="27"/>
      <c r="AW226" s="27"/>
      <c r="AX226" s="27"/>
      <c r="AY226" s="27"/>
      <c r="AZ226" s="27"/>
      <c r="BA226" s="27"/>
      <c r="BB226" s="27"/>
      <c r="BC226" s="27"/>
      <c r="BD226" s="27"/>
      <c r="BE226" s="27"/>
      <c r="BF226" s="27"/>
      <c r="BG226" s="27"/>
      <c r="BH226" s="27"/>
      <c r="BI226" s="27"/>
      <c r="BJ226" s="27"/>
      <c r="BK226" s="27"/>
      <c r="BL226" s="27"/>
      <c r="BM226" s="27"/>
      <c r="BN226" s="27"/>
      <c r="BO226" s="27"/>
      <c r="BP226" s="27"/>
      <c r="BQ226" s="27"/>
      <c r="BR226" s="27"/>
      <c r="BS226" s="27"/>
      <c r="BT226" s="27"/>
      <c r="BU226" s="27"/>
      <c r="BV226" s="27"/>
      <c r="BW226" s="27"/>
      <c r="BX226" s="27"/>
      <c r="BY226" s="27"/>
      <c r="BZ226" s="27"/>
      <c r="CA226" s="27"/>
      <c r="CB226" s="27"/>
    </row>
    <row r="227" spans="1:80" hidden="1" x14ac:dyDescent="0.25">
      <c r="A227" s="31" t="s">
        <v>595</v>
      </c>
      <c r="B227" s="39" t="s">
        <v>594</v>
      </c>
      <c r="C227" s="30" t="s">
        <v>25</v>
      </c>
      <c r="D227" s="30" t="s">
        <v>97</v>
      </c>
      <c r="E227" s="20" t="s">
        <v>1778</v>
      </c>
      <c r="F227" s="26" t="s">
        <v>1831</v>
      </c>
      <c r="G227" s="36"/>
      <c r="H227" s="36" t="s">
        <v>97</v>
      </c>
      <c r="I227" s="29" t="e">
        <f>VLOOKUP(B227,#REF!,2,FALSE)</f>
        <v>#REF!</v>
      </c>
      <c r="J227" s="27"/>
      <c r="K227" s="27"/>
      <c r="L227" s="27"/>
      <c r="M227" s="27"/>
      <c r="N227" s="27"/>
      <c r="O227" s="27"/>
      <c r="P227" s="27"/>
      <c r="Q227" s="27"/>
      <c r="R227" s="27"/>
      <c r="S227" s="27"/>
      <c r="T227" s="27"/>
      <c r="U227" s="27"/>
      <c r="V227" s="27"/>
      <c r="W227" s="27"/>
      <c r="X227" s="27"/>
      <c r="Y227" s="27"/>
      <c r="Z227" s="27"/>
      <c r="AA227" s="27"/>
      <c r="AB227" s="27"/>
      <c r="AC227" s="27"/>
      <c r="AD227" s="27"/>
      <c r="AE227" s="27"/>
      <c r="AF227" s="27"/>
      <c r="AG227" s="27"/>
      <c r="AH227" s="27"/>
      <c r="AI227" s="27"/>
      <c r="AJ227" s="27"/>
      <c r="AK227" s="27"/>
      <c r="AL227" s="27"/>
      <c r="AM227" s="27"/>
      <c r="AN227" s="27"/>
      <c r="AO227" s="27"/>
      <c r="AP227" s="27"/>
      <c r="AQ227" s="27"/>
      <c r="AR227" s="27"/>
      <c r="AS227" s="27"/>
      <c r="AT227" s="27"/>
      <c r="AU227" s="27"/>
      <c r="AV227" s="27"/>
      <c r="AW227" s="27"/>
      <c r="AX227" s="27"/>
      <c r="AY227" s="27"/>
      <c r="AZ227" s="27"/>
      <c r="BA227" s="27"/>
      <c r="BB227" s="27"/>
      <c r="BC227" s="27"/>
      <c r="BD227" s="27"/>
      <c r="BE227" s="27"/>
      <c r="BF227" s="27"/>
      <c r="BG227" s="27"/>
      <c r="BH227" s="27"/>
      <c r="BI227" s="27"/>
      <c r="BJ227" s="27"/>
      <c r="BK227" s="27"/>
      <c r="BL227" s="27"/>
      <c r="BM227" s="27"/>
      <c r="BN227" s="27"/>
      <c r="BO227" s="27"/>
      <c r="BP227" s="27"/>
      <c r="BQ227" s="27"/>
      <c r="BR227" s="27"/>
      <c r="BS227" s="27"/>
      <c r="BT227" s="27"/>
      <c r="BU227" s="27"/>
      <c r="BV227" s="27"/>
      <c r="BW227" s="27"/>
      <c r="BX227" s="27"/>
      <c r="BY227" s="27"/>
      <c r="BZ227" s="27"/>
      <c r="CA227" s="27"/>
      <c r="CB227" s="27"/>
    </row>
    <row r="228" spans="1:80" hidden="1" x14ac:dyDescent="0.25">
      <c r="A228" s="31" t="s">
        <v>601</v>
      </c>
      <c r="B228" s="39" t="s">
        <v>600</v>
      </c>
      <c r="C228" s="30" t="s">
        <v>122</v>
      </c>
      <c r="D228" s="30" t="s">
        <v>52</v>
      </c>
      <c r="E228" s="20" t="s">
        <v>1778</v>
      </c>
      <c r="F228" s="26" t="s">
        <v>1831</v>
      </c>
      <c r="G228" s="36"/>
      <c r="H228" s="36" t="s">
        <v>52</v>
      </c>
      <c r="I228" s="29" t="e">
        <f>VLOOKUP(B228,#REF!,2,FALSE)</f>
        <v>#REF!</v>
      </c>
      <c r="J228" s="27"/>
      <c r="K228" s="27"/>
      <c r="L228" s="27"/>
      <c r="M228" s="27"/>
      <c r="N228" s="27"/>
      <c r="O228" s="27"/>
      <c r="P228" s="27"/>
      <c r="Q228" s="27"/>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c r="AO228" s="27"/>
      <c r="AP228" s="27"/>
      <c r="AQ228" s="27"/>
      <c r="AR228" s="27"/>
      <c r="AS228" s="27"/>
      <c r="AT228" s="27"/>
      <c r="AU228" s="27"/>
      <c r="AV228" s="27"/>
      <c r="AW228" s="27"/>
      <c r="AX228" s="27"/>
      <c r="AY228" s="27"/>
      <c r="AZ228" s="27"/>
      <c r="BA228" s="27"/>
      <c r="BB228" s="27"/>
      <c r="BC228" s="27"/>
      <c r="BD228" s="27"/>
      <c r="BE228" s="27"/>
      <c r="BF228" s="27"/>
      <c r="BG228" s="27"/>
      <c r="BH228" s="27"/>
      <c r="BI228" s="27"/>
      <c r="BJ228" s="27"/>
      <c r="BK228" s="27"/>
      <c r="BL228" s="27"/>
      <c r="BM228" s="27"/>
      <c r="BN228" s="27"/>
      <c r="BO228" s="27"/>
      <c r="BP228" s="27"/>
      <c r="BQ228" s="27"/>
      <c r="BR228" s="27"/>
      <c r="BS228" s="27"/>
      <c r="BT228" s="27"/>
      <c r="BU228" s="27"/>
      <c r="BV228" s="27"/>
      <c r="BW228" s="27"/>
      <c r="BX228" s="27"/>
      <c r="BY228" s="27"/>
      <c r="BZ228" s="27"/>
      <c r="CA228" s="27"/>
      <c r="CB228" s="27"/>
    </row>
    <row r="229" spans="1:80" hidden="1" x14ac:dyDescent="0.25">
      <c r="A229" s="33" t="s">
        <v>615</v>
      </c>
      <c r="B229" s="40" t="s">
        <v>614</v>
      </c>
      <c r="C229" s="32" t="s">
        <v>73</v>
      </c>
      <c r="D229" s="32" t="s">
        <v>605</v>
      </c>
      <c r="E229" s="21" t="s">
        <v>1778</v>
      </c>
      <c r="F229" s="25" t="s">
        <v>1831</v>
      </c>
      <c r="G229" s="32"/>
      <c r="H229" s="32"/>
      <c r="I229" s="29" t="e">
        <f>VLOOKUP(B229,#REF!,2,FALSE)</f>
        <v>#REF!</v>
      </c>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row>
    <row r="230" spans="1:80" hidden="1" x14ac:dyDescent="0.25">
      <c r="A230" s="31" t="s">
        <v>96</v>
      </c>
      <c r="B230" s="39" t="s">
        <v>94</v>
      </c>
      <c r="C230" s="30" t="s">
        <v>95</v>
      </c>
      <c r="D230" s="30" t="s">
        <v>97</v>
      </c>
      <c r="E230" s="20" t="s">
        <v>1778</v>
      </c>
      <c r="F230" s="26" t="s">
        <v>1831</v>
      </c>
      <c r="G230" s="36"/>
      <c r="H230" s="36" t="s">
        <v>97</v>
      </c>
      <c r="I230" s="29" t="e">
        <f>VLOOKUP(B230,#REF!,2,FALSE)</f>
        <v>#REF!</v>
      </c>
      <c r="J230" s="27"/>
      <c r="K230" s="27"/>
      <c r="L230" s="27"/>
      <c r="M230" s="27"/>
      <c r="N230" s="27"/>
      <c r="O230" s="27"/>
      <c r="P230" s="27"/>
      <c r="Q230" s="27"/>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c r="AO230" s="27"/>
      <c r="AP230" s="27"/>
      <c r="AQ230" s="27"/>
      <c r="AR230" s="27"/>
      <c r="AS230" s="27"/>
      <c r="AT230" s="27"/>
      <c r="AU230" s="27"/>
      <c r="AV230" s="27"/>
      <c r="AW230" s="27"/>
      <c r="AX230" s="27"/>
      <c r="AY230" s="27"/>
      <c r="AZ230" s="27"/>
      <c r="BA230" s="27"/>
      <c r="BB230" s="27"/>
      <c r="BC230" s="27"/>
      <c r="BD230" s="27"/>
      <c r="BE230" s="27"/>
      <c r="BF230" s="27"/>
      <c r="BG230" s="27"/>
      <c r="BH230" s="27"/>
      <c r="BI230" s="27"/>
      <c r="BJ230" s="27"/>
      <c r="BK230" s="27"/>
      <c r="BL230" s="27"/>
      <c r="BM230" s="27"/>
      <c r="BN230" s="27"/>
      <c r="BO230" s="27"/>
      <c r="BP230" s="27"/>
      <c r="BQ230" s="27"/>
      <c r="BR230" s="27"/>
      <c r="BS230" s="27"/>
      <c r="BT230" s="27"/>
      <c r="BU230" s="27"/>
      <c r="BV230" s="27"/>
      <c r="BW230" s="27"/>
      <c r="BX230" s="27"/>
      <c r="BY230" s="27"/>
      <c r="BZ230" s="27"/>
      <c r="CA230" s="27"/>
      <c r="CB230" s="27"/>
    </row>
    <row r="231" spans="1:80" hidden="1" x14ac:dyDescent="0.25">
      <c r="A231" s="31" t="s">
        <v>635</v>
      </c>
      <c r="B231" s="39" t="s">
        <v>633</v>
      </c>
      <c r="C231" s="30" t="s">
        <v>634</v>
      </c>
      <c r="D231" s="30" t="s">
        <v>97</v>
      </c>
      <c r="E231" s="20" t="s">
        <v>1778</v>
      </c>
      <c r="F231" s="26" t="s">
        <v>1831</v>
      </c>
      <c r="G231" s="36"/>
      <c r="H231" s="36" t="s">
        <v>97</v>
      </c>
      <c r="I231" s="29" t="e">
        <f>VLOOKUP(B231,#REF!,2,FALSE)</f>
        <v>#REF!</v>
      </c>
      <c r="J231" s="27"/>
      <c r="K231" s="27"/>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c r="AO231" s="27"/>
      <c r="AP231" s="27"/>
      <c r="AQ231" s="27"/>
      <c r="AR231" s="27"/>
      <c r="AS231" s="27"/>
      <c r="AT231" s="27"/>
      <c r="AU231" s="27"/>
      <c r="AV231" s="27"/>
      <c r="AW231" s="27"/>
      <c r="AX231" s="27"/>
      <c r="AY231" s="27"/>
      <c r="AZ231" s="27"/>
      <c r="BA231" s="27"/>
      <c r="BB231" s="27"/>
      <c r="BC231" s="27"/>
      <c r="BD231" s="27"/>
      <c r="BE231" s="27"/>
      <c r="BF231" s="27"/>
      <c r="BG231" s="27"/>
      <c r="BH231" s="27"/>
      <c r="BI231" s="27"/>
      <c r="BJ231" s="27"/>
      <c r="BK231" s="27"/>
      <c r="BL231" s="27"/>
      <c r="BM231" s="27"/>
      <c r="BN231" s="27"/>
      <c r="BO231" s="27"/>
      <c r="BP231" s="27"/>
      <c r="BQ231" s="27"/>
      <c r="BR231" s="27"/>
      <c r="BS231" s="27"/>
      <c r="BT231" s="27"/>
      <c r="BU231" s="27"/>
      <c r="BV231" s="27"/>
      <c r="BW231" s="27"/>
      <c r="BX231" s="27"/>
      <c r="BY231" s="27"/>
      <c r="BZ231" s="27"/>
      <c r="CA231" s="27"/>
      <c r="CB231" s="27"/>
    </row>
    <row r="232" spans="1:80" hidden="1" x14ac:dyDescent="0.25">
      <c r="A232" s="31" t="s">
        <v>647</v>
      </c>
      <c r="B232" s="39" t="s">
        <v>645</v>
      </c>
      <c r="C232" s="30" t="s">
        <v>646</v>
      </c>
      <c r="D232" s="30" t="s">
        <v>97</v>
      </c>
      <c r="E232" s="20" t="s">
        <v>1778</v>
      </c>
      <c r="F232" s="26" t="s">
        <v>1831</v>
      </c>
      <c r="G232" s="36"/>
      <c r="H232" s="36" t="s">
        <v>97</v>
      </c>
      <c r="I232" s="29" t="e">
        <f>VLOOKUP(B232,#REF!,2,FALSE)</f>
        <v>#REF!</v>
      </c>
      <c r="J232" s="27"/>
      <c r="K232" s="27"/>
      <c r="L232" s="27"/>
      <c r="M232" s="27"/>
      <c r="N232" s="27"/>
      <c r="O232" s="27"/>
      <c r="P232" s="27"/>
      <c r="Q232" s="27"/>
      <c r="R232" s="27"/>
      <c r="S232" s="27"/>
      <c r="T232" s="27"/>
      <c r="U232" s="27"/>
      <c r="V232" s="27"/>
      <c r="W232" s="27"/>
      <c r="X232" s="27"/>
      <c r="Y232" s="27"/>
      <c r="Z232" s="27"/>
      <c r="AA232" s="27"/>
      <c r="AB232" s="27"/>
      <c r="AC232" s="27"/>
      <c r="AD232" s="27"/>
      <c r="AE232" s="27"/>
      <c r="AF232" s="27"/>
      <c r="AG232" s="27"/>
      <c r="AH232" s="27"/>
      <c r="AI232" s="27"/>
      <c r="AJ232" s="27"/>
      <c r="AK232" s="27"/>
      <c r="AL232" s="27"/>
      <c r="AM232" s="27"/>
      <c r="AN232" s="27"/>
      <c r="AO232" s="27"/>
      <c r="AP232" s="27"/>
      <c r="AQ232" s="27"/>
      <c r="AR232" s="27"/>
      <c r="AS232" s="27"/>
      <c r="AT232" s="27"/>
      <c r="AU232" s="27"/>
      <c r="AV232" s="27"/>
      <c r="AW232" s="27"/>
      <c r="AX232" s="27"/>
      <c r="AY232" s="27"/>
      <c r="AZ232" s="27"/>
      <c r="BA232" s="27"/>
      <c r="BB232" s="27"/>
      <c r="BC232" s="27"/>
      <c r="BD232" s="27"/>
      <c r="BE232" s="27"/>
      <c r="BF232" s="27"/>
      <c r="BG232" s="27"/>
      <c r="BH232" s="27"/>
      <c r="BI232" s="27"/>
      <c r="BJ232" s="27"/>
      <c r="BK232" s="27"/>
      <c r="BL232" s="27"/>
      <c r="BM232" s="27"/>
      <c r="BN232" s="27"/>
      <c r="BO232" s="27"/>
      <c r="BP232" s="27"/>
      <c r="BQ232" s="27"/>
      <c r="BR232" s="27"/>
      <c r="BS232" s="27"/>
      <c r="BT232" s="27"/>
      <c r="BU232" s="27"/>
      <c r="BV232" s="27"/>
      <c r="BW232" s="27"/>
      <c r="BX232" s="27"/>
      <c r="BY232" s="27"/>
      <c r="BZ232" s="27"/>
      <c r="CA232" s="27"/>
      <c r="CB232" s="27"/>
    </row>
    <row r="233" spans="1:80" hidden="1" x14ac:dyDescent="0.25">
      <c r="A233" s="31" t="s">
        <v>576</v>
      </c>
      <c r="B233" s="39" t="s">
        <v>575</v>
      </c>
      <c r="C233" s="30" t="s">
        <v>91</v>
      </c>
      <c r="D233" s="30" t="s">
        <v>10</v>
      </c>
      <c r="E233" s="20" t="s">
        <v>1778</v>
      </c>
      <c r="F233" s="26" t="s">
        <v>1831</v>
      </c>
      <c r="G233" s="36"/>
      <c r="H233" s="36" t="s">
        <v>10</v>
      </c>
      <c r="I233" s="29" t="e">
        <f>VLOOKUP(B233,#REF!,2,FALSE)</f>
        <v>#REF!</v>
      </c>
      <c r="J233" s="27"/>
      <c r="K233" s="27"/>
      <c r="L233" s="27"/>
      <c r="M233" s="27"/>
      <c r="N233" s="27"/>
      <c r="O233" s="27"/>
      <c r="P233" s="27"/>
      <c r="Q233" s="27"/>
      <c r="R233" s="27"/>
      <c r="S233" s="27"/>
      <c r="T233" s="27"/>
      <c r="U233" s="27"/>
      <c r="V233" s="27"/>
      <c r="W233" s="27"/>
      <c r="X233" s="27"/>
      <c r="Y233" s="27"/>
      <c r="Z233" s="27"/>
      <c r="AA233" s="27"/>
      <c r="AB233" s="27"/>
      <c r="AC233" s="27"/>
      <c r="AD233" s="27"/>
      <c r="AE233" s="27"/>
      <c r="AF233" s="27"/>
      <c r="AG233" s="27"/>
      <c r="AH233" s="27"/>
      <c r="AI233" s="27"/>
      <c r="AJ233" s="27"/>
      <c r="AK233" s="27"/>
      <c r="AL233" s="27"/>
      <c r="AM233" s="27"/>
      <c r="AN233" s="27"/>
      <c r="AO233" s="27"/>
      <c r="AP233" s="27"/>
      <c r="AQ233" s="27"/>
      <c r="AR233" s="27"/>
      <c r="AS233" s="27"/>
      <c r="AT233" s="27"/>
      <c r="AU233" s="27"/>
      <c r="AV233" s="27"/>
      <c r="AW233" s="27"/>
      <c r="AX233" s="27"/>
      <c r="AY233" s="27"/>
      <c r="AZ233" s="27"/>
      <c r="BA233" s="27"/>
      <c r="BB233" s="27"/>
      <c r="BC233" s="27"/>
      <c r="BD233" s="27"/>
      <c r="BE233" s="27"/>
      <c r="BF233" s="27"/>
      <c r="BG233" s="27"/>
      <c r="BH233" s="27"/>
      <c r="BI233" s="27"/>
      <c r="BJ233" s="27"/>
      <c r="BK233" s="27"/>
      <c r="BL233" s="27"/>
      <c r="BM233" s="27"/>
      <c r="BN233" s="27"/>
      <c r="BO233" s="27"/>
      <c r="BP233" s="27"/>
      <c r="BQ233" s="27"/>
      <c r="BR233" s="27"/>
      <c r="BS233" s="27"/>
      <c r="BT233" s="27"/>
      <c r="BU233" s="27"/>
      <c r="BV233" s="27"/>
      <c r="BW233" s="27"/>
      <c r="BX233" s="27"/>
      <c r="BY233" s="27"/>
      <c r="BZ233" s="27"/>
      <c r="CA233" s="27"/>
      <c r="CB233" s="27"/>
    </row>
    <row r="234" spans="1:80" hidden="1" x14ac:dyDescent="0.25">
      <c r="A234" s="31" t="s">
        <v>700</v>
      </c>
      <c r="B234" s="39" t="s">
        <v>699</v>
      </c>
      <c r="C234" s="36" t="s">
        <v>37</v>
      </c>
      <c r="D234" s="30" t="s">
        <v>52</v>
      </c>
      <c r="E234" s="20" t="s">
        <v>1778</v>
      </c>
      <c r="F234" s="26" t="s">
        <v>1831</v>
      </c>
      <c r="G234" s="36"/>
      <c r="H234" s="36" t="s">
        <v>52</v>
      </c>
      <c r="I234" s="29" t="e">
        <f>VLOOKUP(B234,#REF!,2,FALSE)</f>
        <v>#REF!</v>
      </c>
      <c r="J234" s="27"/>
      <c r="K234" s="27"/>
      <c r="L234" s="27"/>
      <c r="M234" s="27"/>
      <c r="N234" s="27"/>
      <c r="O234" s="27"/>
      <c r="P234" s="27"/>
      <c r="Q234" s="27"/>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c r="AO234" s="27"/>
      <c r="AP234" s="27"/>
      <c r="AQ234" s="27"/>
      <c r="AR234" s="27"/>
      <c r="AS234" s="27"/>
      <c r="AT234" s="27"/>
      <c r="AU234" s="27"/>
      <c r="AV234" s="27"/>
      <c r="AW234" s="27"/>
      <c r="AX234" s="27"/>
      <c r="AY234" s="27"/>
      <c r="AZ234" s="27"/>
      <c r="BA234" s="27"/>
      <c r="BB234" s="27"/>
      <c r="BC234" s="27"/>
      <c r="BD234" s="27"/>
      <c r="BE234" s="27"/>
      <c r="BF234" s="27"/>
      <c r="BG234" s="27"/>
      <c r="BH234" s="27"/>
      <c r="BI234" s="27"/>
      <c r="BJ234" s="27"/>
      <c r="BK234" s="27"/>
      <c r="BL234" s="27"/>
      <c r="BM234" s="27"/>
      <c r="BN234" s="27"/>
      <c r="BO234" s="27"/>
      <c r="BP234" s="27"/>
      <c r="BQ234" s="27"/>
      <c r="BR234" s="27"/>
      <c r="BS234" s="27"/>
      <c r="BT234" s="27"/>
      <c r="BU234" s="27"/>
      <c r="BV234" s="27"/>
      <c r="BW234" s="27"/>
      <c r="BX234" s="27"/>
      <c r="BY234" s="27"/>
      <c r="BZ234" s="27"/>
      <c r="CA234" s="27"/>
      <c r="CB234" s="27"/>
    </row>
    <row r="235" spans="1:80" hidden="1" x14ac:dyDescent="0.25">
      <c r="A235" s="31" t="s">
        <v>711</v>
      </c>
      <c r="B235" s="39" t="s">
        <v>710</v>
      </c>
      <c r="C235" s="30" t="s">
        <v>47</v>
      </c>
      <c r="D235" s="30" t="s">
        <v>97</v>
      </c>
      <c r="E235" s="20" t="s">
        <v>1778</v>
      </c>
      <c r="F235" s="26" t="s">
        <v>1831</v>
      </c>
      <c r="G235" s="36"/>
      <c r="H235" s="36" t="s">
        <v>97</v>
      </c>
      <c r="I235" s="29" t="e">
        <f>VLOOKUP(B235,#REF!,2,FALSE)</f>
        <v>#REF!</v>
      </c>
      <c r="J235" s="27"/>
      <c r="K235" s="27"/>
      <c r="L235" s="27"/>
      <c r="M235" s="27"/>
      <c r="N235" s="27"/>
      <c r="O235" s="27"/>
      <c r="P235" s="27"/>
      <c r="Q235" s="27"/>
      <c r="R235" s="27"/>
      <c r="S235" s="27"/>
      <c r="T235" s="27"/>
      <c r="U235" s="27"/>
      <c r="V235" s="27"/>
      <c r="W235" s="27"/>
      <c r="X235" s="27"/>
      <c r="Y235" s="27"/>
      <c r="Z235" s="27"/>
      <c r="AA235" s="27"/>
      <c r="AB235" s="27"/>
      <c r="AC235" s="27"/>
      <c r="AD235" s="27"/>
      <c r="AE235" s="27"/>
      <c r="AF235" s="27"/>
      <c r="AG235" s="27"/>
      <c r="AH235" s="27"/>
      <c r="AI235" s="27"/>
      <c r="AJ235" s="27"/>
      <c r="AK235" s="27"/>
      <c r="AL235" s="27"/>
      <c r="AM235" s="27"/>
      <c r="AN235" s="27"/>
      <c r="AO235" s="27"/>
      <c r="AP235" s="27"/>
      <c r="AQ235" s="27"/>
      <c r="AR235" s="27"/>
      <c r="AS235" s="27"/>
      <c r="AT235" s="27"/>
      <c r="AU235" s="27"/>
      <c r="AV235" s="27"/>
      <c r="AW235" s="27"/>
      <c r="AX235" s="27"/>
      <c r="AY235" s="27"/>
      <c r="AZ235" s="27"/>
      <c r="BA235" s="27"/>
      <c r="BB235" s="27"/>
      <c r="BC235" s="27"/>
      <c r="BD235" s="27"/>
      <c r="BE235" s="27"/>
      <c r="BF235" s="27"/>
      <c r="BG235" s="27"/>
      <c r="BH235" s="27"/>
      <c r="BI235" s="27"/>
      <c r="BJ235" s="27"/>
      <c r="BK235" s="27"/>
      <c r="BL235" s="27"/>
      <c r="BM235" s="27"/>
      <c r="BN235" s="27"/>
      <c r="BO235" s="27"/>
      <c r="BP235" s="27"/>
      <c r="BQ235" s="27"/>
      <c r="BR235" s="27"/>
      <c r="BS235" s="27"/>
      <c r="BT235" s="27"/>
      <c r="BU235" s="27"/>
      <c r="BV235" s="27"/>
      <c r="BW235" s="27"/>
      <c r="BX235" s="27"/>
      <c r="BY235" s="27"/>
      <c r="BZ235" s="27"/>
      <c r="CA235" s="27"/>
      <c r="CB235" s="27"/>
    </row>
    <row r="236" spans="1:80" hidden="1" x14ac:dyDescent="0.25">
      <c r="A236" s="31" t="s">
        <v>499</v>
      </c>
      <c r="B236" s="39" t="s">
        <v>1832</v>
      </c>
      <c r="C236" s="30" t="s">
        <v>1833</v>
      </c>
      <c r="D236" s="30" t="s">
        <v>97</v>
      </c>
      <c r="E236" s="20" t="s">
        <v>1778</v>
      </c>
      <c r="F236" s="26" t="s">
        <v>1831</v>
      </c>
      <c r="G236" s="36"/>
      <c r="H236" s="36" t="s">
        <v>97</v>
      </c>
      <c r="I236" s="29" t="e">
        <f>VLOOKUP(B236,#REF!,2,FALSE)</f>
        <v>#REF!</v>
      </c>
      <c r="J236" s="27"/>
      <c r="K236" s="27"/>
      <c r="L236" s="27"/>
      <c r="M236" s="27"/>
      <c r="N236" s="27"/>
      <c r="O236" s="27"/>
      <c r="P236" s="27"/>
      <c r="Q236" s="27"/>
      <c r="R236" s="27"/>
      <c r="S236" s="27"/>
      <c r="T236" s="27"/>
      <c r="U236" s="27"/>
      <c r="V236" s="27"/>
      <c r="W236" s="27"/>
      <c r="X236" s="27"/>
      <c r="Y236" s="27"/>
      <c r="Z236" s="27"/>
      <c r="AA236" s="27"/>
      <c r="AB236" s="27"/>
      <c r="AC236" s="27"/>
      <c r="AD236" s="27"/>
      <c r="AE236" s="27"/>
      <c r="AF236" s="27"/>
      <c r="AG236" s="27"/>
      <c r="AH236" s="27"/>
      <c r="AI236" s="27"/>
      <c r="AJ236" s="27"/>
      <c r="AK236" s="27"/>
      <c r="AL236" s="27"/>
      <c r="AM236" s="27"/>
      <c r="AN236" s="27"/>
      <c r="AO236" s="27"/>
      <c r="AP236" s="27"/>
      <c r="AQ236" s="27"/>
      <c r="AR236" s="27"/>
      <c r="AS236" s="27"/>
      <c r="AT236" s="27"/>
      <c r="AU236" s="27"/>
      <c r="AV236" s="27"/>
      <c r="AW236" s="27"/>
      <c r="AX236" s="27"/>
      <c r="AY236" s="27"/>
      <c r="AZ236" s="27"/>
      <c r="BA236" s="27"/>
      <c r="BB236" s="27"/>
      <c r="BC236" s="27"/>
      <c r="BD236" s="27"/>
      <c r="BE236" s="27"/>
      <c r="BF236" s="27"/>
      <c r="BG236" s="27"/>
      <c r="BH236" s="27"/>
      <c r="BI236" s="27"/>
      <c r="BJ236" s="27"/>
      <c r="BK236" s="27"/>
      <c r="BL236" s="27"/>
      <c r="BM236" s="27"/>
      <c r="BN236" s="27"/>
      <c r="BO236" s="27"/>
      <c r="BP236" s="27"/>
      <c r="BQ236" s="27"/>
      <c r="BR236" s="27"/>
      <c r="BS236" s="27"/>
      <c r="BT236" s="27"/>
      <c r="BU236" s="27"/>
      <c r="BV236" s="27"/>
      <c r="BW236" s="27"/>
      <c r="BX236" s="27"/>
      <c r="BY236" s="27"/>
      <c r="BZ236" s="27"/>
      <c r="CA236" s="27"/>
      <c r="CB236" s="27"/>
    </row>
    <row r="237" spans="1:80" hidden="1" x14ac:dyDescent="0.25">
      <c r="A237" s="33" t="s">
        <v>785</v>
      </c>
      <c r="B237" s="40" t="s">
        <v>784</v>
      </c>
      <c r="C237" s="32" t="s">
        <v>91</v>
      </c>
      <c r="D237" s="32" t="s">
        <v>605</v>
      </c>
      <c r="E237" s="21" t="s">
        <v>1778</v>
      </c>
      <c r="F237" s="25" t="s">
        <v>1831</v>
      </c>
      <c r="G237" s="32"/>
      <c r="H237" s="32"/>
      <c r="I237" s="29" t="e">
        <f>VLOOKUP(B237,#REF!,2,FALSE)</f>
        <v>#REF!</v>
      </c>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row>
    <row r="238" spans="1:80" hidden="1" x14ac:dyDescent="0.25">
      <c r="A238" s="31" t="s">
        <v>597</v>
      </c>
      <c r="B238" s="39" t="s">
        <v>596</v>
      </c>
      <c r="C238" s="30" t="s">
        <v>33</v>
      </c>
      <c r="D238" s="30" t="s">
        <v>52</v>
      </c>
      <c r="E238" s="20" t="s">
        <v>1778</v>
      </c>
      <c r="F238" s="26" t="s">
        <v>1834</v>
      </c>
      <c r="G238" s="36"/>
      <c r="H238" s="36" t="s">
        <v>52</v>
      </c>
      <c r="I238" s="29" t="e">
        <f>VLOOKUP(B238,#REF!,2,FALSE)</f>
        <v>#REF!</v>
      </c>
      <c r="J238" s="27"/>
      <c r="K238" s="27"/>
      <c r="L238" s="27"/>
      <c r="M238" s="27"/>
      <c r="N238" s="27"/>
      <c r="O238" s="27"/>
      <c r="P238" s="27"/>
      <c r="Q238" s="27"/>
      <c r="R238" s="27"/>
      <c r="S238" s="27"/>
      <c r="T238" s="27"/>
      <c r="U238" s="27"/>
      <c r="V238" s="27"/>
      <c r="W238" s="27"/>
      <c r="X238" s="27"/>
      <c r="Y238" s="27"/>
      <c r="Z238" s="27"/>
      <c r="AA238" s="27"/>
      <c r="AB238" s="27"/>
      <c r="AC238" s="27"/>
      <c r="AD238" s="27"/>
      <c r="AE238" s="27"/>
      <c r="AF238" s="27"/>
      <c r="AG238" s="27"/>
      <c r="AH238" s="27"/>
      <c r="AI238" s="27"/>
      <c r="AJ238" s="27"/>
      <c r="AK238" s="27"/>
      <c r="AL238" s="27"/>
      <c r="AM238" s="27"/>
      <c r="AN238" s="27"/>
      <c r="AO238" s="27"/>
      <c r="AP238" s="27"/>
      <c r="AQ238" s="27"/>
      <c r="AR238" s="27"/>
      <c r="AS238" s="27"/>
      <c r="AT238" s="27"/>
      <c r="AU238" s="27"/>
      <c r="AV238" s="27"/>
      <c r="AW238" s="27"/>
      <c r="AX238" s="27"/>
      <c r="AY238" s="27"/>
      <c r="AZ238" s="27"/>
      <c r="BA238" s="27"/>
      <c r="BB238" s="27"/>
      <c r="BC238" s="27"/>
      <c r="BD238" s="27"/>
      <c r="BE238" s="27"/>
      <c r="BF238" s="27"/>
      <c r="BG238" s="27"/>
      <c r="BH238" s="27"/>
      <c r="BI238" s="27"/>
      <c r="BJ238" s="27"/>
      <c r="BK238" s="27"/>
      <c r="BL238" s="27"/>
      <c r="BM238" s="27"/>
      <c r="BN238" s="27"/>
      <c r="BO238" s="27"/>
      <c r="BP238" s="27"/>
      <c r="BQ238" s="27"/>
      <c r="BR238" s="27"/>
      <c r="BS238" s="27"/>
      <c r="BT238" s="27"/>
      <c r="BU238" s="27"/>
      <c r="BV238" s="27"/>
      <c r="BW238" s="27"/>
      <c r="BX238" s="27"/>
      <c r="BY238" s="27"/>
      <c r="BZ238" s="27"/>
      <c r="CA238" s="27"/>
      <c r="CB238" s="27"/>
    </row>
    <row r="239" spans="1:80" hidden="1" x14ac:dyDescent="0.25">
      <c r="A239" s="31" t="s">
        <v>38</v>
      </c>
      <c r="B239" s="39" t="s">
        <v>36</v>
      </c>
      <c r="C239" s="30" t="s">
        <v>37</v>
      </c>
      <c r="D239" s="30" t="s">
        <v>10</v>
      </c>
      <c r="E239" s="20" t="s">
        <v>1778</v>
      </c>
      <c r="F239" s="26" t="s">
        <v>1834</v>
      </c>
      <c r="G239" s="36"/>
      <c r="H239" s="36" t="s">
        <v>10</v>
      </c>
      <c r="I239" s="29" t="e">
        <f>VLOOKUP(B239,#REF!,2,FALSE)</f>
        <v>#REF!</v>
      </c>
      <c r="J239" s="27"/>
      <c r="K239" s="27"/>
      <c r="L239" s="27"/>
      <c r="M239" s="27"/>
      <c r="N239" s="27"/>
      <c r="O239" s="27"/>
      <c r="P239" s="27"/>
      <c r="Q239" s="27"/>
      <c r="R239" s="27"/>
      <c r="S239" s="27"/>
      <c r="T239" s="27"/>
      <c r="U239" s="27"/>
      <c r="V239" s="27"/>
      <c r="W239" s="27"/>
      <c r="X239" s="27"/>
      <c r="Y239" s="27"/>
      <c r="Z239" s="27"/>
      <c r="AA239" s="27"/>
      <c r="AB239" s="27"/>
      <c r="AC239" s="27"/>
      <c r="AD239" s="27"/>
      <c r="AE239" s="27"/>
      <c r="AF239" s="27"/>
      <c r="AG239" s="27"/>
      <c r="AH239" s="27"/>
      <c r="AI239" s="27"/>
      <c r="AJ239" s="27"/>
      <c r="AK239" s="27"/>
      <c r="AL239" s="27"/>
      <c r="AM239" s="27"/>
      <c r="AN239" s="27"/>
      <c r="AO239" s="27"/>
      <c r="AP239" s="27"/>
      <c r="AQ239" s="27"/>
      <c r="AR239" s="27"/>
      <c r="AS239" s="27"/>
      <c r="AT239" s="27"/>
      <c r="AU239" s="27"/>
      <c r="AV239" s="27"/>
      <c r="AW239" s="27"/>
      <c r="AX239" s="27"/>
      <c r="AY239" s="27"/>
      <c r="AZ239" s="27"/>
      <c r="BA239" s="27"/>
      <c r="BB239" s="27"/>
      <c r="BC239" s="27"/>
      <c r="BD239" s="27"/>
      <c r="BE239" s="27"/>
      <c r="BF239" s="27"/>
      <c r="BG239" s="27"/>
      <c r="BH239" s="27"/>
      <c r="BI239" s="27"/>
      <c r="BJ239" s="27"/>
      <c r="BK239" s="27"/>
      <c r="BL239" s="27"/>
      <c r="BM239" s="27"/>
      <c r="BN239" s="27"/>
      <c r="BO239" s="27"/>
      <c r="BP239" s="27"/>
      <c r="BQ239" s="27"/>
      <c r="BR239" s="27"/>
      <c r="BS239" s="27"/>
      <c r="BT239" s="27"/>
      <c r="BU239" s="27"/>
      <c r="BV239" s="27"/>
      <c r="BW239" s="27"/>
      <c r="BX239" s="27"/>
      <c r="BY239" s="27"/>
      <c r="BZ239" s="27"/>
      <c r="CA239" s="27"/>
      <c r="CB239" s="27"/>
    </row>
    <row r="240" spans="1:80" hidden="1" x14ac:dyDescent="0.25">
      <c r="A240" s="31" t="s">
        <v>93</v>
      </c>
      <c r="B240" s="39" t="s">
        <v>92</v>
      </c>
      <c r="C240" s="30" t="s">
        <v>89</v>
      </c>
      <c r="D240" s="30" t="s">
        <v>52</v>
      </c>
      <c r="E240" s="20" t="s">
        <v>1778</v>
      </c>
      <c r="F240" s="26" t="s">
        <v>1834</v>
      </c>
      <c r="G240" s="36"/>
      <c r="H240" s="36" t="s">
        <v>52</v>
      </c>
      <c r="I240" s="29" t="e">
        <f>VLOOKUP(B240,#REF!,2,FALSE)</f>
        <v>#REF!</v>
      </c>
      <c r="J240" s="27"/>
      <c r="K240" s="27"/>
      <c r="L240" s="27"/>
      <c r="M240" s="27"/>
      <c r="N240" s="27"/>
      <c r="O240" s="27"/>
      <c r="P240" s="27"/>
      <c r="Q240" s="27"/>
      <c r="R240" s="27"/>
      <c r="S240" s="27"/>
      <c r="T240" s="27"/>
      <c r="U240" s="27"/>
      <c r="V240" s="27"/>
      <c r="W240" s="27"/>
      <c r="X240" s="27"/>
      <c r="Y240" s="27"/>
      <c r="Z240" s="27"/>
      <c r="AA240" s="27"/>
      <c r="AB240" s="27"/>
      <c r="AC240" s="27"/>
      <c r="AD240" s="27"/>
      <c r="AE240" s="27"/>
      <c r="AF240" s="27"/>
      <c r="AG240" s="27"/>
      <c r="AH240" s="27"/>
      <c r="AI240" s="27"/>
      <c r="AJ240" s="27"/>
      <c r="AK240" s="27"/>
      <c r="AL240" s="27"/>
      <c r="AM240" s="27"/>
      <c r="AN240" s="27"/>
      <c r="AO240" s="27"/>
      <c r="AP240" s="27"/>
      <c r="AQ240" s="27"/>
      <c r="AR240" s="27"/>
      <c r="AS240" s="27"/>
      <c r="AT240" s="27"/>
      <c r="AU240" s="27"/>
      <c r="AV240" s="27"/>
      <c r="AW240" s="27"/>
      <c r="AX240" s="27"/>
      <c r="AY240" s="27"/>
      <c r="AZ240" s="27"/>
      <c r="BA240" s="27"/>
      <c r="BB240" s="27"/>
      <c r="BC240" s="27"/>
      <c r="BD240" s="27"/>
      <c r="BE240" s="27"/>
      <c r="BF240" s="27"/>
      <c r="BG240" s="27"/>
      <c r="BH240" s="27"/>
      <c r="BI240" s="27"/>
      <c r="BJ240" s="27"/>
      <c r="BK240" s="27"/>
      <c r="BL240" s="27"/>
      <c r="BM240" s="27"/>
      <c r="BN240" s="27"/>
      <c r="BO240" s="27"/>
      <c r="BP240" s="27"/>
      <c r="BQ240" s="27"/>
      <c r="BR240" s="27"/>
      <c r="BS240" s="27"/>
      <c r="BT240" s="27"/>
      <c r="BU240" s="27"/>
      <c r="BV240" s="27"/>
      <c r="BW240" s="27"/>
      <c r="BX240" s="27"/>
      <c r="BY240" s="27"/>
      <c r="BZ240" s="27"/>
      <c r="CA240" s="27"/>
      <c r="CB240" s="27"/>
    </row>
    <row r="241" spans="1:80" hidden="1" x14ac:dyDescent="0.25">
      <c r="A241" s="31" t="s">
        <v>430</v>
      </c>
      <c r="B241" s="39" t="s">
        <v>1835</v>
      </c>
      <c r="C241" s="30" t="s">
        <v>1836</v>
      </c>
      <c r="D241" s="30" t="s">
        <v>52</v>
      </c>
      <c r="E241" s="20" t="s">
        <v>1778</v>
      </c>
      <c r="F241" s="26" t="s">
        <v>1834</v>
      </c>
      <c r="G241" s="36"/>
      <c r="H241" s="36" t="s">
        <v>52</v>
      </c>
      <c r="I241" s="29" t="e">
        <f>VLOOKUP(B241,#REF!,2,FALSE)</f>
        <v>#REF!</v>
      </c>
      <c r="J241" s="27"/>
      <c r="K241" s="27"/>
      <c r="L241" s="27"/>
      <c r="M241" s="27"/>
      <c r="N241" s="27"/>
      <c r="O241" s="27"/>
      <c r="P241" s="27"/>
      <c r="Q241" s="27"/>
      <c r="R241" s="27"/>
      <c r="S241" s="27"/>
      <c r="T241" s="27"/>
      <c r="U241" s="27"/>
      <c r="V241" s="27"/>
      <c r="W241" s="27"/>
      <c r="X241" s="27"/>
      <c r="Y241" s="27"/>
      <c r="Z241" s="27"/>
      <c r="AA241" s="27"/>
      <c r="AB241" s="27"/>
      <c r="AC241" s="27"/>
      <c r="AD241" s="27"/>
      <c r="AE241" s="27"/>
      <c r="AF241" s="27"/>
      <c r="AG241" s="27"/>
      <c r="AH241" s="27"/>
      <c r="AI241" s="27"/>
      <c r="AJ241" s="27"/>
      <c r="AK241" s="27"/>
      <c r="AL241" s="27"/>
      <c r="AM241" s="27"/>
      <c r="AN241" s="27"/>
      <c r="AO241" s="27"/>
      <c r="AP241" s="27"/>
      <c r="AQ241" s="27"/>
      <c r="AR241" s="27"/>
      <c r="AS241" s="27"/>
      <c r="AT241" s="27"/>
      <c r="AU241" s="27"/>
      <c r="AV241" s="27"/>
      <c r="AW241" s="27"/>
      <c r="AX241" s="27"/>
      <c r="AY241" s="27"/>
      <c r="AZ241" s="27"/>
      <c r="BA241" s="27"/>
      <c r="BB241" s="27"/>
      <c r="BC241" s="27"/>
      <c r="BD241" s="27"/>
      <c r="BE241" s="27"/>
      <c r="BF241" s="27"/>
      <c r="BG241" s="27"/>
      <c r="BH241" s="27"/>
      <c r="BI241" s="27"/>
      <c r="BJ241" s="27"/>
      <c r="BK241" s="27"/>
      <c r="BL241" s="27"/>
      <c r="BM241" s="27"/>
      <c r="BN241" s="27"/>
      <c r="BO241" s="27"/>
      <c r="BP241" s="27"/>
      <c r="BQ241" s="27"/>
      <c r="BR241" s="27"/>
      <c r="BS241" s="27"/>
      <c r="BT241" s="27"/>
      <c r="BU241" s="27"/>
      <c r="BV241" s="27"/>
      <c r="BW241" s="27"/>
      <c r="BX241" s="27"/>
      <c r="BY241" s="27"/>
      <c r="BZ241" s="27"/>
      <c r="CA241" s="27"/>
      <c r="CB241" s="27"/>
    </row>
    <row r="242" spans="1:80" hidden="1" x14ac:dyDescent="0.25">
      <c r="A242" s="31" t="s">
        <v>178</v>
      </c>
      <c r="B242" s="39" t="s">
        <v>1837</v>
      </c>
      <c r="C242" s="30" t="s">
        <v>1672</v>
      </c>
      <c r="D242" s="30" t="s">
        <v>52</v>
      </c>
      <c r="E242" s="20" t="s">
        <v>1778</v>
      </c>
      <c r="F242" s="26" t="s">
        <v>1834</v>
      </c>
      <c r="G242" s="36" t="s">
        <v>1838</v>
      </c>
      <c r="H242" s="36" t="s">
        <v>52</v>
      </c>
      <c r="I242" s="29" t="e">
        <f>VLOOKUP(B242,#REF!,2,FALSE)</f>
        <v>#REF!</v>
      </c>
      <c r="J242" s="27"/>
      <c r="K242" s="27"/>
      <c r="L242" s="27"/>
      <c r="M242" s="27"/>
      <c r="N242" s="27"/>
      <c r="O242" s="27"/>
      <c r="P242" s="27"/>
      <c r="Q242" s="27"/>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c r="AO242" s="27"/>
      <c r="AP242" s="27"/>
      <c r="AQ242" s="27"/>
      <c r="AR242" s="27"/>
      <c r="AS242" s="27"/>
      <c r="AT242" s="27"/>
      <c r="AU242" s="27"/>
      <c r="AV242" s="27"/>
      <c r="AW242" s="27"/>
      <c r="AX242" s="27"/>
      <c r="AY242" s="27"/>
      <c r="AZ242" s="27"/>
      <c r="BA242" s="27"/>
      <c r="BB242" s="27"/>
      <c r="BC242" s="27"/>
      <c r="BD242" s="27"/>
      <c r="BE242" s="27"/>
      <c r="BF242" s="27"/>
      <c r="BG242" s="27"/>
      <c r="BH242" s="27"/>
      <c r="BI242" s="27"/>
      <c r="BJ242" s="27"/>
      <c r="BK242" s="27"/>
      <c r="BL242" s="27"/>
      <c r="BM242" s="27"/>
      <c r="BN242" s="27"/>
      <c r="BO242" s="27"/>
      <c r="BP242" s="27"/>
      <c r="BQ242" s="27"/>
      <c r="BR242" s="27"/>
      <c r="BS242" s="27"/>
      <c r="BT242" s="27"/>
      <c r="BU242" s="27"/>
      <c r="BV242" s="27"/>
      <c r="BW242" s="27"/>
      <c r="BX242" s="27"/>
      <c r="BY242" s="27"/>
      <c r="BZ242" s="27"/>
      <c r="CA242" s="27"/>
      <c r="CB242" s="27"/>
    </row>
    <row r="243" spans="1:80" hidden="1" x14ac:dyDescent="0.25">
      <c r="A243" s="31" t="s">
        <v>438</v>
      </c>
      <c r="B243" s="39" t="s">
        <v>1839</v>
      </c>
      <c r="C243" s="30" t="s">
        <v>1798</v>
      </c>
      <c r="D243" s="30" t="s">
        <v>52</v>
      </c>
      <c r="E243" s="20" t="s">
        <v>1778</v>
      </c>
      <c r="F243" s="26" t="s">
        <v>1834</v>
      </c>
      <c r="G243" s="36"/>
      <c r="H243" s="36" t="s">
        <v>52</v>
      </c>
      <c r="I243" s="29" t="e">
        <f>VLOOKUP(B243,#REF!,2,FALSE)</f>
        <v>#REF!</v>
      </c>
      <c r="J243" s="27"/>
      <c r="K243" s="27"/>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c r="AS243" s="27"/>
      <c r="AT243" s="27"/>
      <c r="AU243" s="27"/>
      <c r="AV243" s="27"/>
      <c r="AW243" s="27"/>
      <c r="AX243" s="27"/>
      <c r="AY243" s="27"/>
      <c r="AZ243" s="27"/>
      <c r="BA243" s="27"/>
      <c r="BB243" s="27"/>
      <c r="BC243" s="27"/>
      <c r="BD243" s="27"/>
      <c r="BE243" s="27"/>
      <c r="BF243" s="27"/>
      <c r="BG243" s="27"/>
      <c r="BH243" s="27"/>
      <c r="BI243" s="27"/>
      <c r="BJ243" s="27"/>
      <c r="BK243" s="27"/>
      <c r="BL243" s="27"/>
      <c r="BM243" s="27"/>
      <c r="BN243" s="27"/>
      <c r="BO243" s="27"/>
      <c r="BP243" s="27"/>
      <c r="BQ243" s="27"/>
      <c r="BR243" s="27"/>
      <c r="BS243" s="27"/>
      <c r="BT243" s="27"/>
      <c r="BU243" s="27"/>
      <c r="BV243" s="27"/>
      <c r="BW243" s="27"/>
      <c r="BX243" s="27"/>
      <c r="BY243" s="27"/>
      <c r="BZ243" s="27"/>
      <c r="CA243" s="27"/>
      <c r="CB243" s="27"/>
    </row>
    <row r="244" spans="1:80" hidden="1" x14ac:dyDescent="0.25">
      <c r="A244" s="31" t="s">
        <v>317</v>
      </c>
      <c r="B244" s="39" t="s">
        <v>315</v>
      </c>
      <c r="C244" s="30" t="s">
        <v>316</v>
      </c>
      <c r="D244" s="30" t="s">
        <v>52</v>
      </c>
      <c r="E244" s="20" t="s">
        <v>1778</v>
      </c>
      <c r="F244" s="26" t="s">
        <v>1834</v>
      </c>
      <c r="G244" s="36"/>
      <c r="H244" s="36" t="s">
        <v>52</v>
      </c>
      <c r="I244" s="29" t="e">
        <f>VLOOKUP(B244,#REF!,2,FALSE)</f>
        <v>#REF!</v>
      </c>
      <c r="J244" s="27"/>
      <c r="K244" s="27"/>
      <c r="L244" s="27"/>
      <c r="M244" s="27"/>
      <c r="N244" s="27"/>
      <c r="O244" s="27"/>
      <c r="P244" s="27"/>
      <c r="Q244" s="27"/>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c r="AO244" s="27"/>
      <c r="AP244" s="27"/>
      <c r="AQ244" s="27"/>
      <c r="AR244" s="27"/>
      <c r="AS244" s="27"/>
      <c r="AT244" s="27"/>
      <c r="AU244" s="27"/>
      <c r="AV244" s="27"/>
      <c r="AW244" s="27"/>
      <c r="AX244" s="27"/>
      <c r="AY244" s="27"/>
      <c r="AZ244" s="27"/>
      <c r="BA244" s="27"/>
      <c r="BB244" s="27"/>
      <c r="BC244" s="27"/>
      <c r="BD244" s="27"/>
      <c r="BE244" s="27"/>
      <c r="BF244" s="27"/>
      <c r="BG244" s="27"/>
      <c r="BH244" s="27"/>
      <c r="BI244" s="27"/>
      <c r="BJ244" s="27"/>
      <c r="BK244" s="27"/>
      <c r="BL244" s="27"/>
      <c r="BM244" s="27"/>
      <c r="BN244" s="27"/>
      <c r="BO244" s="27"/>
      <c r="BP244" s="27"/>
      <c r="BQ244" s="27"/>
      <c r="BR244" s="27"/>
      <c r="BS244" s="27"/>
      <c r="BT244" s="27"/>
      <c r="BU244" s="27"/>
      <c r="BV244" s="27"/>
      <c r="BW244" s="27"/>
      <c r="BX244" s="27"/>
      <c r="BY244" s="27"/>
      <c r="BZ244" s="27"/>
      <c r="CA244" s="27"/>
      <c r="CB244" s="27"/>
    </row>
    <row r="245" spans="1:80" hidden="1" x14ac:dyDescent="0.25">
      <c r="A245" s="31" t="s">
        <v>1267</v>
      </c>
      <c r="B245" s="39" t="s">
        <v>1266</v>
      </c>
      <c r="C245" s="30" t="s">
        <v>173</v>
      </c>
      <c r="D245" s="30" t="s">
        <v>97</v>
      </c>
      <c r="E245" s="20" t="s">
        <v>1778</v>
      </c>
      <c r="F245" s="26" t="s">
        <v>1840</v>
      </c>
      <c r="G245" s="36"/>
      <c r="H245" s="36" t="s">
        <v>97</v>
      </c>
      <c r="I245" s="29" t="e">
        <f>VLOOKUP(B245,#REF!,2,FALSE)</f>
        <v>#REF!</v>
      </c>
      <c r="J245" s="27"/>
      <c r="K245" s="27"/>
      <c r="L245" s="27"/>
      <c r="M245" s="27"/>
      <c r="N245" s="27"/>
      <c r="O245" s="27"/>
      <c r="P245" s="27"/>
      <c r="Q245" s="27"/>
      <c r="R245" s="27"/>
      <c r="S245" s="27"/>
      <c r="T245" s="27"/>
      <c r="U245" s="27"/>
      <c r="V245" s="27"/>
      <c r="W245" s="27"/>
      <c r="X245" s="27"/>
      <c r="Y245" s="27"/>
      <c r="Z245" s="27"/>
      <c r="AA245" s="27"/>
      <c r="AB245" s="27"/>
      <c r="AC245" s="27"/>
      <c r="AD245" s="27"/>
      <c r="AE245" s="27"/>
      <c r="AF245" s="27"/>
      <c r="AG245" s="27"/>
      <c r="AH245" s="27"/>
      <c r="AI245" s="27"/>
      <c r="AJ245" s="27"/>
      <c r="AK245" s="27"/>
      <c r="AL245" s="27"/>
      <c r="AM245" s="27"/>
      <c r="AN245" s="27"/>
      <c r="AO245" s="27"/>
      <c r="AP245" s="27"/>
      <c r="AQ245" s="27"/>
      <c r="AR245" s="27"/>
      <c r="AS245" s="27"/>
      <c r="AT245" s="27"/>
      <c r="AU245" s="27"/>
      <c r="AV245" s="27"/>
      <c r="AW245" s="27"/>
      <c r="AX245" s="27"/>
      <c r="AY245" s="27"/>
      <c r="AZ245" s="27"/>
      <c r="BA245" s="27"/>
      <c r="BB245" s="27"/>
      <c r="BC245" s="27"/>
      <c r="BD245" s="27"/>
      <c r="BE245" s="27"/>
      <c r="BF245" s="27"/>
      <c r="BG245" s="27"/>
      <c r="BH245" s="27"/>
      <c r="BI245" s="27"/>
      <c r="BJ245" s="27"/>
      <c r="BK245" s="27"/>
      <c r="BL245" s="27"/>
      <c r="BM245" s="27"/>
      <c r="BN245" s="27"/>
      <c r="BO245" s="27"/>
      <c r="BP245" s="27"/>
      <c r="BQ245" s="27"/>
      <c r="BR245" s="27"/>
      <c r="BS245" s="27"/>
      <c r="BT245" s="27"/>
      <c r="BU245" s="27"/>
      <c r="BV245" s="27"/>
      <c r="BW245" s="27"/>
      <c r="BX245" s="27"/>
      <c r="BY245" s="27"/>
      <c r="BZ245" s="27"/>
      <c r="CA245" s="27"/>
      <c r="CB245" s="27"/>
    </row>
    <row r="246" spans="1:80" hidden="1" x14ac:dyDescent="0.25">
      <c r="A246" s="31" t="s">
        <v>1277</v>
      </c>
      <c r="B246" s="39" t="s">
        <v>1276</v>
      </c>
      <c r="C246" s="30" t="s">
        <v>507</v>
      </c>
      <c r="D246" s="30" t="s">
        <v>97</v>
      </c>
      <c r="E246" s="20" t="s">
        <v>1778</v>
      </c>
      <c r="F246" s="26" t="s">
        <v>1840</v>
      </c>
      <c r="G246" s="36"/>
      <c r="H246" s="36" t="s">
        <v>97</v>
      </c>
      <c r="I246" s="29" t="e">
        <f>VLOOKUP(B246,#REF!,2,FALSE)</f>
        <v>#REF!</v>
      </c>
      <c r="J246" s="27"/>
      <c r="K246" s="27"/>
      <c r="L246" s="27"/>
      <c r="M246" s="27"/>
      <c r="N246" s="27"/>
      <c r="O246" s="27"/>
      <c r="P246" s="27"/>
      <c r="Q246" s="27"/>
      <c r="R246" s="27"/>
      <c r="S246" s="27"/>
      <c r="T246" s="27"/>
      <c r="U246" s="27"/>
      <c r="V246" s="27"/>
      <c r="W246" s="27"/>
      <c r="X246" s="27"/>
      <c r="Y246" s="27"/>
      <c r="Z246" s="27"/>
      <c r="AA246" s="27"/>
      <c r="AB246" s="27"/>
      <c r="AC246" s="27"/>
      <c r="AD246" s="27"/>
      <c r="AE246" s="27"/>
      <c r="AF246" s="27"/>
      <c r="AG246" s="27"/>
      <c r="AH246" s="27"/>
      <c r="AI246" s="27"/>
      <c r="AJ246" s="27"/>
      <c r="AK246" s="27"/>
      <c r="AL246" s="27"/>
      <c r="AM246" s="27"/>
      <c r="AN246" s="27"/>
      <c r="AO246" s="27"/>
      <c r="AP246" s="27"/>
      <c r="AQ246" s="27"/>
      <c r="AR246" s="27"/>
      <c r="AS246" s="27"/>
      <c r="AT246" s="27"/>
      <c r="AU246" s="27"/>
      <c r="AV246" s="27"/>
      <c r="AW246" s="27"/>
      <c r="AX246" s="27"/>
      <c r="AY246" s="27"/>
      <c r="AZ246" s="27"/>
      <c r="BA246" s="27"/>
      <c r="BB246" s="27"/>
      <c r="BC246" s="27"/>
      <c r="BD246" s="27"/>
      <c r="BE246" s="27"/>
      <c r="BF246" s="27"/>
      <c r="BG246" s="27"/>
      <c r="BH246" s="27"/>
      <c r="BI246" s="27"/>
      <c r="BJ246" s="27"/>
      <c r="BK246" s="27"/>
      <c r="BL246" s="27"/>
      <c r="BM246" s="27"/>
      <c r="BN246" s="27"/>
      <c r="BO246" s="27"/>
      <c r="BP246" s="27"/>
      <c r="BQ246" s="27"/>
      <c r="BR246" s="27"/>
      <c r="BS246" s="27"/>
      <c r="BT246" s="27"/>
      <c r="BU246" s="27"/>
      <c r="BV246" s="27"/>
      <c r="BW246" s="27"/>
      <c r="BX246" s="27"/>
      <c r="BY246" s="27"/>
      <c r="BZ246" s="27"/>
      <c r="CA246" s="27"/>
      <c r="CB246" s="27"/>
    </row>
    <row r="247" spans="1:80" hidden="1" x14ac:dyDescent="0.25">
      <c r="A247" s="31" t="s">
        <v>1282</v>
      </c>
      <c r="B247" s="39" t="s">
        <v>1281</v>
      </c>
      <c r="C247" s="30" t="s">
        <v>55</v>
      </c>
      <c r="D247" s="30" t="s">
        <v>97</v>
      </c>
      <c r="E247" s="20" t="s">
        <v>1778</v>
      </c>
      <c r="F247" s="26" t="s">
        <v>1840</v>
      </c>
      <c r="G247" s="36"/>
      <c r="H247" s="36" t="s">
        <v>97</v>
      </c>
      <c r="I247" s="29" t="e">
        <f>VLOOKUP(B247,#REF!,2,FALSE)</f>
        <v>#REF!</v>
      </c>
      <c r="J247" s="27"/>
      <c r="K247" s="27"/>
      <c r="L247" s="27"/>
      <c r="M247" s="27"/>
      <c r="N247" s="27"/>
      <c r="O247" s="27"/>
      <c r="P247" s="27"/>
      <c r="Q247" s="27"/>
      <c r="R247" s="27"/>
      <c r="S247" s="27"/>
      <c r="T247" s="27"/>
      <c r="U247" s="27"/>
      <c r="V247" s="27"/>
      <c r="W247" s="27"/>
      <c r="X247" s="27"/>
      <c r="Y247" s="27"/>
      <c r="Z247" s="27"/>
      <c r="AA247" s="27"/>
      <c r="AB247" s="27"/>
      <c r="AC247" s="27"/>
      <c r="AD247" s="27"/>
      <c r="AE247" s="27"/>
      <c r="AF247" s="27"/>
      <c r="AG247" s="27"/>
      <c r="AH247" s="27"/>
      <c r="AI247" s="27"/>
      <c r="AJ247" s="27"/>
      <c r="AK247" s="27"/>
      <c r="AL247" s="27"/>
      <c r="AM247" s="27"/>
      <c r="AN247" s="27"/>
      <c r="AO247" s="27"/>
      <c r="AP247" s="27"/>
      <c r="AQ247" s="27"/>
      <c r="AR247" s="27"/>
      <c r="AS247" s="27"/>
      <c r="AT247" s="27"/>
      <c r="AU247" s="27"/>
      <c r="AV247" s="27"/>
      <c r="AW247" s="27"/>
      <c r="AX247" s="27"/>
      <c r="AY247" s="27"/>
      <c r="AZ247" s="27"/>
      <c r="BA247" s="27"/>
      <c r="BB247" s="27"/>
      <c r="BC247" s="27"/>
      <c r="BD247" s="27"/>
      <c r="BE247" s="27"/>
      <c r="BF247" s="27"/>
      <c r="BG247" s="27"/>
      <c r="BH247" s="27"/>
      <c r="BI247" s="27"/>
      <c r="BJ247" s="27"/>
      <c r="BK247" s="27"/>
      <c r="BL247" s="27"/>
      <c r="BM247" s="27"/>
      <c r="BN247" s="27"/>
      <c r="BO247" s="27"/>
      <c r="BP247" s="27"/>
      <c r="BQ247" s="27"/>
      <c r="BR247" s="27"/>
      <c r="BS247" s="27"/>
      <c r="BT247" s="27"/>
      <c r="BU247" s="27"/>
      <c r="BV247" s="27"/>
      <c r="BW247" s="27"/>
      <c r="BX247" s="27"/>
      <c r="BY247" s="27"/>
      <c r="BZ247" s="27"/>
      <c r="CA247" s="27"/>
      <c r="CB247" s="27"/>
    </row>
    <row r="248" spans="1:80" hidden="1" x14ac:dyDescent="0.25">
      <c r="A248" s="31" t="s">
        <v>1299</v>
      </c>
      <c r="B248" s="39" t="s">
        <v>1297</v>
      </c>
      <c r="C248" s="30" t="s">
        <v>1298</v>
      </c>
      <c r="D248" s="30" t="s">
        <v>97</v>
      </c>
      <c r="E248" s="20" t="s">
        <v>1778</v>
      </c>
      <c r="F248" s="26" t="s">
        <v>1840</v>
      </c>
      <c r="G248" s="36"/>
      <c r="H248" s="36" t="s">
        <v>97</v>
      </c>
      <c r="I248" s="29" t="e">
        <f>VLOOKUP(B248,#REF!,2,FALSE)</f>
        <v>#REF!</v>
      </c>
      <c r="J248" s="27"/>
      <c r="K248" s="27"/>
      <c r="L248" s="27"/>
      <c r="M248" s="27"/>
      <c r="N248" s="27"/>
      <c r="O248" s="27"/>
      <c r="P248" s="27"/>
      <c r="Q248" s="27"/>
      <c r="R248" s="27"/>
      <c r="S248" s="27"/>
      <c r="T248" s="27"/>
      <c r="U248" s="27"/>
      <c r="V248" s="27"/>
      <c r="W248" s="27"/>
      <c r="X248" s="27"/>
      <c r="Y248" s="27"/>
      <c r="Z248" s="27"/>
      <c r="AA248" s="27"/>
      <c r="AB248" s="27"/>
      <c r="AC248" s="27"/>
      <c r="AD248" s="27"/>
      <c r="AE248" s="27"/>
      <c r="AF248" s="27"/>
      <c r="AG248" s="27"/>
      <c r="AH248" s="27"/>
      <c r="AI248" s="27"/>
      <c r="AJ248" s="27"/>
      <c r="AK248" s="27"/>
      <c r="AL248" s="27"/>
      <c r="AM248" s="27"/>
      <c r="AN248" s="27"/>
      <c r="AO248" s="27"/>
      <c r="AP248" s="27"/>
      <c r="AQ248" s="27"/>
      <c r="AR248" s="27"/>
      <c r="AS248" s="27"/>
      <c r="AT248" s="27"/>
      <c r="AU248" s="27"/>
      <c r="AV248" s="27"/>
      <c r="AW248" s="27"/>
      <c r="AX248" s="27"/>
      <c r="AY248" s="27"/>
      <c r="AZ248" s="27"/>
      <c r="BA248" s="27"/>
      <c r="BB248" s="27"/>
      <c r="BC248" s="27"/>
      <c r="BD248" s="27"/>
      <c r="BE248" s="27"/>
      <c r="BF248" s="27"/>
      <c r="BG248" s="27"/>
      <c r="BH248" s="27"/>
      <c r="BI248" s="27"/>
      <c r="BJ248" s="27"/>
      <c r="BK248" s="27"/>
      <c r="BL248" s="27"/>
      <c r="BM248" s="27"/>
      <c r="BN248" s="27"/>
      <c r="BO248" s="27"/>
      <c r="BP248" s="27"/>
      <c r="BQ248" s="27"/>
      <c r="BR248" s="27"/>
      <c r="BS248" s="27"/>
      <c r="BT248" s="27"/>
      <c r="BU248" s="27"/>
      <c r="BV248" s="27"/>
      <c r="BW248" s="27"/>
      <c r="BX248" s="27"/>
      <c r="BY248" s="27"/>
      <c r="BZ248" s="27"/>
      <c r="CA248" s="27"/>
      <c r="CB248" s="27"/>
    </row>
    <row r="249" spans="1:80" hidden="1" x14ac:dyDescent="0.25">
      <c r="A249" s="31" t="s">
        <v>1301</v>
      </c>
      <c r="B249" s="39" t="s">
        <v>1841</v>
      </c>
      <c r="C249" s="30" t="s">
        <v>1723</v>
      </c>
      <c r="D249" s="30" t="s">
        <v>97</v>
      </c>
      <c r="E249" s="20" t="s">
        <v>1778</v>
      </c>
      <c r="F249" s="26" t="s">
        <v>1840</v>
      </c>
      <c r="G249" s="36"/>
      <c r="H249" s="36" t="s">
        <v>97</v>
      </c>
      <c r="I249" s="29" t="e">
        <f>VLOOKUP(B249,#REF!,2,FALSE)</f>
        <v>#REF!</v>
      </c>
      <c r="J249" s="27"/>
      <c r="K249" s="27"/>
      <c r="L249" s="27"/>
      <c r="M249" s="27"/>
      <c r="N249" s="27"/>
      <c r="O249" s="27"/>
      <c r="P249" s="27"/>
      <c r="Q249" s="27"/>
      <c r="R249" s="27"/>
      <c r="S249" s="27"/>
      <c r="T249" s="27"/>
      <c r="U249" s="27"/>
      <c r="V249" s="27"/>
      <c r="W249" s="27"/>
      <c r="X249" s="27"/>
      <c r="Y249" s="27"/>
      <c r="Z249" s="27"/>
      <c r="AA249" s="27"/>
      <c r="AB249" s="27"/>
      <c r="AC249" s="27"/>
      <c r="AD249" s="27"/>
      <c r="AE249" s="27"/>
      <c r="AF249" s="27"/>
      <c r="AG249" s="27"/>
      <c r="AH249" s="27"/>
      <c r="AI249" s="27"/>
      <c r="AJ249" s="27"/>
      <c r="AK249" s="27"/>
      <c r="AL249" s="27"/>
      <c r="AM249" s="27"/>
      <c r="AN249" s="27"/>
      <c r="AO249" s="27"/>
      <c r="AP249" s="27"/>
      <c r="AQ249" s="27"/>
      <c r="AR249" s="27"/>
      <c r="AS249" s="27"/>
      <c r="AT249" s="27"/>
      <c r="AU249" s="27"/>
      <c r="AV249" s="27"/>
      <c r="AW249" s="27"/>
      <c r="AX249" s="27"/>
      <c r="AY249" s="27"/>
      <c r="AZ249" s="27"/>
      <c r="BA249" s="27"/>
      <c r="BB249" s="27"/>
      <c r="BC249" s="27"/>
      <c r="BD249" s="27"/>
      <c r="BE249" s="27"/>
      <c r="BF249" s="27"/>
      <c r="BG249" s="27"/>
      <c r="BH249" s="27"/>
      <c r="BI249" s="27"/>
      <c r="BJ249" s="27"/>
      <c r="BK249" s="27"/>
      <c r="BL249" s="27"/>
      <c r="BM249" s="27"/>
      <c r="BN249" s="27"/>
      <c r="BO249" s="27"/>
      <c r="BP249" s="27"/>
      <c r="BQ249" s="27"/>
      <c r="BR249" s="27"/>
      <c r="BS249" s="27"/>
      <c r="BT249" s="27"/>
      <c r="BU249" s="27"/>
      <c r="BV249" s="27"/>
      <c r="BW249" s="27"/>
      <c r="BX249" s="27"/>
      <c r="BY249" s="27"/>
      <c r="BZ249" s="27"/>
      <c r="CA249" s="27"/>
      <c r="CB249" s="27"/>
    </row>
    <row r="250" spans="1:80" hidden="1" x14ac:dyDescent="0.25">
      <c r="A250" s="31" t="s">
        <v>1312</v>
      </c>
      <c r="B250" s="39" t="s">
        <v>162</v>
      </c>
      <c r="C250" s="30" t="s">
        <v>1004</v>
      </c>
      <c r="D250" s="30" t="s">
        <v>97</v>
      </c>
      <c r="E250" s="20" t="s">
        <v>1778</v>
      </c>
      <c r="F250" s="26" t="s">
        <v>1840</v>
      </c>
      <c r="G250" s="36"/>
      <c r="H250" s="36" t="s">
        <v>97</v>
      </c>
      <c r="I250" s="29" t="e">
        <f>VLOOKUP(B250,#REF!,2,FALSE)</f>
        <v>#REF!</v>
      </c>
      <c r="J250" s="27"/>
      <c r="K250" s="27"/>
      <c r="L250" s="27"/>
      <c r="M250" s="27"/>
      <c r="N250" s="27"/>
      <c r="O250" s="27"/>
      <c r="P250" s="27"/>
      <c r="Q250" s="27"/>
      <c r="R250" s="27"/>
      <c r="S250" s="27"/>
      <c r="T250" s="27"/>
      <c r="U250" s="27"/>
      <c r="V250" s="27"/>
      <c r="W250" s="27"/>
      <c r="X250" s="27"/>
      <c r="Y250" s="27"/>
      <c r="Z250" s="27"/>
      <c r="AA250" s="27"/>
      <c r="AB250" s="27"/>
      <c r="AC250" s="27"/>
      <c r="AD250" s="27"/>
      <c r="AE250" s="27"/>
      <c r="AF250" s="27"/>
      <c r="AG250" s="27"/>
      <c r="AH250" s="27"/>
      <c r="AI250" s="27"/>
      <c r="AJ250" s="27"/>
      <c r="AK250" s="27"/>
      <c r="AL250" s="27"/>
      <c r="AM250" s="27"/>
      <c r="AN250" s="27"/>
      <c r="AO250" s="27"/>
      <c r="AP250" s="27"/>
      <c r="AQ250" s="27"/>
      <c r="AR250" s="27"/>
      <c r="AS250" s="27"/>
      <c r="AT250" s="27"/>
      <c r="AU250" s="27"/>
      <c r="AV250" s="27"/>
      <c r="AW250" s="27"/>
      <c r="AX250" s="27"/>
      <c r="AY250" s="27"/>
      <c r="AZ250" s="27"/>
      <c r="BA250" s="27"/>
      <c r="BB250" s="27"/>
      <c r="BC250" s="27"/>
      <c r="BD250" s="27"/>
      <c r="BE250" s="27"/>
      <c r="BF250" s="27"/>
      <c r="BG250" s="27"/>
      <c r="BH250" s="27"/>
      <c r="BI250" s="27"/>
      <c r="BJ250" s="27"/>
      <c r="BK250" s="27"/>
      <c r="BL250" s="27"/>
      <c r="BM250" s="27"/>
      <c r="BN250" s="27"/>
      <c r="BO250" s="27"/>
      <c r="BP250" s="27"/>
      <c r="BQ250" s="27"/>
      <c r="BR250" s="27"/>
      <c r="BS250" s="27"/>
      <c r="BT250" s="27"/>
      <c r="BU250" s="27"/>
      <c r="BV250" s="27"/>
      <c r="BW250" s="27"/>
      <c r="BX250" s="27"/>
      <c r="BY250" s="27"/>
      <c r="BZ250" s="27"/>
      <c r="CA250" s="27"/>
      <c r="CB250" s="27"/>
    </row>
    <row r="251" spans="1:80" hidden="1" x14ac:dyDescent="0.25">
      <c r="A251" s="31" t="s">
        <v>1324</v>
      </c>
      <c r="B251" s="39" t="s">
        <v>1323</v>
      </c>
      <c r="C251" s="30" t="s">
        <v>412</v>
      </c>
      <c r="D251" s="30" t="s">
        <v>52</v>
      </c>
      <c r="E251" s="20" t="s">
        <v>1778</v>
      </c>
      <c r="F251" s="26" t="s">
        <v>1840</v>
      </c>
      <c r="G251" s="36"/>
      <c r="H251" s="36" t="s">
        <v>52</v>
      </c>
      <c r="I251" s="29" t="e">
        <f>VLOOKUP(B251,#REF!,2,FALSE)</f>
        <v>#REF!</v>
      </c>
      <c r="J251" s="27"/>
      <c r="K251" s="27"/>
      <c r="L251" s="27"/>
      <c r="M251" s="27"/>
      <c r="N251" s="27"/>
      <c r="O251" s="27"/>
      <c r="P251" s="27"/>
      <c r="Q251" s="27"/>
      <c r="R251" s="27"/>
      <c r="S251" s="27"/>
      <c r="T251" s="27"/>
      <c r="U251" s="27"/>
      <c r="V251" s="27"/>
      <c r="W251" s="27"/>
      <c r="X251" s="27"/>
      <c r="Y251" s="27"/>
      <c r="Z251" s="27"/>
      <c r="AA251" s="27"/>
      <c r="AB251" s="27"/>
      <c r="AC251" s="27"/>
      <c r="AD251" s="27"/>
      <c r="AE251" s="27"/>
      <c r="AF251" s="27"/>
      <c r="AG251" s="27"/>
      <c r="AH251" s="27"/>
      <c r="AI251" s="27"/>
      <c r="AJ251" s="27"/>
      <c r="AK251" s="27"/>
      <c r="AL251" s="27"/>
      <c r="AM251" s="27"/>
      <c r="AN251" s="27"/>
      <c r="AO251" s="27"/>
      <c r="AP251" s="27"/>
      <c r="AQ251" s="27"/>
      <c r="AR251" s="27"/>
      <c r="AS251" s="27"/>
      <c r="AT251" s="27"/>
      <c r="AU251" s="27"/>
      <c r="AV251" s="27"/>
      <c r="AW251" s="27"/>
      <c r="AX251" s="27"/>
      <c r="AY251" s="27"/>
      <c r="AZ251" s="27"/>
      <c r="BA251" s="27"/>
      <c r="BB251" s="27"/>
      <c r="BC251" s="27"/>
      <c r="BD251" s="27"/>
      <c r="BE251" s="27"/>
      <c r="BF251" s="27"/>
      <c r="BG251" s="27"/>
      <c r="BH251" s="27"/>
      <c r="BI251" s="27"/>
      <c r="BJ251" s="27"/>
      <c r="BK251" s="27"/>
      <c r="BL251" s="27"/>
      <c r="BM251" s="27"/>
      <c r="BN251" s="27"/>
      <c r="BO251" s="27"/>
      <c r="BP251" s="27"/>
      <c r="BQ251" s="27"/>
      <c r="BR251" s="27"/>
      <c r="BS251" s="27"/>
      <c r="BT251" s="27"/>
      <c r="BU251" s="27"/>
      <c r="BV251" s="27"/>
      <c r="BW251" s="27"/>
      <c r="BX251" s="27"/>
      <c r="BY251" s="27"/>
      <c r="BZ251" s="27"/>
      <c r="CA251" s="27"/>
      <c r="CB251" s="27"/>
    </row>
    <row r="252" spans="1:80" hidden="1" x14ac:dyDescent="0.25">
      <c r="A252" s="31" t="s">
        <v>1261</v>
      </c>
      <c r="B252" s="39" t="s">
        <v>1842</v>
      </c>
      <c r="C252" s="30" t="s">
        <v>1732</v>
      </c>
      <c r="D252" s="30" t="s">
        <v>52</v>
      </c>
      <c r="E252" s="20" t="s">
        <v>1778</v>
      </c>
      <c r="F252" s="26" t="s">
        <v>1840</v>
      </c>
      <c r="G252" s="36"/>
      <c r="H252" s="36" t="s">
        <v>52</v>
      </c>
      <c r="I252" s="29" t="e">
        <f>VLOOKUP(B252,#REF!,2,FALSE)</f>
        <v>#REF!</v>
      </c>
      <c r="J252" s="27"/>
      <c r="K252" s="27"/>
      <c r="L252" s="27"/>
      <c r="M252" s="27"/>
      <c r="N252" s="27"/>
      <c r="O252" s="27"/>
      <c r="P252" s="27"/>
      <c r="Q252" s="27"/>
      <c r="R252" s="27"/>
      <c r="S252" s="27"/>
      <c r="T252" s="27"/>
      <c r="U252" s="27"/>
      <c r="V252" s="27"/>
      <c r="W252" s="27"/>
      <c r="X252" s="27"/>
      <c r="Y252" s="27"/>
      <c r="Z252" s="27"/>
      <c r="AA252" s="27"/>
      <c r="AB252" s="27"/>
      <c r="AC252" s="27"/>
      <c r="AD252" s="27"/>
      <c r="AE252" s="27"/>
      <c r="AF252" s="27"/>
      <c r="AG252" s="27"/>
      <c r="AH252" s="27"/>
      <c r="AI252" s="27"/>
      <c r="AJ252" s="27"/>
      <c r="AK252" s="27"/>
      <c r="AL252" s="27"/>
      <c r="AM252" s="27"/>
      <c r="AN252" s="27"/>
      <c r="AO252" s="27"/>
      <c r="AP252" s="27"/>
      <c r="AQ252" s="27"/>
      <c r="AR252" s="27"/>
      <c r="AS252" s="27"/>
      <c r="AT252" s="27"/>
      <c r="AU252" s="27"/>
      <c r="AV252" s="27"/>
      <c r="AW252" s="27"/>
      <c r="AX252" s="27"/>
      <c r="AY252" s="27"/>
      <c r="AZ252" s="27"/>
      <c r="BA252" s="27"/>
      <c r="BB252" s="27"/>
      <c r="BC252" s="27"/>
      <c r="BD252" s="27"/>
      <c r="BE252" s="27"/>
      <c r="BF252" s="27"/>
      <c r="BG252" s="27"/>
      <c r="BH252" s="27"/>
      <c r="BI252" s="27"/>
      <c r="BJ252" s="27"/>
      <c r="BK252" s="27"/>
      <c r="BL252" s="27"/>
      <c r="BM252" s="27"/>
      <c r="BN252" s="27"/>
      <c r="BO252" s="27"/>
      <c r="BP252" s="27"/>
      <c r="BQ252" s="27"/>
      <c r="BR252" s="27"/>
      <c r="BS252" s="27"/>
      <c r="BT252" s="27"/>
      <c r="BU252" s="27"/>
      <c r="BV252" s="27"/>
      <c r="BW252" s="27"/>
      <c r="BX252" s="27"/>
      <c r="BY252" s="27"/>
      <c r="BZ252" s="27"/>
      <c r="CA252" s="27"/>
      <c r="CB252" s="27"/>
    </row>
    <row r="253" spans="1:80" hidden="1" x14ac:dyDescent="0.25">
      <c r="A253" s="31" t="s">
        <v>1341</v>
      </c>
      <c r="B253" s="39" t="s">
        <v>1339</v>
      </c>
      <c r="C253" s="30" t="s">
        <v>1340</v>
      </c>
      <c r="D253" s="30" t="s">
        <v>52</v>
      </c>
      <c r="E253" s="20" t="s">
        <v>1778</v>
      </c>
      <c r="F253" s="26" t="s">
        <v>1840</v>
      </c>
      <c r="G253" s="36"/>
      <c r="H253" s="36" t="s">
        <v>52</v>
      </c>
      <c r="I253" s="29" t="e">
        <f>VLOOKUP(B253,#REF!,2,FALSE)</f>
        <v>#REF!</v>
      </c>
      <c r="J253" s="27"/>
      <c r="K253" s="27"/>
      <c r="L253" s="27"/>
      <c r="M253" s="27"/>
      <c r="N253" s="27"/>
      <c r="O253" s="27"/>
      <c r="P253" s="27"/>
      <c r="Q253" s="27"/>
      <c r="R253" s="27"/>
      <c r="S253" s="27"/>
      <c r="T253" s="27"/>
      <c r="U253" s="27"/>
      <c r="V253" s="27"/>
      <c r="W253" s="27"/>
      <c r="X253" s="27"/>
      <c r="Y253" s="27"/>
      <c r="Z253" s="27"/>
      <c r="AA253" s="27"/>
      <c r="AB253" s="27"/>
      <c r="AC253" s="27"/>
      <c r="AD253" s="27"/>
      <c r="AE253" s="27"/>
      <c r="AF253" s="27"/>
      <c r="AG253" s="27"/>
      <c r="AH253" s="27"/>
      <c r="AI253" s="27"/>
      <c r="AJ253" s="27"/>
      <c r="AK253" s="27"/>
      <c r="AL253" s="27"/>
      <c r="AM253" s="27"/>
      <c r="AN253" s="27"/>
      <c r="AO253" s="27"/>
      <c r="AP253" s="27"/>
      <c r="AQ253" s="27"/>
      <c r="AR253" s="27"/>
      <c r="AS253" s="27"/>
      <c r="AT253" s="27"/>
      <c r="AU253" s="27"/>
      <c r="AV253" s="27"/>
      <c r="AW253" s="27"/>
      <c r="AX253" s="27"/>
      <c r="AY253" s="27"/>
      <c r="AZ253" s="27"/>
      <c r="BA253" s="27"/>
      <c r="BB253" s="27"/>
      <c r="BC253" s="27"/>
      <c r="BD253" s="27"/>
      <c r="BE253" s="27"/>
      <c r="BF253" s="27"/>
      <c r="BG253" s="27"/>
      <c r="BH253" s="27"/>
      <c r="BI253" s="27"/>
      <c r="BJ253" s="27"/>
      <c r="BK253" s="27"/>
      <c r="BL253" s="27"/>
      <c r="BM253" s="27"/>
      <c r="BN253" s="27"/>
      <c r="BO253" s="27"/>
      <c r="BP253" s="27"/>
      <c r="BQ253" s="27"/>
      <c r="BR253" s="27"/>
      <c r="BS253" s="27"/>
      <c r="BT253" s="27"/>
      <c r="BU253" s="27"/>
      <c r="BV253" s="27"/>
      <c r="BW253" s="27"/>
      <c r="BX253" s="27"/>
      <c r="BY253" s="27"/>
      <c r="BZ253" s="27"/>
      <c r="CA253" s="27"/>
      <c r="CB253" s="27"/>
    </row>
    <row r="254" spans="1:80" hidden="1" x14ac:dyDescent="0.25">
      <c r="A254" s="31" t="s">
        <v>1371</v>
      </c>
      <c r="B254" s="39" t="s">
        <v>1370</v>
      </c>
      <c r="C254" s="30" t="s">
        <v>8</v>
      </c>
      <c r="D254" s="30" t="s">
        <v>52</v>
      </c>
      <c r="E254" s="20" t="s">
        <v>1778</v>
      </c>
      <c r="F254" s="26" t="s">
        <v>1840</v>
      </c>
      <c r="G254" s="36" t="s">
        <v>507</v>
      </c>
      <c r="H254" s="36" t="s">
        <v>52</v>
      </c>
      <c r="I254" s="29" t="e">
        <f>VLOOKUP(B254,#REF!,2,FALSE)</f>
        <v>#REF!</v>
      </c>
      <c r="J254" s="27"/>
      <c r="K254" s="27"/>
      <c r="L254" s="27"/>
      <c r="M254" s="27"/>
      <c r="N254" s="27"/>
      <c r="O254" s="27"/>
      <c r="P254" s="27"/>
      <c r="Q254" s="27"/>
      <c r="R254" s="27"/>
      <c r="S254" s="27"/>
      <c r="T254" s="27"/>
      <c r="U254" s="27"/>
      <c r="V254" s="27"/>
      <c r="W254" s="27"/>
      <c r="X254" s="27"/>
      <c r="Y254" s="27"/>
      <c r="Z254" s="27"/>
      <c r="AA254" s="27"/>
      <c r="AB254" s="27"/>
      <c r="AC254" s="27"/>
      <c r="AD254" s="27"/>
      <c r="AE254" s="27"/>
      <c r="AF254" s="27"/>
      <c r="AG254" s="27"/>
      <c r="AH254" s="27"/>
      <c r="AI254" s="27"/>
      <c r="AJ254" s="27"/>
      <c r="AK254" s="27"/>
      <c r="AL254" s="27"/>
      <c r="AM254" s="27"/>
      <c r="AN254" s="27"/>
      <c r="AO254" s="27"/>
      <c r="AP254" s="27"/>
      <c r="AQ254" s="27"/>
      <c r="AR254" s="27"/>
      <c r="AS254" s="27"/>
      <c r="AT254" s="27"/>
      <c r="AU254" s="27"/>
      <c r="AV254" s="27"/>
      <c r="AW254" s="27"/>
      <c r="AX254" s="27"/>
      <c r="AY254" s="27"/>
      <c r="AZ254" s="27"/>
      <c r="BA254" s="27"/>
      <c r="BB254" s="27"/>
      <c r="BC254" s="27"/>
      <c r="BD254" s="27"/>
      <c r="BE254" s="27"/>
      <c r="BF254" s="27"/>
      <c r="BG254" s="27"/>
      <c r="BH254" s="27"/>
      <c r="BI254" s="27"/>
      <c r="BJ254" s="27"/>
      <c r="BK254" s="27"/>
      <c r="BL254" s="27"/>
      <c r="BM254" s="27"/>
      <c r="BN254" s="27"/>
      <c r="BO254" s="27"/>
      <c r="BP254" s="27"/>
      <c r="BQ254" s="27"/>
      <c r="BR254" s="27"/>
      <c r="BS254" s="27"/>
      <c r="BT254" s="27"/>
      <c r="BU254" s="27"/>
      <c r="BV254" s="27"/>
      <c r="BW254" s="27"/>
      <c r="BX254" s="27"/>
      <c r="BY254" s="27"/>
      <c r="BZ254" s="27"/>
      <c r="CA254" s="27"/>
      <c r="CB254" s="27"/>
    </row>
    <row r="255" spans="1:80" hidden="1" x14ac:dyDescent="0.25">
      <c r="A255" s="31" t="s">
        <v>1116</v>
      </c>
      <c r="B255" s="39" t="s">
        <v>1843</v>
      </c>
      <c r="C255" s="30" t="s">
        <v>1679</v>
      </c>
      <c r="D255" s="30" t="s">
        <v>52</v>
      </c>
      <c r="E255" s="20" t="s">
        <v>1778</v>
      </c>
      <c r="F255" s="26" t="s">
        <v>1840</v>
      </c>
      <c r="G255" s="36"/>
      <c r="H255" s="36" t="s">
        <v>52</v>
      </c>
      <c r="I255" s="29" t="e">
        <f>VLOOKUP(B255,#REF!,2,FALSE)</f>
        <v>#REF!</v>
      </c>
      <c r="J255" s="27"/>
      <c r="K255" s="27"/>
      <c r="L255" s="27"/>
      <c r="M255" s="27"/>
      <c r="N255" s="27"/>
      <c r="O255" s="27"/>
      <c r="P255" s="27"/>
      <c r="Q255" s="27"/>
      <c r="R255" s="27"/>
      <c r="S255" s="27"/>
      <c r="T255" s="27"/>
      <c r="U255" s="27"/>
      <c r="V255" s="27"/>
      <c r="W255" s="27"/>
      <c r="X255" s="27"/>
      <c r="Y255" s="27"/>
      <c r="Z255" s="27"/>
      <c r="AA255" s="27"/>
      <c r="AB255" s="27"/>
      <c r="AC255" s="27"/>
      <c r="AD255" s="27"/>
      <c r="AE255" s="27"/>
      <c r="AF255" s="27"/>
      <c r="AG255" s="27"/>
      <c r="AH255" s="27"/>
      <c r="AI255" s="27"/>
      <c r="AJ255" s="27"/>
      <c r="AK255" s="27"/>
      <c r="AL255" s="27"/>
      <c r="AM255" s="27"/>
      <c r="AN255" s="27"/>
      <c r="AO255" s="27"/>
      <c r="AP255" s="27"/>
      <c r="AQ255" s="27"/>
      <c r="AR255" s="27"/>
      <c r="AS255" s="27"/>
      <c r="AT255" s="27"/>
      <c r="AU255" s="27"/>
      <c r="AV255" s="27"/>
      <c r="AW255" s="27"/>
      <c r="AX255" s="27"/>
      <c r="AY255" s="27"/>
      <c r="AZ255" s="27"/>
      <c r="BA255" s="27"/>
      <c r="BB255" s="27"/>
      <c r="BC255" s="27"/>
      <c r="BD255" s="27"/>
      <c r="BE255" s="27"/>
      <c r="BF255" s="27"/>
      <c r="BG255" s="27"/>
      <c r="BH255" s="27"/>
      <c r="BI255" s="27"/>
      <c r="BJ255" s="27"/>
      <c r="BK255" s="27"/>
      <c r="BL255" s="27"/>
      <c r="BM255" s="27"/>
      <c r="BN255" s="27"/>
      <c r="BO255" s="27"/>
      <c r="BP255" s="27"/>
      <c r="BQ255" s="27"/>
      <c r="BR255" s="27"/>
      <c r="BS255" s="27"/>
      <c r="BT255" s="27"/>
      <c r="BU255" s="27"/>
      <c r="BV255" s="27"/>
      <c r="BW255" s="27"/>
      <c r="BX255" s="27"/>
      <c r="BY255" s="27"/>
      <c r="BZ255" s="27"/>
      <c r="CA255" s="27"/>
      <c r="CB255" s="27"/>
    </row>
    <row r="256" spans="1:80" hidden="1" x14ac:dyDescent="0.25">
      <c r="A256" s="31" t="s">
        <v>622</v>
      </c>
      <c r="B256" s="39" t="s">
        <v>620</v>
      </c>
      <c r="C256" s="30" t="s">
        <v>621</v>
      </c>
      <c r="D256" s="30" t="s">
        <v>52</v>
      </c>
      <c r="E256" s="20" t="s">
        <v>1844</v>
      </c>
      <c r="F256" s="26" t="s">
        <v>1845</v>
      </c>
      <c r="G256" s="30"/>
      <c r="H256" s="30"/>
      <c r="I256" s="29" t="e">
        <f>VLOOKUP(B256,#REF!,2,FALSE)</f>
        <v>#REF!</v>
      </c>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row>
    <row r="257" spans="1:80" hidden="1" x14ac:dyDescent="0.25">
      <c r="A257" s="31" t="s">
        <v>1286</v>
      </c>
      <c r="B257" s="39" t="s">
        <v>1846</v>
      </c>
      <c r="C257" s="30" t="s">
        <v>1847</v>
      </c>
      <c r="D257" s="30" t="s">
        <v>52</v>
      </c>
      <c r="E257" s="20" t="s">
        <v>1844</v>
      </c>
      <c r="F257" s="26" t="s">
        <v>1845</v>
      </c>
      <c r="G257" s="30"/>
      <c r="H257" s="30"/>
      <c r="I257" s="29" t="e">
        <f>VLOOKUP(B257,#REF!,2,FALSE)</f>
        <v>#REF!</v>
      </c>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row>
    <row r="258" spans="1:80" hidden="1" x14ac:dyDescent="0.25">
      <c r="A258" s="31" t="s">
        <v>1291</v>
      </c>
      <c r="B258" s="39" t="s">
        <v>1289</v>
      </c>
      <c r="C258" s="30" t="s">
        <v>1290</v>
      </c>
      <c r="D258" s="30" t="s">
        <v>52</v>
      </c>
      <c r="E258" s="20" t="s">
        <v>1844</v>
      </c>
      <c r="F258" s="26" t="s">
        <v>1845</v>
      </c>
      <c r="G258" s="30"/>
      <c r="H258" s="30"/>
      <c r="I258" s="29" t="e">
        <f>VLOOKUP(B258,#REF!,2,FALSE)</f>
        <v>#REF!</v>
      </c>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row>
    <row r="259" spans="1:80" hidden="1" x14ac:dyDescent="0.25">
      <c r="A259" s="31" t="s">
        <v>1293</v>
      </c>
      <c r="B259" s="39" t="s">
        <v>1848</v>
      </c>
      <c r="C259" s="30" t="s">
        <v>1732</v>
      </c>
      <c r="D259" s="30" t="s">
        <v>52</v>
      </c>
      <c r="E259" s="20" t="s">
        <v>1844</v>
      </c>
      <c r="F259" s="26" t="s">
        <v>1845</v>
      </c>
      <c r="G259" s="30"/>
      <c r="H259" s="30"/>
      <c r="I259" s="29" t="e">
        <f>VLOOKUP(B259,#REF!,2,FALSE)</f>
        <v>#REF!</v>
      </c>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row>
    <row r="260" spans="1:80" hidden="1" x14ac:dyDescent="0.25">
      <c r="A260" s="31" t="s">
        <v>1308</v>
      </c>
      <c r="B260" s="39" t="s">
        <v>1849</v>
      </c>
      <c r="C260" s="30" t="s">
        <v>1850</v>
      </c>
      <c r="D260" s="30" t="s">
        <v>52</v>
      </c>
      <c r="E260" s="20" t="s">
        <v>1844</v>
      </c>
      <c r="F260" s="26" t="s">
        <v>1845</v>
      </c>
      <c r="G260" s="30"/>
      <c r="H260" s="30"/>
      <c r="I260" s="29" t="e">
        <f>VLOOKUP(B260,#REF!,2,FALSE)</f>
        <v>#REF!</v>
      </c>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row>
    <row r="261" spans="1:80" hidden="1" x14ac:dyDescent="0.25">
      <c r="A261" s="31" t="s">
        <v>1311</v>
      </c>
      <c r="B261" s="39" t="s">
        <v>1310</v>
      </c>
      <c r="C261" s="30" t="s">
        <v>362</v>
      </c>
      <c r="D261" s="30" t="s">
        <v>52</v>
      </c>
      <c r="E261" s="20" t="s">
        <v>1844</v>
      </c>
      <c r="F261" s="26" t="s">
        <v>1845</v>
      </c>
      <c r="G261" s="30"/>
      <c r="H261" s="30"/>
      <c r="I261" s="29" t="e">
        <f>VLOOKUP(B261,#REF!,2,FALSE)</f>
        <v>#REF!</v>
      </c>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row>
    <row r="262" spans="1:80" x14ac:dyDescent="0.25">
      <c r="A262" s="31" t="s">
        <v>1851</v>
      </c>
      <c r="B262" s="39" t="s">
        <v>1852</v>
      </c>
      <c r="C262" s="30" t="s">
        <v>349</v>
      </c>
      <c r="D262" s="30" t="s">
        <v>52</v>
      </c>
      <c r="E262" s="20" t="s">
        <v>1844</v>
      </c>
      <c r="F262" s="26" t="s">
        <v>1845</v>
      </c>
      <c r="G262" s="30"/>
      <c r="H262" s="30"/>
      <c r="I262" s="29" t="e">
        <f>VLOOKUP(B262,#REF!,2,FALSE)</f>
        <v>#REF!</v>
      </c>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row>
    <row r="263" spans="1:80" hidden="1" x14ac:dyDescent="0.25">
      <c r="A263" s="31" t="s">
        <v>1326</v>
      </c>
      <c r="B263" s="39" t="s">
        <v>1325</v>
      </c>
      <c r="C263" s="30" t="s">
        <v>1007</v>
      </c>
      <c r="D263" s="30" t="s">
        <v>52</v>
      </c>
      <c r="E263" s="20" t="s">
        <v>1844</v>
      </c>
      <c r="F263" s="26" t="s">
        <v>1845</v>
      </c>
      <c r="G263" s="30"/>
      <c r="H263" s="30"/>
      <c r="I263" s="29" t="e">
        <f>VLOOKUP(B263,#REF!,2,FALSE)</f>
        <v>#REF!</v>
      </c>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row>
    <row r="264" spans="1:80" hidden="1" x14ac:dyDescent="0.25">
      <c r="A264" s="31" t="s">
        <v>1328</v>
      </c>
      <c r="B264" s="39" t="s">
        <v>1853</v>
      </c>
      <c r="C264" s="30" t="s">
        <v>1679</v>
      </c>
      <c r="D264" s="30" t="s">
        <v>52</v>
      </c>
      <c r="E264" s="20" t="s">
        <v>1844</v>
      </c>
      <c r="F264" s="26" t="s">
        <v>1845</v>
      </c>
      <c r="G264" s="30"/>
      <c r="H264" s="30"/>
      <c r="I264" s="29" t="e">
        <f>VLOOKUP(B264,#REF!,2,FALSE)</f>
        <v>#REF!</v>
      </c>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row>
    <row r="265" spans="1:80" hidden="1" x14ac:dyDescent="0.25">
      <c r="A265" s="31" t="s">
        <v>583</v>
      </c>
      <c r="B265" s="39" t="s">
        <v>582</v>
      </c>
      <c r="C265" s="30" t="s">
        <v>25</v>
      </c>
      <c r="D265" s="30" t="s">
        <v>10</v>
      </c>
      <c r="E265" s="20" t="s">
        <v>1844</v>
      </c>
      <c r="F265" s="26" t="s">
        <v>1845</v>
      </c>
      <c r="G265" s="30"/>
      <c r="H265" s="30"/>
      <c r="I265" s="29" t="e">
        <f>VLOOKUP(B265,#REF!,2,FALSE)</f>
        <v>#REF!</v>
      </c>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row>
    <row r="266" spans="1:80" hidden="1" x14ac:dyDescent="0.25">
      <c r="A266" s="31" t="s">
        <v>1338</v>
      </c>
      <c r="B266" s="39" t="s">
        <v>1854</v>
      </c>
      <c r="C266" s="30" t="s">
        <v>1855</v>
      </c>
      <c r="D266" s="30" t="s">
        <v>52</v>
      </c>
      <c r="E266" s="20" t="s">
        <v>1844</v>
      </c>
      <c r="F266" s="26" t="s">
        <v>1845</v>
      </c>
      <c r="G266" s="30"/>
      <c r="H266" s="30"/>
      <c r="I266" s="29" t="e">
        <f>VLOOKUP(B266,#REF!,2,FALSE)</f>
        <v>#REF!</v>
      </c>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row>
    <row r="267" spans="1:80" hidden="1" x14ac:dyDescent="0.25">
      <c r="A267" s="31" t="s">
        <v>1353</v>
      </c>
      <c r="B267" s="39" t="s">
        <v>1352</v>
      </c>
      <c r="C267" s="30" t="s">
        <v>23</v>
      </c>
      <c r="D267" s="30" t="s">
        <v>52</v>
      </c>
      <c r="E267" s="20" t="s">
        <v>1844</v>
      </c>
      <c r="F267" s="26" t="s">
        <v>1845</v>
      </c>
      <c r="G267" s="30"/>
      <c r="H267" s="30"/>
      <c r="I267" s="29" t="e">
        <f>VLOOKUP(B267,#REF!,2,FALSE)</f>
        <v>#REF!</v>
      </c>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row>
    <row r="268" spans="1:80" hidden="1" x14ac:dyDescent="0.25">
      <c r="A268" s="31" t="s">
        <v>1357</v>
      </c>
      <c r="B268" s="39" t="s">
        <v>1356</v>
      </c>
      <c r="C268" s="30" t="s">
        <v>1020</v>
      </c>
      <c r="D268" s="30" t="s">
        <v>52</v>
      </c>
      <c r="E268" s="20" t="s">
        <v>1844</v>
      </c>
      <c r="F268" s="26" t="s">
        <v>1845</v>
      </c>
      <c r="G268" s="30"/>
      <c r="H268" s="30"/>
      <c r="I268" s="29" t="e">
        <f>VLOOKUP(B268,#REF!,2,FALSE)</f>
        <v>#REF!</v>
      </c>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row>
    <row r="269" spans="1:80" hidden="1" x14ac:dyDescent="0.25">
      <c r="A269" s="33" t="s">
        <v>1359</v>
      </c>
      <c r="B269" s="38" t="s">
        <v>1358</v>
      </c>
      <c r="C269" s="32" t="s">
        <v>173</v>
      </c>
      <c r="D269" s="32" t="s">
        <v>52</v>
      </c>
      <c r="E269" s="21" t="s">
        <v>1844</v>
      </c>
      <c r="F269" s="25" t="s">
        <v>1845</v>
      </c>
      <c r="G269" s="32"/>
      <c r="H269" s="32"/>
      <c r="I269" s="29" t="e">
        <f>VLOOKUP(B269,#REF!,2,FALSE)</f>
        <v>#REF!</v>
      </c>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row>
    <row r="270" spans="1:80" hidden="1" x14ac:dyDescent="0.25">
      <c r="A270" s="31" t="s">
        <v>1362</v>
      </c>
      <c r="B270" s="39" t="s">
        <v>1361</v>
      </c>
      <c r="C270" s="30" t="s">
        <v>91</v>
      </c>
      <c r="D270" s="30" t="s">
        <v>52</v>
      </c>
      <c r="E270" s="20" t="s">
        <v>1844</v>
      </c>
      <c r="F270" s="26" t="s">
        <v>1845</v>
      </c>
      <c r="G270" s="30"/>
      <c r="H270" s="30"/>
      <c r="I270" s="29" t="e">
        <f>VLOOKUP(B270,#REF!,2,FALSE)</f>
        <v>#REF!</v>
      </c>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row>
    <row r="271" spans="1:80" hidden="1" x14ac:dyDescent="0.25">
      <c r="A271" s="31" t="s">
        <v>1365</v>
      </c>
      <c r="B271" s="39" t="s">
        <v>1856</v>
      </c>
      <c r="C271" s="30" t="s">
        <v>1857</v>
      </c>
      <c r="D271" s="30" t="s">
        <v>52</v>
      </c>
      <c r="E271" s="20" t="s">
        <v>1844</v>
      </c>
      <c r="F271" s="26" t="s">
        <v>1845</v>
      </c>
      <c r="G271" s="30"/>
      <c r="H271" s="30"/>
      <c r="I271" s="29" t="e">
        <f>VLOOKUP(B271,#REF!,2,FALSE)</f>
        <v>#REF!</v>
      </c>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row>
    <row r="272" spans="1:80" hidden="1" x14ac:dyDescent="0.25">
      <c r="A272" s="31" t="s">
        <v>1374</v>
      </c>
      <c r="B272" s="39" t="s">
        <v>1373</v>
      </c>
      <c r="C272" s="30" t="s">
        <v>355</v>
      </c>
      <c r="D272" s="30" t="s">
        <v>52</v>
      </c>
      <c r="E272" s="20" t="s">
        <v>1844</v>
      </c>
      <c r="F272" s="26" t="s">
        <v>1845</v>
      </c>
      <c r="G272" s="30"/>
      <c r="H272" s="30"/>
      <c r="I272" s="29" t="e">
        <f>VLOOKUP(B272,#REF!,2,FALSE)</f>
        <v>#REF!</v>
      </c>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row>
    <row r="273" spans="1:9" hidden="1" x14ac:dyDescent="0.25">
      <c r="A273" s="31" t="s">
        <v>1376</v>
      </c>
      <c r="B273" s="39" t="s">
        <v>1858</v>
      </c>
      <c r="C273" s="30" t="s">
        <v>1859</v>
      </c>
      <c r="D273" s="30" t="s">
        <v>52</v>
      </c>
      <c r="E273" s="20" t="s">
        <v>1844</v>
      </c>
      <c r="F273" s="26" t="s">
        <v>1845</v>
      </c>
      <c r="G273" s="30"/>
      <c r="H273" s="30"/>
      <c r="I273" s="29" t="e">
        <f>VLOOKUP(B273,#REF!,2,FALSE)</f>
        <v>#REF!</v>
      </c>
    </row>
    <row r="274" spans="1:9" hidden="1" x14ac:dyDescent="0.25">
      <c r="A274" s="31" t="s">
        <v>1271</v>
      </c>
      <c r="B274" s="39" t="s">
        <v>1270</v>
      </c>
      <c r="C274" s="30" t="s">
        <v>1860</v>
      </c>
      <c r="D274" s="30" t="s">
        <v>18</v>
      </c>
      <c r="E274" s="20" t="s">
        <v>1844</v>
      </c>
      <c r="F274" s="26" t="s">
        <v>1861</v>
      </c>
      <c r="G274" s="30" t="s">
        <v>1862</v>
      </c>
      <c r="H274" s="30"/>
      <c r="I274" s="29" t="e">
        <f>VLOOKUP(B274,#REF!,2,FALSE)</f>
        <v>#REF!</v>
      </c>
    </row>
    <row r="275" spans="1:9" hidden="1" x14ac:dyDescent="0.25">
      <c r="A275" s="31" t="s">
        <v>1274</v>
      </c>
      <c r="B275" s="39" t="s">
        <v>1272</v>
      </c>
      <c r="C275" s="30" t="s">
        <v>1273</v>
      </c>
      <c r="D275" s="30" t="s">
        <v>18</v>
      </c>
      <c r="E275" s="20" t="s">
        <v>1844</v>
      </c>
      <c r="F275" s="26" t="s">
        <v>1861</v>
      </c>
      <c r="G275" s="30"/>
      <c r="H275" s="30"/>
      <c r="I275" s="29" t="e">
        <f>VLOOKUP(B275,#REF!,2,FALSE)</f>
        <v>#REF!</v>
      </c>
    </row>
    <row r="276" spans="1:9" hidden="1" x14ac:dyDescent="0.25">
      <c r="A276" s="31" t="s">
        <v>1284</v>
      </c>
      <c r="B276" s="39" t="s">
        <v>1863</v>
      </c>
      <c r="C276" s="30" t="s">
        <v>1859</v>
      </c>
      <c r="D276" s="30" t="s">
        <v>18</v>
      </c>
      <c r="E276" s="20" t="s">
        <v>1844</v>
      </c>
      <c r="F276" s="26" t="s">
        <v>1861</v>
      </c>
      <c r="G276" s="30"/>
      <c r="H276" s="30"/>
      <c r="I276" s="29" t="e">
        <f>VLOOKUP(B276,#REF!,2,FALSE)</f>
        <v>#REF!</v>
      </c>
    </row>
    <row r="277" spans="1:9" hidden="1" x14ac:dyDescent="0.25">
      <c r="A277" s="31" t="s">
        <v>1304</v>
      </c>
      <c r="B277" s="39" t="s">
        <v>1303</v>
      </c>
      <c r="C277" s="30" t="s">
        <v>170</v>
      </c>
      <c r="D277" s="30" t="s">
        <v>18</v>
      </c>
      <c r="E277" s="20" t="s">
        <v>1844</v>
      </c>
      <c r="F277" s="26" t="s">
        <v>1861</v>
      </c>
      <c r="G277" s="30"/>
      <c r="H277" s="30"/>
      <c r="I277" s="29" t="e">
        <f>VLOOKUP(B277,#REF!,2,FALSE)</f>
        <v>#REF!</v>
      </c>
    </row>
    <row r="278" spans="1:9" hidden="1" x14ac:dyDescent="0.25">
      <c r="A278" s="31" t="s">
        <v>1305</v>
      </c>
      <c r="B278" s="39" t="s">
        <v>1864</v>
      </c>
      <c r="C278" s="30" t="s">
        <v>1865</v>
      </c>
      <c r="D278" s="30" t="s">
        <v>18</v>
      </c>
      <c r="E278" s="20" t="s">
        <v>1844</v>
      </c>
      <c r="F278" s="26" t="s">
        <v>1861</v>
      </c>
      <c r="G278" s="30"/>
      <c r="H278" s="30"/>
      <c r="I278" s="29" t="e">
        <f>VLOOKUP(B278,#REF!,2,FALSE)</f>
        <v>#REF!</v>
      </c>
    </row>
    <row r="279" spans="1:9" hidden="1" x14ac:dyDescent="0.25">
      <c r="A279" s="31" t="s">
        <v>9</v>
      </c>
      <c r="B279" s="9" t="s">
        <v>7</v>
      </c>
      <c r="C279" s="30" t="s">
        <v>8</v>
      </c>
      <c r="D279" s="30" t="s">
        <v>10</v>
      </c>
      <c r="E279" s="20" t="s">
        <v>1844</v>
      </c>
      <c r="F279" s="26" t="s">
        <v>1861</v>
      </c>
      <c r="G279" s="30"/>
      <c r="H279" s="30"/>
      <c r="I279" s="29" t="e">
        <f>VLOOKUP(B279,#REF!,2,FALSE)</f>
        <v>#REF!</v>
      </c>
    </row>
    <row r="280" spans="1:9" hidden="1" x14ac:dyDescent="0.25">
      <c r="A280" s="31" t="s">
        <v>1317</v>
      </c>
      <c r="B280" s="39" t="s">
        <v>1316</v>
      </c>
      <c r="C280" s="30" t="s">
        <v>667</v>
      </c>
      <c r="D280" s="30" t="s">
        <v>52</v>
      </c>
      <c r="E280" s="20" t="s">
        <v>1844</v>
      </c>
      <c r="F280" s="26" t="s">
        <v>1861</v>
      </c>
      <c r="G280" s="36"/>
      <c r="H280" s="36"/>
      <c r="I280" s="29" t="e">
        <f>VLOOKUP(B280,#REF!,2,FALSE)</f>
        <v>#REF!</v>
      </c>
    </row>
    <row r="281" spans="1:9" hidden="1" x14ac:dyDescent="0.25">
      <c r="A281" s="31" t="s">
        <v>1321</v>
      </c>
      <c r="B281" s="39" t="s">
        <v>1320</v>
      </c>
      <c r="C281" s="30" t="s">
        <v>278</v>
      </c>
      <c r="D281" s="30" t="s">
        <v>18</v>
      </c>
      <c r="E281" s="20" t="s">
        <v>1844</v>
      </c>
      <c r="F281" s="26" t="s">
        <v>1861</v>
      </c>
      <c r="G281" s="30"/>
      <c r="H281" s="30"/>
      <c r="I281" s="29" t="e">
        <f>VLOOKUP(B281,#REF!,2,FALSE)</f>
        <v>#REF!</v>
      </c>
    </row>
    <row r="282" spans="1:9" hidden="1" x14ac:dyDescent="0.25">
      <c r="A282" s="31" t="s">
        <v>17</v>
      </c>
      <c r="B282" s="39" t="s">
        <v>15</v>
      </c>
      <c r="C282" s="30" t="s">
        <v>16</v>
      </c>
      <c r="D282" s="30" t="s">
        <v>18</v>
      </c>
      <c r="E282" s="20" t="s">
        <v>1844</v>
      </c>
      <c r="F282" s="26" t="s">
        <v>1861</v>
      </c>
      <c r="G282" s="30"/>
      <c r="H282" s="30"/>
      <c r="I282" s="29" t="e">
        <f>VLOOKUP(B282,#REF!,2,FALSE)</f>
        <v>#REF!</v>
      </c>
    </row>
    <row r="283" spans="1:9" hidden="1" x14ac:dyDescent="0.25">
      <c r="A283" s="31" t="s">
        <v>1330</v>
      </c>
      <c r="B283" s="39" t="s">
        <v>1866</v>
      </c>
      <c r="C283" s="30" t="s">
        <v>1767</v>
      </c>
      <c r="D283" s="30" t="s">
        <v>18</v>
      </c>
      <c r="E283" s="20" t="s">
        <v>1844</v>
      </c>
      <c r="F283" s="26" t="s">
        <v>1861</v>
      </c>
      <c r="G283" s="30"/>
      <c r="H283" s="30"/>
      <c r="I283" s="29" t="e">
        <f>VLOOKUP(B283,#REF!,2,FALSE)</f>
        <v>#REF!</v>
      </c>
    </row>
    <row r="284" spans="1:9" hidden="1" x14ac:dyDescent="0.25">
      <c r="A284" s="33" t="s">
        <v>1867</v>
      </c>
      <c r="B284" s="38" t="s">
        <v>1350</v>
      </c>
      <c r="C284" s="32" t="s">
        <v>515</v>
      </c>
      <c r="D284" s="32" t="s">
        <v>52</v>
      </c>
      <c r="E284" s="21" t="s">
        <v>1844</v>
      </c>
      <c r="F284" s="25" t="s">
        <v>1861</v>
      </c>
      <c r="G284" s="32"/>
      <c r="H284" s="32"/>
      <c r="I284" s="29" t="e">
        <f>VLOOKUP(B284,#REF!,2,FALSE)</f>
        <v>#REF!</v>
      </c>
    </row>
    <row r="285" spans="1:9" hidden="1" x14ac:dyDescent="0.25">
      <c r="A285" s="31" t="s">
        <v>545</v>
      </c>
      <c r="B285" s="39" t="s">
        <v>1868</v>
      </c>
      <c r="C285" s="30" t="s">
        <v>1706</v>
      </c>
      <c r="D285" s="30" t="s">
        <v>18</v>
      </c>
      <c r="E285" s="20" t="s">
        <v>1844</v>
      </c>
      <c r="F285" s="26" t="s">
        <v>1861</v>
      </c>
      <c r="G285" s="30"/>
      <c r="H285" s="30"/>
      <c r="I285" s="29" t="e">
        <f>VLOOKUP(B285,#REF!,2,FALSE)</f>
        <v>#REF!</v>
      </c>
    </row>
    <row r="286" spans="1:9" hidden="1" x14ac:dyDescent="0.25">
      <c r="A286" s="31" t="s">
        <v>1367</v>
      </c>
      <c r="B286" s="39" t="s">
        <v>1366</v>
      </c>
      <c r="C286" s="30" t="s">
        <v>445</v>
      </c>
      <c r="D286" s="30" t="s">
        <v>18</v>
      </c>
      <c r="E286" s="20" t="s">
        <v>1844</v>
      </c>
      <c r="F286" s="26" t="s">
        <v>1861</v>
      </c>
      <c r="G286" s="30"/>
      <c r="H286" s="30"/>
      <c r="I286" s="29" t="e">
        <f>VLOOKUP(B286,#REF!,2,FALSE)</f>
        <v>#REF!</v>
      </c>
    </row>
    <row r="287" spans="1:9" hidden="1" x14ac:dyDescent="0.25">
      <c r="A287" s="31" t="s">
        <v>1269</v>
      </c>
      <c r="B287" s="39" t="s">
        <v>1268</v>
      </c>
      <c r="C287" s="30" t="s">
        <v>67</v>
      </c>
      <c r="D287" s="30" t="s">
        <v>52</v>
      </c>
      <c r="E287" s="20" t="s">
        <v>1844</v>
      </c>
      <c r="F287" s="26" t="s">
        <v>1869</v>
      </c>
      <c r="G287" s="30"/>
      <c r="H287" s="30"/>
      <c r="I287" s="29" t="e">
        <f>VLOOKUP(B287,#REF!,2,FALSE)</f>
        <v>#REF!</v>
      </c>
    </row>
    <row r="288" spans="1:9" hidden="1" x14ac:dyDescent="0.25">
      <c r="A288" s="31" t="s">
        <v>325</v>
      </c>
      <c r="B288" s="39" t="s">
        <v>323</v>
      </c>
      <c r="C288" s="30" t="s">
        <v>324</v>
      </c>
      <c r="D288" s="30" t="s">
        <v>52</v>
      </c>
      <c r="E288" s="20" t="s">
        <v>1844</v>
      </c>
      <c r="F288" s="26" t="s">
        <v>1869</v>
      </c>
      <c r="G288" s="30"/>
      <c r="H288" s="30"/>
      <c r="I288" s="29" t="e">
        <f>VLOOKUP(B288,#REF!,2,FALSE)</f>
        <v>#REF!</v>
      </c>
    </row>
    <row r="289" spans="1:80" hidden="1" x14ac:dyDescent="0.25">
      <c r="A289" s="31" t="s">
        <v>358</v>
      </c>
      <c r="B289" s="39" t="s">
        <v>1870</v>
      </c>
      <c r="C289" s="30" t="s">
        <v>1871</v>
      </c>
      <c r="D289" s="30" t="s">
        <v>14</v>
      </c>
      <c r="E289" s="20" t="s">
        <v>1844</v>
      </c>
      <c r="F289" s="26" t="s">
        <v>1869</v>
      </c>
      <c r="G289" s="30"/>
      <c r="H289" s="30"/>
      <c r="I289" s="29" t="e">
        <f>VLOOKUP(B289,#REF!,2,FALSE)</f>
        <v>#REF!</v>
      </c>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row>
    <row r="290" spans="1:80" x14ac:dyDescent="0.25">
      <c r="A290" s="33" t="s">
        <v>1872</v>
      </c>
      <c r="B290" s="38" t="s">
        <v>1873</v>
      </c>
      <c r="C290" s="32" t="s">
        <v>73</v>
      </c>
      <c r="D290" s="32" t="s">
        <v>1296</v>
      </c>
      <c r="E290" s="21" t="s">
        <v>1844</v>
      </c>
      <c r="F290" s="25" t="s">
        <v>1869</v>
      </c>
      <c r="G290" s="32" t="s">
        <v>173</v>
      </c>
      <c r="H290" s="32"/>
      <c r="I290" s="29" t="e">
        <f>VLOOKUP(B290,#REF!,2,FALSE)</f>
        <v>#REF!</v>
      </c>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row>
    <row r="291" spans="1:80" hidden="1" x14ac:dyDescent="0.25">
      <c r="A291" s="31" t="s">
        <v>365</v>
      </c>
      <c r="B291" s="39" t="s">
        <v>1874</v>
      </c>
      <c r="C291" s="30" t="s">
        <v>1875</v>
      </c>
      <c r="D291" s="30" t="s">
        <v>14</v>
      </c>
      <c r="E291" s="20" t="s">
        <v>1844</v>
      </c>
      <c r="F291" s="26" t="s">
        <v>1869</v>
      </c>
      <c r="G291" s="30"/>
      <c r="H291" s="30"/>
      <c r="I291" s="29" t="e">
        <f>VLOOKUP(B291,#REF!,2,FALSE)</f>
        <v>#REF!</v>
      </c>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row>
    <row r="292" spans="1:80" x14ac:dyDescent="0.25">
      <c r="A292" s="31" t="s">
        <v>1876</v>
      </c>
      <c r="B292" s="39" t="s">
        <v>1877</v>
      </c>
      <c r="C292" s="30" t="s">
        <v>67</v>
      </c>
      <c r="D292" s="30" t="s">
        <v>14</v>
      </c>
      <c r="E292" s="20" t="s">
        <v>1844</v>
      </c>
      <c r="F292" s="26" t="s">
        <v>1869</v>
      </c>
      <c r="G292" s="30"/>
      <c r="H292" s="30"/>
      <c r="I292" s="29" t="e">
        <f>VLOOKUP(B292,#REF!,2,FALSE)</f>
        <v>#REF!</v>
      </c>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row>
    <row r="293" spans="1:80" hidden="1" x14ac:dyDescent="0.25">
      <c r="A293" s="31" t="s">
        <v>1295</v>
      </c>
      <c r="B293" s="39" t="s">
        <v>1294</v>
      </c>
      <c r="C293" s="30" t="s">
        <v>355</v>
      </c>
      <c r="D293" s="30" t="s">
        <v>1296</v>
      </c>
      <c r="E293" s="20" t="s">
        <v>1844</v>
      </c>
      <c r="F293" s="26" t="s">
        <v>1869</v>
      </c>
      <c r="G293" s="30" t="s">
        <v>1694</v>
      </c>
      <c r="H293" s="30"/>
      <c r="I293" s="29" t="e">
        <f>VLOOKUP(B293,#REF!,2,FALSE)</f>
        <v>#REF!</v>
      </c>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row>
    <row r="294" spans="1:80" hidden="1" x14ac:dyDescent="0.25">
      <c r="A294" s="31" t="s">
        <v>382</v>
      </c>
      <c r="B294" s="39" t="s">
        <v>349</v>
      </c>
      <c r="C294" s="30" t="s">
        <v>381</v>
      </c>
      <c r="D294" s="30" t="s">
        <v>14</v>
      </c>
      <c r="E294" s="20" t="s">
        <v>1844</v>
      </c>
      <c r="F294" s="26" t="s">
        <v>1869</v>
      </c>
      <c r="G294" s="30"/>
      <c r="H294" s="30"/>
      <c r="I294" s="29" t="e">
        <f>VLOOKUP(B294,#REF!,2,FALSE)</f>
        <v>#REF!</v>
      </c>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row>
    <row r="295" spans="1:80" hidden="1" x14ac:dyDescent="0.25">
      <c r="A295" s="31" t="s">
        <v>129</v>
      </c>
      <c r="B295" s="39" t="s">
        <v>128</v>
      </c>
      <c r="C295" s="30" t="s">
        <v>43</v>
      </c>
      <c r="D295" s="30" t="s">
        <v>14</v>
      </c>
      <c r="E295" s="20" t="s">
        <v>1844</v>
      </c>
      <c r="F295" s="26" t="s">
        <v>1869</v>
      </c>
      <c r="G295" s="30" t="s">
        <v>689</v>
      </c>
      <c r="H295" s="30"/>
      <c r="I295" s="29" t="e">
        <f>VLOOKUP(B295,#REF!,2,FALSE)</f>
        <v>#REF!</v>
      </c>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row>
    <row r="296" spans="1:80" x14ac:dyDescent="0.25">
      <c r="A296" s="31" t="s">
        <v>1878</v>
      </c>
      <c r="B296" s="39" t="s">
        <v>1879</v>
      </c>
      <c r="C296" s="30" t="s">
        <v>1880</v>
      </c>
      <c r="D296" s="30" t="s">
        <v>10</v>
      </c>
      <c r="E296" s="20" t="s">
        <v>1844</v>
      </c>
      <c r="F296" s="26" t="s">
        <v>1869</v>
      </c>
      <c r="G296" s="30"/>
      <c r="H296" s="30"/>
      <c r="I296" s="29" t="e">
        <f>VLOOKUP(B296,#REF!,2,FALSE)</f>
        <v>#REF!</v>
      </c>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row>
    <row r="297" spans="1:80" x14ac:dyDescent="0.25">
      <c r="A297" s="33" t="s">
        <v>1881</v>
      </c>
      <c r="B297" s="38" t="s">
        <v>1882</v>
      </c>
      <c r="C297" s="32" t="s">
        <v>692</v>
      </c>
      <c r="D297" s="32" t="s">
        <v>52</v>
      </c>
      <c r="E297" s="21" t="s">
        <v>1844</v>
      </c>
      <c r="F297" s="25" t="s">
        <v>1869</v>
      </c>
      <c r="G297" s="32"/>
      <c r="H297" s="32"/>
      <c r="I297" s="29" t="e">
        <f>VLOOKUP(B297,#REF!,2,FALSE)</f>
        <v>#REF!</v>
      </c>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row>
    <row r="298" spans="1:80" hidden="1" x14ac:dyDescent="0.25">
      <c r="A298" s="31" t="s">
        <v>1344</v>
      </c>
      <c r="B298" s="39" t="s">
        <v>1343</v>
      </c>
      <c r="C298" s="30" t="s">
        <v>163</v>
      </c>
      <c r="D298" s="30" t="s">
        <v>18</v>
      </c>
      <c r="E298" s="20" t="s">
        <v>1844</v>
      </c>
      <c r="F298" s="26" t="s">
        <v>1869</v>
      </c>
      <c r="G298" s="30"/>
      <c r="H298" s="30"/>
      <c r="I298" s="29" t="e">
        <f>VLOOKUP(B298,#REF!,2,FALSE)</f>
        <v>#REF!</v>
      </c>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row>
    <row r="299" spans="1:80" hidden="1" x14ac:dyDescent="0.25">
      <c r="A299" s="31" t="s">
        <v>489</v>
      </c>
      <c r="B299" s="39" t="s">
        <v>487</v>
      </c>
      <c r="C299" s="30" t="s">
        <v>1524</v>
      </c>
      <c r="D299" s="30" t="s">
        <v>14</v>
      </c>
      <c r="E299" s="20" t="s">
        <v>1844</v>
      </c>
      <c r="F299" s="26" t="s">
        <v>1869</v>
      </c>
      <c r="G299" s="30" t="s">
        <v>215</v>
      </c>
      <c r="H299" s="30"/>
      <c r="I299" s="29" t="e">
        <f>VLOOKUP(B299,#REF!,2,FALSE)</f>
        <v>#REF!</v>
      </c>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row>
    <row r="300" spans="1:80" hidden="1" x14ac:dyDescent="0.25">
      <c r="A300" s="31" t="s">
        <v>1351</v>
      </c>
      <c r="B300" s="39" t="s">
        <v>1350</v>
      </c>
      <c r="C300" s="30" t="s">
        <v>27</v>
      </c>
      <c r="D300" s="30" t="s">
        <v>1296</v>
      </c>
      <c r="E300" s="20" t="s">
        <v>1844</v>
      </c>
      <c r="F300" s="26" t="s">
        <v>1869</v>
      </c>
      <c r="G300" s="30"/>
      <c r="H300" s="30"/>
      <c r="I300" s="29" t="e">
        <f>VLOOKUP(B300,#REF!,2,FALSE)</f>
        <v>#REF!</v>
      </c>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row>
    <row r="301" spans="1:80" x14ac:dyDescent="0.25">
      <c r="A301" s="31" t="s">
        <v>1883</v>
      </c>
      <c r="B301" s="39" t="s">
        <v>1884</v>
      </c>
      <c r="C301" s="30" t="s">
        <v>1885</v>
      </c>
      <c r="D301" s="30" t="s">
        <v>289</v>
      </c>
      <c r="E301" s="20" t="s">
        <v>1844</v>
      </c>
      <c r="F301" s="26" t="s">
        <v>1869</v>
      </c>
      <c r="G301" s="30"/>
      <c r="H301" s="30"/>
      <c r="I301" s="29" t="e">
        <f>VLOOKUP(B301,#REF!,2,FALSE)</f>
        <v>#REF!</v>
      </c>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row>
    <row r="302" spans="1:80" hidden="1" x14ac:dyDescent="0.25">
      <c r="A302" s="31" t="s">
        <v>530</v>
      </c>
      <c r="B302" s="39" t="s">
        <v>1886</v>
      </c>
      <c r="C302" s="30" t="s">
        <v>1794</v>
      </c>
      <c r="D302" s="30" t="s">
        <v>14</v>
      </c>
      <c r="E302" s="20" t="s">
        <v>1844</v>
      </c>
      <c r="F302" s="26" t="s">
        <v>1869</v>
      </c>
      <c r="G302" s="30"/>
      <c r="H302" s="30"/>
      <c r="I302" s="29" t="e">
        <f>VLOOKUP(B302,#REF!,2,FALSE)</f>
        <v>#REF!</v>
      </c>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row>
    <row r="303" spans="1:80" hidden="1" x14ac:dyDescent="0.25">
      <c r="A303" s="31" t="s">
        <v>28</v>
      </c>
      <c r="B303" s="39" t="s">
        <v>1887</v>
      </c>
      <c r="C303" s="30" t="s">
        <v>1800</v>
      </c>
      <c r="D303" s="30" t="s">
        <v>14</v>
      </c>
      <c r="E303" s="20" t="s">
        <v>1844</v>
      </c>
      <c r="F303" s="26" t="s">
        <v>1869</v>
      </c>
      <c r="G303" s="30"/>
      <c r="H303" s="30"/>
      <c r="I303" s="29" t="e">
        <f>VLOOKUP(B303,#REF!,2,FALSE)</f>
        <v>#REF!</v>
      </c>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row>
    <row r="304" spans="1:80" hidden="1" x14ac:dyDescent="0.25">
      <c r="A304" s="31" t="s">
        <v>566</v>
      </c>
      <c r="B304" s="39" t="s">
        <v>1888</v>
      </c>
      <c r="C304" s="30" t="s">
        <v>1720</v>
      </c>
      <c r="D304" s="30" t="s">
        <v>14</v>
      </c>
      <c r="E304" s="20" t="s">
        <v>1844</v>
      </c>
      <c r="F304" s="26" t="s">
        <v>1869</v>
      </c>
      <c r="G304" s="30"/>
      <c r="H304" s="30"/>
      <c r="I304" s="29" t="e">
        <f>VLOOKUP(B304,#REF!,2,FALSE)</f>
        <v>#REF!</v>
      </c>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row>
    <row r="305" spans="1:80" x14ac:dyDescent="0.25">
      <c r="A305" s="31" t="s">
        <v>1889</v>
      </c>
      <c r="B305" s="39" t="s">
        <v>1890</v>
      </c>
      <c r="C305" s="30" t="s">
        <v>1891</v>
      </c>
      <c r="D305" s="30" t="s">
        <v>52</v>
      </c>
      <c r="E305" s="20" t="s">
        <v>1844</v>
      </c>
      <c r="F305" s="26" t="s">
        <v>1892</v>
      </c>
      <c r="G305" s="30"/>
      <c r="H305" s="30"/>
      <c r="I305" s="29" t="e">
        <f>VLOOKUP(B305,#REF!,2,FALSE)</f>
        <v>#REF!</v>
      </c>
      <c r="J305" s="28"/>
      <c r="K305" s="28"/>
      <c r="L305" s="28"/>
      <c r="M305" s="28"/>
      <c r="N305" s="28"/>
      <c r="O305" s="28"/>
      <c r="P305" s="28"/>
      <c r="Q305" s="28"/>
      <c r="R305" s="28"/>
      <c r="S305" s="28"/>
      <c r="T305" s="28"/>
      <c r="U305" s="28"/>
      <c r="V305" s="28"/>
      <c r="W305" s="28"/>
      <c r="X305" s="28"/>
      <c r="Y305" s="28"/>
      <c r="Z305" s="28"/>
      <c r="AA305" s="28"/>
      <c r="AB305" s="28"/>
      <c r="AC305" s="28"/>
      <c r="AD305" s="28"/>
      <c r="AE305" s="28"/>
      <c r="AF305" s="28"/>
      <c r="AG305" s="28"/>
      <c r="AH305" s="28"/>
      <c r="AI305" s="28"/>
      <c r="AJ305" s="28"/>
      <c r="AK305" s="28"/>
      <c r="AL305" s="28"/>
      <c r="AM305" s="28"/>
      <c r="AN305" s="28"/>
      <c r="AO305" s="28"/>
      <c r="AP305" s="28"/>
      <c r="AQ305" s="28"/>
      <c r="AR305" s="28"/>
      <c r="AS305" s="28"/>
      <c r="AT305" s="28"/>
      <c r="AU305" s="28"/>
      <c r="AV305" s="28"/>
      <c r="AW305" s="28"/>
      <c r="AX305" s="28"/>
      <c r="AY305" s="28"/>
      <c r="AZ305" s="28"/>
      <c r="BA305" s="28"/>
      <c r="BB305" s="28"/>
      <c r="BC305" s="28"/>
      <c r="BD305" s="28"/>
      <c r="BE305" s="28"/>
      <c r="BF305" s="28"/>
      <c r="BG305" s="28"/>
      <c r="BH305" s="28"/>
      <c r="BI305" s="28"/>
      <c r="BJ305" s="28"/>
      <c r="BK305" s="28"/>
      <c r="BL305" s="28"/>
      <c r="BM305" s="28"/>
      <c r="BN305" s="28"/>
      <c r="BO305" s="28"/>
      <c r="BP305" s="28"/>
      <c r="BQ305" s="28"/>
      <c r="BR305" s="28"/>
      <c r="BS305" s="28"/>
      <c r="BT305" s="28"/>
      <c r="BU305" s="28"/>
      <c r="BV305" s="28"/>
      <c r="BW305" s="28"/>
      <c r="BX305" s="28"/>
      <c r="BY305" s="28"/>
      <c r="BZ305" s="28"/>
      <c r="CA305" s="28"/>
      <c r="CB305" s="28"/>
    </row>
    <row r="306" spans="1:80" hidden="1" x14ac:dyDescent="0.25">
      <c r="A306" s="31" t="s">
        <v>1415</v>
      </c>
      <c r="B306" s="39" t="s">
        <v>72</v>
      </c>
      <c r="C306" s="30" t="s">
        <v>292</v>
      </c>
      <c r="D306" s="30" t="s">
        <v>52</v>
      </c>
      <c r="E306" s="20" t="s">
        <v>1844</v>
      </c>
      <c r="F306" s="26" t="s">
        <v>1892</v>
      </c>
      <c r="G306" s="30"/>
      <c r="H306" s="30"/>
      <c r="I306" s="29" t="e">
        <f>VLOOKUP(B306,#REF!,2,FALSE)</f>
        <v>#REF!</v>
      </c>
      <c r="J306" s="28"/>
      <c r="K306" s="28"/>
      <c r="L306" s="28"/>
      <c r="M306" s="28"/>
      <c r="N306" s="28"/>
      <c r="O306" s="28"/>
      <c r="P306" s="28"/>
      <c r="Q306" s="28"/>
      <c r="R306" s="28"/>
      <c r="S306" s="28"/>
      <c r="T306" s="28"/>
      <c r="U306" s="28"/>
      <c r="V306" s="28"/>
      <c r="W306" s="28"/>
      <c r="X306" s="28"/>
      <c r="Y306" s="28"/>
      <c r="Z306" s="28"/>
      <c r="AA306" s="28"/>
      <c r="AB306" s="28"/>
      <c r="AC306" s="28"/>
      <c r="AD306" s="28"/>
      <c r="AE306" s="28"/>
      <c r="AF306" s="28"/>
      <c r="AG306" s="28"/>
      <c r="AH306" s="28"/>
      <c r="AI306" s="28"/>
      <c r="AJ306" s="28"/>
      <c r="AK306" s="28"/>
      <c r="AL306" s="28"/>
      <c r="AM306" s="28"/>
      <c r="AN306" s="28"/>
      <c r="AO306" s="28"/>
      <c r="AP306" s="28"/>
      <c r="AQ306" s="28"/>
      <c r="AR306" s="28"/>
      <c r="AS306" s="28"/>
      <c r="AT306" s="28"/>
      <c r="AU306" s="28"/>
      <c r="AV306" s="28"/>
      <c r="AW306" s="28"/>
      <c r="AX306" s="28"/>
      <c r="AY306" s="28"/>
      <c r="AZ306" s="28"/>
      <c r="BA306" s="28"/>
      <c r="BB306" s="28"/>
      <c r="BC306" s="28"/>
      <c r="BD306" s="28"/>
      <c r="BE306" s="28"/>
      <c r="BF306" s="28"/>
      <c r="BG306" s="28"/>
      <c r="BH306" s="28"/>
      <c r="BI306" s="28"/>
      <c r="BJ306" s="28"/>
      <c r="BK306" s="28"/>
      <c r="BL306" s="28"/>
      <c r="BM306" s="28"/>
      <c r="BN306" s="28"/>
      <c r="BO306" s="28"/>
      <c r="BP306" s="28"/>
      <c r="BQ306" s="28"/>
      <c r="BR306" s="28"/>
      <c r="BS306" s="28"/>
      <c r="BT306" s="28"/>
      <c r="BU306" s="28"/>
      <c r="BV306" s="28"/>
      <c r="BW306" s="28"/>
      <c r="BX306" s="28"/>
      <c r="BY306" s="28"/>
      <c r="BZ306" s="28"/>
      <c r="CA306" s="28"/>
      <c r="CB306" s="28"/>
    </row>
    <row r="307" spans="1:80" hidden="1" x14ac:dyDescent="0.25">
      <c r="A307" s="31" t="s">
        <v>1288</v>
      </c>
      <c r="B307" s="39" t="s">
        <v>1287</v>
      </c>
      <c r="C307" s="30" t="s">
        <v>33</v>
      </c>
      <c r="D307" s="30" t="s">
        <v>52</v>
      </c>
      <c r="E307" s="20" t="s">
        <v>1844</v>
      </c>
      <c r="F307" s="26" t="s">
        <v>1892</v>
      </c>
      <c r="G307" s="30"/>
      <c r="H307" s="30"/>
      <c r="I307" s="29" t="e">
        <f>VLOOKUP(B307,#REF!,2,FALSE)</f>
        <v>#REF!</v>
      </c>
      <c r="J307" s="28"/>
      <c r="K307" s="28"/>
      <c r="L307" s="28"/>
      <c r="M307" s="28"/>
      <c r="N307" s="28"/>
      <c r="O307" s="28"/>
      <c r="P307" s="28"/>
      <c r="Q307" s="28"/>
      <c r="R307" s="28"/>
      <c r="S307" s="28"/>
      <c r="T307" s="28"/>
      <c r="U307" s="28"/>
      <c r="V307" s="28"/>
      <c r="W307" s="28"/>
      <c r="X307" s="28"/>
      <c r="Y307" s="28"/>
      <c r="Z307" s="28"/>
      <c r="AA307" s="28"/>
      <c r="AB307" s="28"/>
      <c r="AC307" s="28"/>
      <c r="AD307" s="28"/>
      <c r="AE307" s="28"/>
      <c r="AF307" s="28"/>
      <c r="AG307" s="28"/>
      <c r="AH307" s="28"/>
      <c r="AI307" s="28"/>
      <c r="AJ307" s="28"/>
      <c r="AK307" s="28"/>
      <c r="AL307" s="28"/>
      <c r="AM307" s="28"/>
      <c r="AN307" s="28"/>
      <c r="AO307" s="28"/>
      <c r="AP307" s="28"/>
      <c r="AQ307" s="28"/>
      <c r="AR307" s="28"/>
      <c r="AS307" s="28"/>
      <c r="AT307" s="28"/>
      <c r="AU307" s="28"/>
      <c r="AV307" s="28"/>
      <c r="AW307" s="28"/>
      <c r="AX307" s="28"/>
      <c r="AY307" s="28"/>
      <c r="AZ307" s="28"/>
      <c r="BA307" s="28"/>
      <c r="BB307" s="28"/>
      <c r="BC307" s="28"/>
      <c r="BD307" s="28"/>
      <c r="BE307" s="28"/>
      <c r="BF307" s="28"/>
      <c r="BG307" s="28"/>
      <c r="BH307" s="28"/>
      <c r="BI307" s="28"/>
      <c r="BJ307" s="28"/>
      <c r="BK307" s="28"/>
      <c r="BL307" s="28"/>
      <c r="BM307" s="28"/>
      <c r="BN307" s="28"/>
      <c r="BO307" s="28"/>
      <c r="BP307" s="28"/>
      <c r="BQ307" s="28"/>
      <c r="BR307" s="28"/>
      <c r="BS307" s="28"/>
      <c r="BT307" s="28"/>
      <c r="BU307" s="28"/>
      <c r="BV307" s="28"/>
      <c r="BW307" s="28"/>
      <c r="BX307" s="28"/>
      <c r="BY307" s="28"/>
      <c r="BZ307" s="28"/>
      <c r="CA307" s="28"/>
      <c r="CB307" s="28"/>
    </row>
    <row r="308" spans="1:80" x14ac:dyDescent="0.25">
      <c r="A308" s="31" t="s">
        <v>1893</v>
      </c>
      <c r="B308" s="39" t="s">
        <v>1894</v>
      </c>
      <c r="C308" s="30" t="s">
        <v>163</v>
      </c>
      <c r="D308" s="30" t="s">
        <v>52</v>
      </c>
      <c r="E308" s="20" t="s">
        <v>1844</v>
      </c>
      <c r="F308" s="26" t="s">
        <v>1892</v>
      </c>
      <c r="G308" s="30" t="s">
        <v>977</v>
      </c>
      <c r="H308" s="30"/>
      <c r="I308" s="29" t="e">
        <f>VLOOKUP(B308,#REF!,2,FALSE)</f>
        <v>#REF!</v>
      </c>
      <c r="J308" s="28"/>
      <c r="K308" s="28"/>
      <c r="L308" s="28"/>
      <c r="M308" s="28"/>
      <c r="N308" s="28"/>
      <c r="O308" s="28"/>
      <c r="P308" s="28"/>
      <c r="Q308" s="28"/>
      <c r="R308" s="28"/>
      <c r="S308" s="28"/>
      <c r="T308" s="28"/>
      <c r="U308" s="28"/>
      <c r="V308" s="28"/>
      <c r="W308" s="28"/>
      <c r="X308" s="28"/>
      <c r="Y308" s="28"/>
      <c r="Z308" s="28"/>
      <c r="AA308" s="28"/>
      <c r="AB308" s="28"/>
      <c r="AC308" s="28"/>
      <c r="AD308" s="28"/>
      <c r="AE308" s="28"/>
      <c r="AF308" s="28"/>
      <c r="AG308" s="28"/>
      <c r="AH308" s="28"/>
      <c r="AI308" s="28"/>
      <c r="AJ308" s="28"/>
      <c r="AK308" s="28"/>
      <c r="AL308" s="28"/>
      <c r="AM308" s="28"/>
      <c r="AN308" s="28"/>
      <c r="AO308" s="28"/>
      <c r="AP308" s="28"/>
      <c r="AQ308" s="28"/>
      <c r="AR308" s="28"/>
      <c r="AS308" s="28"/>
      <c r="AT308" s="28"/>
      <c r="AU308" s="28"/>
      <c r="AV308" s="28"/>
      <c r="AW308" s="28"/>
      <c r="AX308" s="28"/>
      <c r="AY308" s="28"/>
      <c r="AZ308" s="28"/>
      <c r="BA308" s="28"/>
      <c r="BB308" s="28"/>
      <c r="BC308" s="28"/>
      <c r="BD308" s="28"/>
      <c r="BE308" s="28"/>
      <c r="BF308" s="28"/>
      <c r="BG308" s="28"/>
      <c r="BH308" s="28"/>
      <c r="BI308" s="28"/>
      <c r="BJ308" s="28"/>
      <c r="BK308" s="28"/>
      <c r="BL308" s="28"/>
      <c r="BM308" s="28"/>
      <c r="BN308" s="28"/>
      <c r="BO308" s="28"/>
      <c r="BP308" s="28"/>
      <c r="BQ308" s="28"/>
      <c r="BR308" s="28"/>
      <c r="BS308" s="28"/>
      <c r="BT308" s="28"/>
      <c r="BU308" s="28"/>
      <c r="BV308" s="28"/>
      <c r="BW308" s="28"/>
      <c r="BX308" s="28"/>
      <c r="BY308" s="28"/>
      <c r="BZ308" s="28"/>
      <c r="CA308" s="28"/>
      <c r="CB308" s="28"/>
    </row>
    <row r="309" spans="1:80" hidden="1" x14ac:dyDescent="0.25">
      <c r="A309" s="31" t="s">
        <v>1176</v>
      </c>
      <c r="B309" s="39" t="s">
        <v>881</v>
      </c>
      <c r="C309" s="30" t="s">
        <v>148</v>
      </c>
      <c r="D309" s="30" t="s">
        <v>289</v>
      </c>
      <c r="E309" s="20" t="s">
        <v>1844</v>
      </c>
      <c r="F309" s="26" t="s">
        <v>1892</v>
      </c>
      <c r="G309" s="30"/>
      <c r="H309" s="30"/>
      <c r="I309" s="29" t="e">
        <f>VLOOKUP(B309,#REF!,2,FALSE)</f>
        <v>#REF!</v>
      </c>
      <c r="J309" s="28"/>
      <c r="K309" s="28"/>
      <c r="L309" s="28"/>
      <c r="M309" s="28"/>
      <c r="N309" s="28"/>
      <c r="O309" s="28"/>
      <c r="P309" s="28"/>
      <c r="Q309" s="28"/>
      <c r="R309" s="28"/>
      <c r="S309" s="28"/>
      <c r="T309" s="28"/>
      <c r="U309" s="28"/>
      <c r="V309" s="28"/>
      <c r="W309" s="28"/>
      <c r="X309" s="28"/>
      <c r="Y309" s="28"/>
      <c r="Z309" s="28"/>
      <c r="AA309" s="28"/>
      <c r="AB309" s="28"/>
      <c r="AC309" s="28"/>
      <c r="AD309" s="28"/>
      <c r="AE309" s="28"/>
      <c r="AF309" s="28"/>
      <c r="AG309" s="28"/>
      <c r="AH309" s="28"/>
      <c r="AI309" s="28"/>
      <c r="AJ309" s="28"/>
      <c r="AK309" s="28"/>
      <c r="AL309" s="28"/>
      <c r="AM309" s="28"/>
      <c r="AN309" s="28"/>
      <c r="AO309" s="28"/>
      <c r="AP309" s="28"/>
      <c r="AQ309" s="28"/>
      <c r="AR309" s="28"/>
      <c r="AS309" s="28"/>
      <c r="AT309" s="28"/>
      <c r="AU309" s="28"/>
      <c r="AV309" s="28"/>
      <c r="AW309" s="28"/>
      <c r="AX309" s="28"/>
      <c r="AY309" s="28"/>
      <c r="AZ309" s="28"/>
      <c r="BA309" s="28"/>
      <c r="BB309" s="28"/>
      <c r="BC309" s="28"/>
      <c r="BD309" s="28"/>
      <c r="BE309" s="28"/>
      <c r="BF309" s="28"/>
      <c r="BG309" s="28"/>
      <c r="BH309" s="28"/>
      <c r="BI309" s="28"/>
      <c r="BJ309" s="28"/>
      <c r="BK309" s="28"/>
      <c r="BL309" s="28"/>
      <c r="BM309" s="28"/>
      <c r="BN309" s="28"/>
      <c r="BO309" s="28"/>
      <c r="BP309" s="28"/>
      <c r="BQ309" s="28"/>
      <c r="BR309" s="28"/>
      <c r="BS309" s="28"/>
      <c r="BT309" s="28"/>
      <c r="BU309" s="28"/>
      <c r="BV309" s="28"/>
      <c r="BW309" s="28"/>
      <c r="BX309" s="28"/>
      <c r="BY309" s="28"/>
      <c r="BZ309" s="28"/>
      <c r="CA309" s="28"/>
      <c r="CB309" s="28"/>
    </row>
    <row r="310" spans="1:80" hidden="1" x14ac:dyDescent="0.25">
      <c r="A310" s="33" t="s">
        <v>882</v>
      </c>
      <c r="B310" s="38" t="s">
        <v>881</v>
      </c>
      <c r="C310" s="32" t="s">
        <v>67</v>
      </c>
      <c r="D310" s="32" t="s">
        <v>52</v>
      </c>
      <c r="E310" s="21" t="s">
        <v>1844</v>
      </c>
      <c r="F310" s="25" t="s">
        <v>1892</v>
      </c>
      <c r="G310" s="32"/>
      <c r="H310" s="32"/>
      <c r="I310" s="29" t="e">
        <f>VLOOKUP(B310,#REF!,2,FALSE)</f>
        <v>#REF!</v>
      </c>
      <c r="J310" s="28"/>
      <c r="K310" s="28"/>
      <c r="L310" s="28"/>
      <c r="M310" s="28"/>
      <c r="N310" s="28"/>
      <c r="O310" s="28"/>
      <c r="P310" s="28"/>
      <c r="Q310" s="28"/>
      <c r="R310" s="28"/>
      <c r="S310" s="28"/>
      <c r="T310" s="28"/>
      <c r="U310" s="28"/>
      <c r="V310" s="28"/>
      <c r="W310" s="28"/>
      <c r="X310" s="28"/>
      <c r="Y310" s="28"/>
      <c r="Z310" s="28"/>
      <c r="AA310" s="28"/>
      <c r="AB310" s="28"/>
      <c r="AC310" s="28"/>
      <c r="AD310" s="28"/>
      <c r="AE310" s="28"/>
      <c r="AF310" s="28"/>
      <c r="AG310" s="28"/>
      <c r="AH310" s="28"/>
      <c r="AI310" s="28"/>
      <c r="AJ310" s="28"/>
      <c r="AK310" s="28"/>
      <c r="AL310" s="28"/>
      <c r="AM310" s="28"/>
      <c r="AN310" s="28"/>
      <c r="AO310" s="28"/>
      <c r="AP310" s="28"/>
      <c r="AQ310" s="28"/>
      <c r="AR310" s="28"/>
      <c r="AS310" s="28"/>
      <c r="AT310" s="28"/>
      <c r="AU310" s="28"/>
      <c r="AV310" s="28"/>
      <c r="AW310" s="28"/>
      <c r="AX310" s="28"/>
      <c r="AY310" s="28"/>
      <c r="AZ310" s="28"/>
      <c r="BA310" s="28"/>
      <c r="BB310" s="28"/>
      <c r="BC310" s="28"/>
      <c r="BD310" s="28"/>
      <c r="BE310" s="28"/>
      <c r="BF310" s="28"/>
      <c r="BG310" s="28"/>
      <c r="BH310" s="28"/>
      <c r="BI310" s="28"/>
      <c r="BJ310" s="28"/>
      <c r="BK310" s="28"/>
      <c r="BL310" s="28"/>
      <c r="BM310" s="28"/>
      <c r="BN310" s="28"/>
      <c r="BO310" s="28"/>
      <c r="BP310" s="28"/>
      <c r="BQ310" s="28"/>
      <c r="BR310" s="28"/>
      <c r="BS310" s="28"/>
      <c r="BT310" s="28"/>
      <c r="BU310" s="28"/>
      <c r="BV310" s="28"/>
      <c r="BW310" s="28"/>
      <c r="BX310" s="28"/>
      <c r="BY310" s="28"/>
      <c r="BZ310" s="28"/>
      <c r="CA310" s="28"/>
      <c r="CB310" s="28"/>
    </row>
    <row r="311" spans="1:80" hidden="1" x14ac:dyDescent="0.25">
      <c r="A311" s="31" t="s">
        <v>1617</v>
      </c>
      <c r="B311" s="39" t="s">
        <v>1616</v>
      </c>
      <c r="C311" s="30" t="s">
        <v>445</v>
      </c>
      <c r="D311" s="30" t="s">
        <v>52</v>
      </c>
      <c r="E311" s="20" t="s">
        <v>1844</v>
      </c>
      <c r="F311" s="26" t="s">
        <v>1892</v>
      </c>
      <c r="G311" s="30"/>
      <c r="H311" s="30"/>
      <c r="I311" s="29" t="e">
        <f>VLOOKUP(B311,#REF!,2,FALSE)</f>
        <v>#REF!</v>
      </c>
      <c r="J311" s="28"/>
      <c r="K311" s="28"/>
      <c r="L311" s="28"/>
      <c r="M311" s="28"/>
      <c r="N311" s="28"/>
      <c r="O311" s="28"/>
      <c r="P311" s="28"/>
      <c r="Q311" s="28"/>
      <c r="R311" s="28"/>
      <c r="S311" s="28"/>
      <c r="T311" s="28"/>
      <c r="U311" s="28"/>
      <c r="V311" s="28"/>
      <c r="W311" s="28"/>
      <c r="X311" s="28"/>
      <c r="Y311" s="28"/>
      <c r="Z311" s="28"/>
      <c r="AA311" s="28"/>
      <c r="AB311" s="28"/>
      <c r="AC311" s="28"/>
      <c r="AD311" s="28"/>
      <c r="AE311" s="28"/>
      <c r="AF311" s="28"/>
      <c r="AG311" s="28"/>
      <c r="AH311" s="28"/>
      <c r="AI311" s="28"/>
      <c r="AJ311" s="28"/>
      <c r="AK311" s="28"/>
      <c r="AL311" s="28"/>
      <c r="AM311" s="28"/>
      <c r="AN311" s="28"/>
      <c r="AO311" s="28"/>
      <c r="AP311" s="28"/>
      <c r="AQ311" s="28"/>
      <c r="AR311" s="28"/>
      <c r="AS311" s="28"/>
      <c r="AT311" s="28"/>
      <c r="AU311" s="28"/>
      <c r="AV311" s="28"/>
      <c r="AW311" s="28"/>
      <c r="AX311" s="28"/>
      <c r="AY311" s="28"/>
      <c r="AZ311" s="28"/>
      <c r="BA311" s="28"/>
      <c r="BB311" s="28"/>
      <c r="BC311" s="28"/>
      <c r="BD311" s="28"/>
      <c r="BE311" s="28"/>
      <c r="BF311" s="28"/>
      <c r="BG311" s="28"/>
      <c r="BH311" s="28"/>
      <c r="BI311" s="28"/>
      <c r="BJ311" s="28"/>
      <c r="BK311" s="28"/>
      <c r="BL311" s="28"/>
      <c r="BM311" s="28"/>
      <c r="BN311" s="28"/>
      <c r="BO311" s="28"/>
      <c r="BP311" s="28"/>
      <c r="BQ311" s="28"/>
      <c r="BR311" s="28"/>
      <c r="BS311" s="28"/>
      <c r="BT311" s="28"/>
      <c r="BU311" s="28"/>
      <c r="BV311" s="28"/>
      <c r="BW311" s="28"/>
      <c r="BX311" s="28"/>
      <c r="BY311" s="28"/>
      <c r="BZ311" s="28"/>
      <c r="CA311" s="28"/>
      <c r="CB311" s="28"/>
    </row>
    <row r="312" spans="1:80" x14ac:dyDescent="0.25">
      <c r="A312" s="31" t="s">
        <v>1895</v>
      </c>
      <c r="B312" s="39" t="s">
        <v>1896</v>
      </c>
      <c r="C312" s="30" t="s">
        <v>119</v>
      </c>
      <c r="D312" s="30" t="s">
        <v>14</v>
      </c>
      <c r="E312" s="20" t="s">
        <v>1844</v>
      </c>
      <c r="F312" s="26" t="s">
        <v>1892</v>
      </c>
      <c r="G312" s="30"/>
      <c r="H312" s="30"/>
      <c r="I312" s="29" t="e">
        <f>VLOOKUP(B312,#REF!,2,FALSE)</f>
        <v>#REF!</v>
      </c>
      <c r="J312" s="28"/>
      <c r="K312" s="28"/>
      <c r="L312" s="28"/>
      <c r="M312" s="28"/>
      <c r="N312" s="28"/>
      <c r="O312" s="28"/>
      <c r="P312" s="28"/>
      <c r="Q312" s="28"/>
      <c r="R312" s="28"/>
      <c r="S312" s="28"/>
      <c r="T312" s="28"/>
      <c r="U312" s="28"/>
      <c r="V312" s="28"/>
      <c r="W312" s="28"/>
      <c r="X312" s="28"/>
      <c r="Y312" s="28"/>
      <c r="Z312" s="28"/>
      <c r="AA312" s="28"/>
      <c r="AB312" s="28"/>
      <c r="AC312" s="28"/>
      <c r="AD312" s="28"/>
      <c r="AE312" s="28"/>
      <c r="AF312" s="28"/>
      <c r="AG312" s="28"/>
      <c r="AH312" s="28"/>
      <c r="AI312" s="28"/>
      <c r="AJ312" s="28"/>
      <c r="AK312" s="28"/>
      <c r="AL312" s="28"/>
      <c r="AM312" s="28"/>
      <c r="AN312" s="28"/>
      <c r="AO312" s="28"/>
      <c r="AP312" s="28"/>
      <c r="AQ312" s="28"/>
      <c r="AR312" s="28"/>
      <c r="AS312" s="28"/>
      <c r="AT312" s="28"/>
      <c r="AU312" s="28"/>
      <c r="AV312" s="28"/>
      <c r="AW312" s="28"/>
      <c r="AX312" s="28"/>
      <c r="AY312" s="28"/>
      <c r="AZ312" s="28"/>
      <c r="BA312" s="28"/>
      <c r="BB312" s="28"/>
      <c r="BC312" s="28"/>
      <c r="BD312" s="28"/>
      <c r="BE312" s="28"/>
      <c r="BF312" s="28"/>
      <c r="BG312" s="28"/>
      <c r="BH312" s="28"/>
      <c r="BI312" s="28"/>
      <c r="BJ312" s="28"/>
      <c r="BK312" s="28"/>
      <c r="BL312" s="28"/>
      <c r="BM312" s="28"/>
      <c r="BN312" s="28"/>
      <c r="BO312" s="28"/>
      <c r="BP312" s="28"/>
      <c r="BQ312" s="28"/>
      <c r="BR312" s="28"/>
      <c r="BS312" s="28"/>
      <c r="BT312" s="28"/>
      <c r="BU312" s="28"/>
      <c r="BV312" s="28"/>
      <c r="BW312" s="28"/>
      <c r="BX312" s="28"/>
      <c r="BY312" s="28"/>
      <c r="BZ312" s="28"/>
      <c r="CA312" s="28"/>
      <c r="CB312" s="28"/>
    </row>
    <row r="313" spans="1:80" hidden="1" x14ac:dyDescent="0.25">
      <c r="A313" s="33" t="s">
        <v>1620</v>
      </c>
      <c r="B313" s="38" t="s">
        <v>1619</v>
      </c>
      <c r="C313" s="32" t="s">
        <v>515</v>
      </c>
      <c r="D313" s="32" t="s">
        <v>52</v>
      </c>
      <c r="E313" s="21" t="s">
        <v>1844</v>
      </c>
      <c r="F313" s="25" t="s">
        <v>1892</v>
      </c>
      <c r="G313" s="32"/>
      <c r="H313" s="32"/>
      <c r="I313" s="29" t="e">
        <f>VLOOKUP(B313,#REF!,2,FALSE)</f>
        <v>#REF!</v>
      </c>
      <c r="J313" s="28"/>
      <c r="K313" s="28"/>
      <c r="L313" s="28"/>
      <c r="M313" s="28"/>
      <c r="N313" s="28"/>
      <c r="O313" s="28"/>
      <c r="P313" s="28"/>
      <c r="Q313" s="28"/>
      <c r="R313" s="28"/>
      <c r="S313" s="28"/>
      <c r="T313" s="28"/>
      <c r="U313" s="28"/>
      <c r="V313" s="28"/>
      <c r="W313" s="28"/>
      <c r="X313" s="28"/>
      <c r="Y313" s="28"/>
      <c r="Z313" s="28"/>
      <c r="AA313" s="28"/>
      <c r="AB313" s="28"/>
      <c r="AC313" s="28"/>
      <c r="AD313" s="28"/>
      <c r="AE313" s="28"/>
      <c r="AF313" s="28"/>
      <c r="AG313" s="28"/>
      <c r="AH313" s="28"/>
      <c r="AI313" s="28"/>
      <c r="AJ313" s="28"/>
      <c r="AK313" s="28"/>
      <c r="AL313" s="28"/>
      <c r="AM313" s="28"/>
      <c r="AN313" s="28"/>
      <c r="AO313" s="28"/>
      <c r="AP313" s="28"/>
      <c r="AQ313" s="28"/>
      <c r="AR313" s="28"/>
      <c r="AS313" s="28"/>
      <c r="AT313" s="28"/>
      <c r="AU313" s="28"/>
      <c r="AV313" s="28"/>
      <c r="AW313" s="28"/>
      <c r="AX313" s="28"/>
      <c r="AY313" s="28"/>
      <c r="AZ313" s="28"/>
      <c r="BA313" s="28"/>
      <c r="BB313" s="28"/>
      <c r="BC313" s="28"/>
      <c r="BD313" s="28"/>
      <c r="BE313" s="28"/>
      <c r="BF313" s="28"/>
      <c r="BG313" s="28"/>
      <c r="BH313" s="28"/>
      <c r="BI313" s="28"/>
      <c r="BJ313" s="28"/>
      <c r="BK313" s="28"/>
      <c r="BL313" s="28"/>
      <c r="BM313" s="28"/>
      <c r="BN313" s="28"/>
      <c r="BO313" s="28"/>
      <c r="BP313" s="28"/>
      <c r="BQ313" s="28"/>
      <c r="BR313" s="28"/>
      <c r="BS313" s="28"/>
      <c r="BT313" s="28"/>
      <c r="BU313" s="28"/>
      <c r="BV313" s="28"/>
      <c r="BW313" s="28"/>
      <c r="BX313" s="28"/>
      <c r="BY313" s="28"/>
      <c r="BZ313" s="28"/>
      <c r="CA313" s="28"/>
      <c r="CB313" s="28"/>
    </row>
    <row r="314" spans="1:80" x14ac:dyDescent="0.25">
      <c r="A314" s="31" t="s">
        <v>1897</v>
      </c>
      <c r="B314" s="39" t="s">
        <v>1898</v>
      </c>
      <c r="C314" s="30" t="s">
        <v>73</v>
      </c>
      <c r="D314" s="30" t="s">
        <v>52</v>
      </c>
      <c r="E314" s="20" t="s">
        <v>1844</v>
      </c>
      <c r="F314" s="26" t="s">
        <v>1892</v>
      </c>
      <c r="G314" s="30"/>
      <c r="H314" s="30"/>
      <c r="I314" s="29" t="e">
        <f>VLOOKUP(B314,#REF!,2,FALSE)</f>
        <v>#REF!</v>
      </c>
      <c r="J314" s="28"/>
      <c r="K314" s="28"/>
      <c r="L314" s="28"/>
      <c r="M314" s="28"/>
      <c r="N314" s="28"/>
      <c r="O314" s="28"/>
      <c r="P314" s="28"/>
      <c r="Q314" s="28"/>
      <c r="R314" s="28"/>
      <c r="S314" s="28"/>
      <c r="T314" s="28"/>
      <c r="U314" s="28"/>
      <c r="V314" s="28"/>
      <c r="W314" s="28"/>
      <c r="X314" s="28"/>
      <c r="Y314" s="28"/>
      <c r="Z314" s="28"/>
      <c r="AA314" s="28"/>
      <c r="AB314" s="28"/>
      <c r="AC314" s="28"/>
      <c r="AD314" s="28"/>
      <c r="AE314" s="28"/>
      <c r="AF314" s="28"/>
      <c r="AG314" s="28"/>
      <c r="AH314" s="28"/>
      <c r="AI314" s="28"/>
      <c r="AJ314" s="28"/>
      <c r="AK314" s="28"/>
      <c r="AL314" s="28"/>
      <c r="AM314" s="28"/>
      <c r="AN314" s="28"/>
      <c r="AO314" s="28"/>
      <c r="AP314" s="28"/>
      <c r="AQ314" s="28"/>
      <c r="AR314" s="28"/>
      <c r="AS314" s="28"/>
      <c r="AT314" s="28"/>
      <c r="AU314" s="28"/>
      <c r="AV314" s="28"/>
      <c r="AW314" s="28"/>
      <c r="AX314" s="28"/>
      <c r="AY314" s="28"/>
      <c r="AZ314" s="28"/>
      <c r="BA314" s="28"/>
      <c r="BB314" s="28"/>
      <c r="BC314" s="28"/>
      <c r="BD314" s="28"/>
      <c r="BE314" s="28"/>
      <c r="BF314" s="28"/>
      <c r="BG314" s="28"/>
      <c r="BH314" s="28"/>
      <c r="BI314" s="28"/>
      <c r="BJ314" s="28"/>
      <c r="BK314" s="28"/>
      <c r="BL314" s="28"/>
      <c r="BM314" s="28"/>
      <c r="BN314" s="28"/>
      <c r="BO314" s="28"/>
      <c r="BP314" s="28"/>
      <c r="BQ314" s="28"/>
      <c r="BR314" s="28"/>
      <c r="BS314" s="28"/>
      <c r="BT314" s="28"/>
      <c r="BU314" s="28"/>
      <c r="BV314" s="28"/>
      <c r="BW314" s="28"/>
      <c r="BX314" s="28"/>
      <c r="BY314" s="28"/>
      <c r="BZ314" s="28"/>
      <c r="CA314" s="28"/>
      <c r="CB314" s="28"/>
    </row>
    <row r="315" spans="1:80" x14ac:dyDescent="0.25">
      <c r="A315" s="31" t="s">
        <v>1899</v>
      </c>
      <c r="B315" s="39" t="s">
        <v>1900</v>
      </c>
      <c r="C315" s="30" t="s">
        <v>37</v>
      </c>
      <c r="D315" s="30" t="s">
        <v>52</v>
      </c>
      <c r="E315" s="20" t="s">
        <v>1844</v>
      </c>
      <c r="F315" s="26" t="s">
        <v>1892</v>
      </c>
      <c r="G315" s="30"/>
      <c r="H315" s="30"/>
      <c r="I315" s="29" t="e">
        <f>VLOOKUP(B315,#REF!,2,FALSE)</f>
        <v>#REF!</v>
      </c>
      <c r="J315" s="29"/>
      <c r="K315" s="29"/>
      <c r="L315" s="29"/>
      <c r="M315" s="29"/>
      <c r="N315" s="29"/>
      <c r="O315" s="29"/>
      <c r="P315" s="29"/>
      <c r="Q315" s="29"/>
      <c r="R315" s="29"/>
      <c r="S315" s="29"/>
      <c r="T315" s="29"/>
      <c r="U315" s="29"/>
      <c r="V315" s="29"/>
      <c r="W315" s="29"/>
      <c r="X315" s="29"/>
      <c r="Y315" s="29"/>
      <c r="Z315" s="29"/>
      <c r="AA315" s="29"/>
      <c r="AB315" s="29"/>
      <c r="AC315" s="29"/>
      <c r="AD315" s="29"/>
      <c r="AE315" s="29"/>
      <c r="AF315" s="29"/>
      <c r="AG315" s="29"/>
      <c r="AH315" s="29"/>
      <c r="AI315" s="29"/>
      <c r="AJ315" s="29"/>
      <c r="AK315" s="29"/>
      <c r="AL315" s="29"/>
      <c r="AM315" s="29"/>
      <c r="AN315" s="29"/>
      <c r="AO315" s="29"/>
      <c r="AP315" s="29"/>
      <c r="AQ315" s="29"/>
      <c r="AR315" s="29"/>
      <c r="AS315" s="29"/>
      <c r="AT315" s="29"/>
      <c r="AU315" s="29"/>
      <c r="AV315" s="29"/>
      <c r="AW315" s="29"/>
      <c r="AX315" s="29"/>
      <c r="AY315" s="29"/>
      <c r="AZ315" s="29"/>
      <c r="BA315" s="29"/>
      <c r="BB315" s="29"/>
      <c r="BC315" s="29"/>
      <c r="BD315" s="29"/>
      <c r="BE315" s="29"/>
      <c r="BF315" s="29"/>
      <c r="BG315" s="29"/>
      <c r="BH315" s="29"/>
      <c r="BI315" s="29"/>
      <c r="BJ315" s="29"/>
      <c r="BK315" s="29"/>
      <c r="BL315" s="29"/>
      <c r="BM315" s="29"/>
      <c r="BN315" s="29"/>
      <c r="BO315" s="29"/>
      <c r="BP315" s="29"/>
      <c r="BQ315" s="29"/>
      <c r="BR315" s="29"/>
      <c r="BS315" s="29"/>
      <c r="BT315" s="29"/>
      <c r="BU315" s="29"/>
      <c r="BV315" s="29"/>
      <c r="BW315" s="29"/>
      <c r="BX315" s="29"/>
      <c r="BY315" s="29"/>
      <c r="BZ315" s="29"/>
      <c r="CA315" s="29"/>
      <c r="CB315" s="29"/>
    </row>
    <row r="316" spans="1:80" hidden="1" x14ac:dyDescent="0.25">
      <c r="A316" s="33" t="s">
        <v>1306</v>
      </c>
      <c r="B316" s="38" t="s">
        <v>1901</v>
      </c>
      <c r="C316" s="32" t="s">
        <v>1902</v>
      </c>
      <c r="D316" s="32" t="s">
        <v>52</v>
      </c>
      <c r="E316" s="21" t="s">
        <v>1844</v>
      </c>
      <c r="F316" s="25" t="s">
        <v>1892</v>
      </c>
      <c r="G316" s="32"/>
      <c r="H316" s="32"/>
      <c r="I316" s="29" t="e">
        <f>VLOOKUP(B316,#REF!,2,FALSE)</f>
        <v>#REF!</v>
      </c>
      <c r="J316" s="28"/>
      <c r="K316" s="28"/>
      <c r="L316" s="28"/>
      <c r="M316" s="28"/>
      <c r="N316" s="28"/>
      <c r="O316" s="28"/>
      <c r="P316" s="28"/>
      <c r="Q316" s="28"/>
      <c r="R316" s="28"/>
      <c r="S316" s="28"/>
      <c r="T316" s="28"/>
      <c r="U316" s="28"/>
      <c r="V316" s="28"/>
      <c r="W316" s="28"/>
      <c r="X316" s="28"/>
      <c r="Y316" s="28"/>
      <c r="Z316" s="28"/>
      <c r="AA316" s="28"/>
      <c r="AB316" s="28"/>
      <c r="AC316" s="28"/>
      <c r="AD316" s="28"/>
      <c r="AE316" s="28"/>
      <c r="AF316" s="28"/>
      <c r="AG316" s="28"/>
      <c r="AH316" s="28"/>
      <c r="AI316" s="28"/>
      <c r="AJ316" s="28"/>
      <c r="AK316" s="28"/>
      <c r="AL316" s="28"/>
      <c r="AM316" s="28"/>
      <c r="AN316" s="28"/>
      <c r="AO316" s="28"/>
      <c r="AP316" s="28"/>
      <c r="AQ316" s="28"/>
      <c r="AR316" s="28"/>
      <c r="AS316" s="28"/>
      <c r="AT316" s="28"/>
      <c r="AU316" s="28"/>
      <c r="AV316" s="28"/>
      <c r="AW316" s="28"/>
      <c r="AX316" s="28"/>
      <c r="AY316" s="28"/>
      <c r="AZ316" s="28"/>
      <c r="BA316" s="28"/>
      <c r="BB316" s="28"/>
      <c r="BC316" s="28"/>
      <c r="BD316" s="28"/>
      <c r="BE316" s="28"/>
      <c r="BF316" s="28"/>
      <c r="BG316" s="28"/>
      <c r="BH316" s="28"/>
      <c r="BI316" s="28"/>
      <c r="BJ316" s="28"/>
      <c r="BK316" s="28"/>
      <c r="BL316" s="28"/>
      <c r="BM316" s="28"/>
      <c r="BN316" s="28"/>
      <c r="BO316" s="28"/>
      <c r="BP316" s="28"/>
      <c r="BQ316" s="28"/>
      <c r="BR316" s="28"/>
      <c r="BS316" s="28"/>
      <c r="BT316" s="28"/>
      <c r="BU316" s="28"/>
      <c r="BV316" s="28"/>
      <c r="BW316" s="28"/>
      <c r="BX316" s="28"/>
      <c r="BY316" s="28"/>
      <c r="BZ316" s="28"/>
      <c r="CA316" s="28"/>
      <c r="CB316" s="28"/>
    </row>
    <row r="317" spans="1:80" x14ac:dyDescent="0.25">
      <c r="A317" s="31" t="s">
        <v>1903</v>
      </c>
      <c r="B317" s="39" t="s">
        <v>1904</v>
      </c>
      <c r="C317" s="30" t="s">
        <v>1902</v>
      </c>
      <c r="D317" s="30" t="s">
        <v>52</v>
      </c>
      <c r="E317" s="20" t="s">
        <v>1844</v>
      </c>
      <c r="F317" s="26" t="s">
        <v>1892</v>
      </c>
      <c r="G317" s="30"/>
      <c r="H317" s="30"/>
      <c r="I317" s="29" t="e">
        <f>VLOOKUP(B317,#REF!,2,FALSE)</f>
        <v>#REF!</v>
      </c>
      <c r="J317" s="28"/>
      <c r="K317" s="28"/>
      <c r="L317" s="28"/>
      <c r="M317" s="28"/>
      <c r="N317" s="28"/>
      <c r="O317" s="28"/>
      <c r="P317" s="28"/>
      <c r="Q317" s="28"/>
      <c r="R317" s="28"/>
      <c r="S317" s="28"/>
      <c r="T317" s="28"/>
      <c r="U317" s="28"/>
      <c r="V317" s="28"/>
      <c r="W317" s="28"/>
      <c r="X317" s="28"/>
      <c r="Y317" s="28"/>
      <c r="Z317" s="28"/>
      <c r="AA317" s="28"/>
      <c r="AB317" s="28"/>
      <c r="AC317" s="28"/>
      <c r="AD317" s="28"/>
      <c r="AE317" s="28"/>
      <c r="AF317" s="28"/>
      <c r="AG317" s="28"/>
      <c r="AH317" s="28"/>
      <c r="AI317" s="28"/>
      <c r="AJ317" s="28"/>
      <c r="AK317" s="28"/>
      <c r="AL317" s="28"/>
      <c r="AM317" s="28"/>
      <c r="AN317" s="28"/>
      <c r="AO317" s="28"/>
      <c r="AP317" s="28"/>
      <c r="AQ317" s="28"/>
      <c r="AR317" s="28"/>
      <c r="AS317" s="28"/>
      <c r="AT317" s="28"/>
      <c r="AU317" s="28"/>
      <c r="AV317" s="28"/>
      <c r="AW317" s="28"/>
      <c r="AX317" s="28"/>
      <c r="AY317" s="28"/>
      <c r="AZ317" s="28"/>
      <c r="BA317" s="28"/>
      <c r="BB317" s="28"/>
      <c r="BC317" s="28"/>
      <c r="BD317" s="28"/>
      <c r="BE317" s="28"/>
      <c r="BF317" s="28"/>
      <c r="BG317" s="28"/>
      <c r="BH317" s="28"/>
      <c r="BI317" s="28"/>
      <c r="BJ317" s="28"/>
      <c r="BK317" s="28"/>
      <c r="BL317" s="28"/>
      <c r="BM317" s="28"/>
      <c r="BN317" s="28"/>
      <c r="BO317" s="28"/>
      <c r="BP317" s="28"/>
      <c r="BQ317" s="28"/>
      <c r="BR317" s="28"/>
      <c r="BS317" s="28"/>
      <c r="BT317" s="28"/>
      <c r="BU317" s="28"/>
      <c r="BV317" s="28"/>
      <c r="BW317" s="28"/>
      <c r="BX317" s="28"/>
      <c r="BY317" s="28"/>
      <c r="BZ317" s="28"/>
      <c r="CA317" s="28"/>
      <c r="CB317" s="28"/>
    </row>
    <row r="318" spans="1:80" hidden="1" x14ac:dyDescent="0.25">
      <c r="A318" s="31" t="s">
        <v>1449</v>
      </c>
      <c r="B318" s="39" t="s">
        <v>1905</v>
      </c>
      <c r="C318" s="30" t="s">
        <v>119</v>
      </c>
      <c r="D318" s="30" t="s">
        <v>52</v>
      </c>
      <c r="E318" s="20" t="s">
        <v>1844</v>
      </c>
      <c r="F318" s="26" t="s">
        <v>1892</v>
      </c>
      <c r="G318" s="30"/>
      <c r="H318" s="30"/>
      <c r="I318" s="29" t="e">
        <f>VLOOKUP(B318,#REF!,2,FALSE)</f>
        <v>#REF!</v>
      </c>
      <c r="J318" s="28"/>
      <c r="K318" s="28"/>
      <c r="L318" s="28"/>
      <c r="M318" s="28"/>
      <c r="N318" s="28"/>
      <c r="O318" s="28"/>
      <c r="P318" s="28"/>
      <c r="Q318" s="28"/>
      <c r="R318" s="28"/>
      <c r="S318" s="28"/>
      <c r="T318" s="28"/>
      <c r="U318" s="28"/>
      <c r="V318" s="28"/>
      <c r="W318" s="28"/>
      <c r="X318" s="28"/>
      <c r="Y318" s="28"/>
      <c r="Z318" s="28"/>
      <c r="AA318" s="28"/>
      <c r="AB318" s="28"/>
      <c r="AC318" s="28"/>
      <c r="AD318" s="28"/>
      <c r="AE318" s="28"/>
      <c r="AF318" s="28"/>
      <c r="AG318" s="28"/>
      <c r="AH318" s="28"/>
      <c r="AI318" s="28"/>
      <c r="AJ318" s="28"/>
      <c r="AK318" s="28"/>
      <c r="AL318" s="28"/>
      <c r="AM318" s="28"/>
      <c r="AN318" s="28"/>
      <c r="AO318" s="28"/>
      <c r="AP318" s="28"/>
      <c r="AQ318" s="28"/>
      <c r="AR318" s="28"/>
      <c r="AS318" s="28"/>
      <c r="AT318" s="28"/>
      <c r="AU318" s="28"/>
      <c r="AV318" s="28"/>
      <c r="AW318" s="28"/>
      <c r="AX318" s="28"/>
      <c r="AY318" s="28"/>
      <c r="AZ318" s="28"/>
      <c r="BA318" s="28"/>
      <c r="BB318" s="28"/>
      <c r="BC318" s="28"/>
      <c r="BD318" s="28"/>
      <c r="BE318" s="28"/>
      <c r="BF318" s="28"/>
      <c r="BG318" s="28"/>
      <c r="BH318" s="28"/>
      <c r="BI318" s="28"/>
      <c r="BJ318" s="28"/>
      <c r="BK318" s="28"/>
      <c r="BL318" s="28"/>
      <c r="BM318" s="28"/>
      <c r="BN318" s="28"/>
      <c r="BO318" s="28"/>
      <c r="BP318" s="28"/>
      <c r="BQ318" s="28"/>
      <c r="BR318" s="28"/>
      <c r="BS318" s="28"/>
      <c r="BT318" s="28"/>
      <c r="BU318" s="28"/>
      <c r="BV318" s="28"/>
      <c r="BW318" s="28"/>
      <c r="BX318" s="28"/>
      <c r="BY318" s="28"/>
      <c r="BZ318" s="28"/>
      <c r="CA318" s="28"/>
      <c r="CB318" s="28"/>
    </row>
    <row r="319" spans="1:80" hidden="1" x14ac:dyDescent="0.25">
      <c r="A319" s="31" t="s">
        <v>1314</v>
      </c>
      <c r="B319" s="39" t="s">
        <v>12</v>
      </c>
      <c r="C319" s="30" t="s">
        <v>195</v>
      </c>
      <c r="D319" s="30" t="s">
        <v>14</v>
      </c>
      <c r="E319" s="20" t="s">
        <v>1844</v>
      </c>
      <c r="F319" s="26" t="s">
        <v>1892</v>
      </c>
      <c r="G319" s="30"/>
      <c r="H319" s="30"/>
      <c r="I319" s="29" t="e">
        <f>VLOOKUP(B319,#REF!,2,FALSE)</f>
        <v>#REF!</v>
      </c>
      <c r="J319" s="28"/>
      <c r="K319" s="28"/>
      <c r="L319" s="28"/>
      <c r="M319" s="28"/>
      <c r="N319" s="28"/>
      <c r="O319" s="28"/>
      <c r="P319" s="28"/>
      <c r="Q319" s="28"/>
      <c r="R319" s="28"/>
      <c r="S319" s="28"/>
      <c r="T319" s="28"/>
      <c r="U319" s="28"/>
      <c r="V319" s="28"/>
      <c r="W319" s="28"/>
      <c r="X319" s="28"/>
      <c r="Y319" s="28"/>
      <c r="Z319" s="28"/>
      <c r="AA319" s="28"/>
      <c r="AB319" s="28"/>
      <c r="AC319" s="28"/>
      <c r="AD319" s="28"/>
      <c r="AE319" s="28"/>
      <c r="AF319" s="28"/>
      <c r="AG319" s="28"/>
      <c r="AH319" s="28"/>
      <c r="AI319" s="28"/>
      <c r="AJ319" s="28"/>
      <c r="AK319" s="28"/>
      <c r="AL319" s="28"/>
      <c r="AM319" s="28"/>
      <c r="AN319" s="28"/>
      <c r="AO319" s="28"/>
      <c r="AP319" s="28"/>
      <c r="AQ319" s="28"/>
      <c r="AR319" s="28"/>
      <c r="AS319" s="28"/>
      <c r="AT319" s="28"/>
      <c r="AU319" s="28"/>
      <c r="AV319" s="28"/>
      <c r="AW319" s="28"/>
      <c r="AX319" s="28"/>
      <c r="AY319" s="28"/>
      <c r="AZ319" s="28"/>
      <c r="BA319" s="28"/>
      <c r="BB319" s="28"/>
      <c r="BC319" s="28"/>
      <c r="BD319" s="28"/>
      <c r="BE319" s="28"/>
      <c r="BF319" s="28"/>
      <c r="BG319" s="28"/>
      <c r="BH319" s="28"/>
      <c r="BI319" s="28"/>
      <c r="BJ319" s="28"/>
      <c r="BK319" s="28"/>
      <c r="BL319" s="28"/>
      <c r="BM319" s="28"/>
      <c r="BN319" s="28"/>
      <c r="BO319" s="28"/>
      <c r="BP319" s="28"/>
      <c r="BQ319" s="28"/>
      <c r="BR319" s="28"/>
      <c r="BS319" s="28"/>
      <c r="BT319" s="28"/>
      <c r="BU319" s="28"/>
      <c r="BV319" s="28"/>
      <c r="BW319" s="28"/>
      <c r="BX319" s="28"/>
      <c r="BY319" s="28"/>
      <c r="BZ319" s="28"/>
      <c r="CA319" s="28"/>
      <c r="CB319" s="28"/>
    </row>
    <row r="320" spans="1:80" hidden="1" x14ac:dyDescent="0.25">
      <c r="A320" s="31" t="s">
        <v>1627</v>
      </c>
      <c r="B320" s="39" t="s">
        <v>1906</v>
      </c>
      <c r="C320" s="30" t="s">
        <v>1907</v>
      </c>
      <c r="D320" s="30" t="s">
        <v>52</v>
      </c>
      <c r="E320" s="20" t="s">
        <v>1844</v>
      </c>
      <c r="F320" s="26" t="s">
        <v>1892</v>
      </c>
      <c r="G320" s="30"/>
      <c r="H320" s="30"/>
      <c r="I320" s="29" t="e">
        <f>VLOOKUP(B320,#REF!,2,FALSE)</f>
        <v>#REF!</v>
      </c>
      <c r="J320" s="28"/>
      <c r="K320" s="28"/>
      <c r="L320" s="28"/>
      <c r="M320" s="28"/>
      <c r="N320" s="28"/>
      <c r="O320" s="28"/>
      <c r="P320" s="28"/>
      <c r="Q320" s="28"/>
      <c r="R320" s="28"/>
      <c r="S320" s="28"/>
      <c r="T320" s="28"/>
      <c r="U320" s="28"/>
      <c r="V320" s="28"/>
      <c r="W320" s="28"/>
      <c r="X320" s="28"/>
      <c r="Y320" s="28"/>
      <c r="Z320" s="28"/>
      <c r="AA320" s="28"/>
      <c r="AB320" s="28"/>
      <c r="AC320" s="28"/>
      <c r="AD320" s="28"/>
      <c r="AE320" s="28"/>
      <c r="AF320" s="28"/>
      <c r="AG320" s="28"/>
      <c r="AH320" s="28"/>
      <c r="AI320" s="28"/>
      <c r="AJ320" s="28"/>
      <c r="AK320" s="28"/>
      <c r="AL320" s="28"/>
      <c r="AM320" s="28"/>
      <c r="AN320" s="28"/>
      <c r="AO320" s="28"/>
      <c r="AP320" s="28"/>
      <c r="AQ320" s="28"/>
      <c r="AR320" s="28"/>
      <c r="AS320" s="28"/>
      <c r="AT320" s="28"/>
      <c r="AU320" s="28"/>
      <c r="AV320" s="28"/>
      <c r="AW320" s="28"/>
      <c r="AX320" s="28"/>
      <c r="AY320" s="28"/>
      <c r="AZ320" s="28"/>
      <c r="BA320" s="28"/>
      <c r="BB320" s="28"/>
      <c r="BC320" s="28"/>
      <c r="BD320" s="28"/>
      <c r="BE320" s="28"/>
      <c r="BF320" s="28"/>
      <c r="BG320" s="28"/>
      <c r="BH320" s="28"/>
      <c r="BI320" s="28"/>
      <c r="BJ320" s="28"/>
      <c r="BK320" s="28"/>
      <c r="BL320" s="28"/>
      <c r="BM320" s="28"/>
      <c r="BN320" s="28"/>
      <c r="BO320" s="28"/>
      <c r="BP320" s="28"/>
      <c r="BQ320" s="28"/>
      <c r="BR320" s="28"/>
      <c r="BS320" s="28"/>
      <c r="BT320" s="28"/>
      <c r="BU320" s="28"/>
      <c r="BV320" s="28"/>
      <c r="BW320" s="28"/>
      <c r="BX320" s="28"/>
      <c r="BY320" s="28"/>
      <c r="BZ320" s="28"/>
      <c r="CA320" s="28"/>
      <c r="CB320" s="28"/>
    </row>
    <row r="321" spans="1:80" hidden="1" x14ac:dyDescent="0.25">
      <c r="A321" s="31" t="s">
        <v>460</v>
      </c>
      <c r="B321" s="39" t="s">
        <v>1908</v>
      </c>
      <c r="C321" s="30" t="s">
        <v>1909</v>
      </c>
      <c r="D321" s="30" t="s">
        <v>52</v>
      </c>
      <c r="E321" s="20" t="s">
        <v>1844</v>
      </c>
      <c r="F321" s="26" t="s">
        <v>1892</v>
      </c>
      <c r="G321" s="30"/>
      <c r="H321" s="30"/>
      <c r="I321" s="29" t="e">
        <f>VLOOKUP(B321,#REF!,2,FALSE)</f>
        <v>#REF!</v>
      </c>
      <c r="J321" s="28"/>
      <c r="K321" s="28"/>
      <c r="L321" s="28"/>
      <c r="M321" s="28"/>
      <c r="N321" s="28"/>
      <c r="O321" s="28"/>
      <c r="P321" s="28"/>
      <c r="Q321" s="28"/>
      <c r="R321" s="28"/>
      <c r="S321" s="28"/>
      <c r="T321" s="28"/>
      <c r="U321" s="28"/>
      <c r="V321" s="28"/>
      <c r="W321" s="28"/>
      <c r="X321" s="28"/>
      <c r="Y321" s="28"/>
      <c r="Z321" s="28"/>
      <c r="AA321" s="28"/>
      <c r="AB321" s="28"/>
      <c r="AC321" s="28"/>
      <c r="AD321" s="28"/>
      <c r="AE321" s="28"/>
      <c r="AF321" s="28"/>
      <c r="AG321" s="28"/>
      <c r="AH321" s="28"/>
      <c r="AI321" s="28"/>
      <c r="AJ321" s="28"/>
      <c r="AK321" s="28"/>
      <c r="AL321" s="28"/>
      <c r="AM321" s="28"/>
      <c r="AN321" s="28"/>
      <c r="AO321" s="28"/>
      <c r="AP321" s="28"/>
      <c r="AQ321" s="28"/>
      <c r="AR321" s="28"/>
      <c r="AS321" s="28"/>
      <c r="AT321" s="28"/>
      <c r="AU321" s="28"/>
      <c r="AV321" s="28"/>
      <c r="AW321" s="28"/>
      <c r="AX321" s="28"/>
      <c r="AY321" s="28"/>
      <c r="AZ321" s="28"/>
      <c r="BA321" s="28"/>
      <c r="BB321" s="28"/>
      <c r="BC321" s="28"/>
      <c r="BD321" s="28"/>
      <c r="BE321" s="28"/>
      <c r="BF321" s="28"/>
      <c r="BG321" s="28"/>
      <c r="BH321" s="28"/>
      <c r="BI321" s="28"/>
      <c r="BJ321" s="28"/>
      <c r="BK321" s="28"/>
      <c r="BL321" s="28"/>
      <c r="BM321" s="28"/>
      <c r="BN321" s="28"/>
      <c r="BO321" s="28"/>
      <c r="BP321" s="28"/>
      <c r="BQ321" s="28"/>
      <c r="BR321" s="28"/>
      <c r="BS321" s="28"/>
      <c r="BT321" s="28"/>
      <c r="BU321" s="28"/>
      <c r="BV321" s="28"/>
      <c r="BW321" s="28"/>
      <c r="BX321" s="28"/>
      <c r="BY321" s="28"/>
      <c r="BZ321" s="28"/>
      <c r="CA321" s="28"/>
      <c r="CB321" s="28"/>
    </row>
    <row r="322" spans="1:80" hidden="1" x14ac:dyDescent="0.25">
      <c r="A322" s="31" t="s">
        <v>1011</v>
      </c>
      <c r="B322" s="39" t="s">
        <v>1010</v>
      </c>
      <c r="C322" s="30" t="s">
        <v>163</v>
      </c>
      <c r="D322" s="30" t="s">
        <v>52</v>
      </c>
      <c r="E322" s="20" t="s">
        <v>1844</v>
      </c>
      <c r="F322" s="26" t="s">
        <v>1892</v>
      </c>
      <c r="G322" s="30"/>
      <c r="H322" s="30"/>
      <c r="I322" s="29" t="e">
        <f>VLOOKUP(B322,#REF!,2,FALSE)</f>
        <v>#REF!</v>
      </c>
      <c r="J322" s="28"/>
      <c r="K322" s="28"/>
      <c r="L322" s="28"/>
      <c r="M322" s="28"/>
      <c r="N322" s="28"/>
      <c r="O322" s="28"/>
      <c r="P322" s="28"/>
      <c r="Q322" s="28"/>
      <c r="R322" s="28"/>
      <c r="S322" s="28"/>
      <c r="T322" s="28"/>
      <c r="U322" s="28"/>
      <c r="V322" s="28"/>
      <c r="W322" s="28"/>
      <c r="X322" s="28"/>
      <c r="Y322" s="28"/>
      <c r="Z322" s="28"/>
      <c r="AA322" s="28"/>
      <c r="AB322" s="28"/>
      <c r="AC322" s="28"/>
      <c r="AD322" s="28"/>
      <c r="AE322" s="28"/>
      <c r="AF322" s="28"/>
      <c r="AG322" s="28"/>
      <c r="AH322" s="28"/>
      <c r="AI322" s="28"/>
      <c r="AJ322" s="28"/>
      <c r="AK322" s="28"/>
      <c r="AL322" s="28"/>
      <c r="AM322" s="28"/>
      <c r="AN322" s="28"/>
      <c r="AO322" s="28"/>
      <c r="AP322" s="28"/>
      <c r="AQ322" s="28"/>
      <c r="AR322" s="28"/>
      <c r="AS322" s="28"/>
      <c r="AT322" s="28"/>
      <c r="AU322" s="28"/>
      <c r="AV322" s="28"/>
      <c r="AW322" s="28"/>
      <c r="AX322" s="28"/>
      <c r="AY322" s="28"/>
      <c r="AZ322" s="28"/>
      <c r="BA322" s="28"/>
      <c r="BB322" s="28"/>
      <c r="BC322" s="28"/>
      <c r="BD322" s="28"/>
      <c r="BE322" s="28"/>
      <c r="BF322" s="28"/>
      <c r="BG322" s="28"/>
      <c r="BH322" s="28"/>
      <c r="BI322" s="28"/>
      <c r="BJ322" s="28"/>
      <c r="BK322" s="28"/>
      <c r="BL322" s="28"/>
      <c r="BM322" s="28"/>
      <c r="BN322" s="28"/>
      <c r="BO322" s="28"/>
      <c r="BP322" s="28"/>
      <c r="BQ322" s="28"/>
      <c r="BR322" s="28"/>
      <c r="BS322" s="28"/>
      <c r="BT322" s="28"/>
      <c r="BU322" s="28"/>
      <c r="BV322" s="28"/>
      <c r="BW322" s="28"/>
      <c r="BX322" s="28"/>
      <c r="BY322" s="28"/>
      <c r="BZ322" s="28"/>
      <c r="CA322" s="28"/>
      <c r="CB322" s="28"/>
    </row>
    <row r="323" spans="1:80" hidden="1" x14ac:dyDescent="0.25">
      <c r="A323" s="31" t="s">
        <v>1636</v>
      </c>
      <c r="B323" s="39" t="s">
        <v>1635</v>
      </c>
      <c r="C323" s="30" t="s">
        <v>27</v>
      </c>
      <c r="D323" s="30" t="s">
        <v>52</v>
      </c>
      <c r="E323" s="20" t="s">
        <v>1844</v>
      </c>
      <c r="F323" s="26" t="s">
        <v>1892</v>
      </c>
      <c r="G323" s="30"/>
      <c r="H323" s="30"/>
      <c r="I323" s="29" t="e">
        <f>VLOOKUP(B323,#REF!,2,FALSE)</f>
        <v>#REF!</v>
      </c>
      <c r="J323" s="28"/>
      <c r="K323" s="28"/>
      <c r="L323" s="28"/>
      <c r="M323" s="28"/>
      <c r="N323" s="28"/>
      <c r="O323" s="28"/>
      <c r="P323" s="28"/>
      <c r="Q323" s="28"/>
      <c r="R323" s="28"/>
      <c r="S323" s="28"/>
      <c r="T323" s="28"/>
      <c r="U323" s="28"/>
      <c r="V323" s="28"/>
      <c r="W323" s="28"/>
      <c r="X323" s="28"/>
      <c r="Y323" s="28"/>
      <c r="Z323" s="28"/>
      <c r="AA323" s="28"/>
      <c r="AB323" s="28"/>
      <c r="AC323" s="28"/>
      <c r="AD323" s="28"/>
      <c r="AE323" s="28"/>
      <c r="AF323" s="28"/>
      <c r="AG323" s="28"/>
      <c r="AH323" s="28"/>
      <c r="AI323" s="28"/>
      <c r="AJ323" s="28"/>
      <c r="AK323" s="28"/>
      <c r="AL323" s="28"/>
      <c r="AM323" s="28"/>
      <c r="AN323" s="28"/>
      <c r="AO323" s="28"/>
      <c r="AP323" s="28"/>
      <c r="AQ323" s="28"/>
      <c r="AR323" s="28"/>
      <c r="AS323" s="28"/>
      <c r="AT323" s="28"/>
      <c r="AU323" s="28"/>
      <c r="AV323" s="28"/>
      <c r="AW323" s="28"/>
      <c r="AX323" s="28"/>
      <c r="AY323" s="28"/>
      <c r="AZ323" s="28"/>
      <c r="BA323" s="28"/>
      <c r="BB323" s="28"/>
      <c r="BC323" s="28"/>
      <c r="BD323" s="28"/>
      <c r="BE323" s="28"/>
      <c r="BF323" s="28"/>
      <c r="BG323" s="28"/>
      <c r="BH323" s="28"/>
      <c r="BI323" s="28"/>
      <c r="BJ323" s="28"/>
      <c r="BK323" s="28"/>
      <c r="BL323" s="28"/>
      <c r="BM323" s="28"/>
      <c r="BN323" s="28"/>
      <c r="BO323" s="28"/>
      <c r="BP323" s="28"/>
      <c r="BQ323" s="28"/>
      <c r="BR323" s="28"/>
      <c r="BS323" s="28"/>
      <c r="BT323" s="28"/>
      <c r="BU323" s="28"/>
      <c r="BV323" s="28"/>
      <c r="BW323" s="28"/>
      <c r="BX323" s="28"/>
      <c r="BY323" s="28"/>
      <c r="BZ323" s="28"/>
      <c r="CA323" s="28"/>
      <c r="CB323" s="28"/>
    </row>
    <row r="324" spans="1:80" hidden="1" x14ac:dyDescent="0.25">
      <c r="A324" s="31" t="s">
        <v>1346</v>
      </c>
      <c r="B324" s="39" t="s">
        <v>1345</v>
      </c>
      <c r="C324" s="30" t="s">
        <v>30</v>
      </c>
      <c r="D324" s="30" t="s">
        <v>52</v>
      </c>
      <c r="E324" s="20" t="s">
        <v>1844</v>
      </c>
      <c r="F324" s="26" t="s">
        <v>1892</v>
      </c>
      <c r="G324" s="30"/>
      <c r="H324" s="30"/>
      <c r="I324" s="29" t="e">
        <f>VLOOKUP(B324,#REF!,2,FALSE)</f>
        <v>#REF!</v>
      </c>
      <c r="J324" s="28"/>
      <c r="K324" s="28"/>
      <c r="L324" s="28"/>
      <c r="M324" s="28"/>
      <c r="N324" s="28"/>
      <c r="O324" s="28"/>
      <c r="P324" s="28"/>
      <c r="Q324" s="28"/>
      <c r="R324" s="28"/>
      <c r="S324" s="28"/>
      <c r="T324" s="28"/>
      <c r="U324" s="28"/>
      <c r="V324" s="28"/>
      <c r="W324" s="28"/>
      <c r="X324" s="28"/>
      <c r="Y324" s="28"/>
      <c r="Z324" s="28"/>
      <c r="AA324" s="28"/>
      <c r="AB324" s="28"/>
      <c r="AC324" s="28"/>
      <c r="AD324" s="28"/>
      <c r="AE324" s="28"/>
      <c r="AF324" s="28"/>
      <c r="AG324" s="28"/>
      <c r="AH324" s="28"/>
      <c r="AI324" s="28"/>
      <c r="AJ324" s="28"/>
      <c r="AK324" s="28"/>
      <c r="AL324" s="28"/>
      <c r="AM324" s="28"/>
      <c r="AN324" s="28"/>
      <c r="AO324" s="28"/>
      <c r="AP324" s="28"/>
      <c r="AQ324" s="28"/>
      <c r="AR324" s="28"/>
      <c r="AS324" s="28"/>
      <c r="AT324" s="28"/>
      <c r="AU324" s="28"/>
      <c r="AV324" s="28"/>
      <c r="AW324" s="28"/>
      <c r="AX324" s="28"/>
      <c r="AY324" s="28"/>
      <c r="AZ324" s="28"/>
      <c r="BA324" s="28"/>
      <c r="BB324" s="28"/>
      <c r="BC324" s="28"/>
      <c r="BD324" s="28"/>
      <c r="BE324" s="28"/>
      <c r="BF324" s="28"/>
      <c r="BG324" s="28"/>
      <c r="BH324" s="28"/>
      <c r="BI324" s="28"/>
      <c r="BJ324" s="28"/>
      <c r="BK324" s="28"/>
      <c r="BL324" s="28"/>
      <c r="BM324" s="28"/>
      <c r="BN324" s="28"/>
      <c r="BO324" s="28"/>
      <c r="BP324" s="28"/>
      <c r="BQ324" s="28"/>
      <c r="BR324" s="28"/>
      <c r="BS324" s="28"/>
      <c r="BT324" s="28"/>
      <c r="BU324" s="28"/>
      <c r="BV324" s="28"/>
      <c r="BW324" s="28"/>
      <c r="BX324" s="28"/>
      <c r="BY324" s="28"/>
      <c r="BZ324" s="28"/>
      <c r="CA324" s="28"/>
      <c r="CB324" s="28"/>
    </row>
    <row r="325" spans="1:80" hidden="1" x14ac:dyDescent="0.25">
      <c r="A325" s="31" t="s">
        <v>1347</v>
      </c>
      <c r="B325" s="39" t="s">
        <v>1263</v>
      </c>
      <c r="C325" s="30" t="s">
        <v>116</v>
      </c>
      <c r="D325" s="30" t="s">
        <v>52</v>
      </c>
      <c r="E325" s="20" t="s">
        <v>1844</v>
      </c>
      <c r="F325" s="26" t="s">
        <v>1892</v>
      </c>
      <c r="G325" s="30"/>
      <c r="H325" s="30"/>
      <c r="I325" s="29" t="e">
        <f>VLOOKUP(B325,#REF!,2,FALSE)</f>
        <v>#REF!</v>
      </c>
      <c r="J325" s="28"/>
      <c r="K325" s="28"/>
      <c r="L325" s="28"/>
      <c r="M325" s="28"/>
      <c r="N325" s="28"/>
      <c r="O325" s="28"/>
      <c r="P325" s="28"/>
      <c r="Q325" s="28"/>
      <c r="R325" s="28"/>
      <c r="S325" s="28"/>
      <c r="T325" s="28"/>
      <c r="U325" s="28"/>
      <c r="V325" s="28"/>
      <c r="W325" s="28"/>
      <c r="X325" s="28"/>
      <c r="Y325" s="28"/>
      <c r="Z325" s="28"/>
      <c r="AA325" s="28"/>
      <c r="AB325" s="28"/>
      <c r="AC325" s="28"/>
      <c r="AD325" s="28"/>
      <c r="AE325" s="28"/>
      <c r="AF325" s="28"/>
      <c r="AG325" s="28"/>
      <c r="AH325" s="28"/>
      <c r="AI325" s="28"/>
      <c r="AJ325" s="28"/>
      <c r="AK325" s="28"/>
      <c r="AL325" s="28"/>
      <c r="AM325" s="28"/>
      <c r="AN325" s="28"/>
      <c r="AO325" s="28"/>
      <c r="AP325" s="28"/>
      <c r="AQ325" s="28"/>
      <c r="AR325" s="28"/>
      <c r="AS325" s="28"/>
      <c r="AT325" s="28"/>
      <c r="AU325" s="28"/>
      <c r="AV325" s="28"/>
      <c r="AW325" s="28"/>
      <c r="AX325" s="28"/>
      <c r="AY325" s="28"/>
      <c r="AZ325" s="28"/>
      <c r="BA325" s="28"/>
      <c r="BB325" s="28"/>
      <c r="BC325" s="28"/>
      <c r="BD325" s="28"/>
      <c r="BE325" s="28"/>
      <c r="BF325" s="28"/>
      <c r="BG325" s="28"/>
      <c r="BH325" s="28"/>
      <c r="BI325" s="28"/>
      <c r="BJ325" s="28"/>
      <c r="BK325" s="28"/>
      <c r="BL325" s="28"/>
      <c r="BM325" s="28"/>
      <c r="BN325" s="28"/>
      <c r="BO325" s="28"/>
      <c r="BP325" s="28"/>
      <c r="BQ325" s="28"/>
      <c r="BR325" s="28"/>
      <c r="BS325" s="28"/>
      <c r="BT325" s="28"/>
      <c r="BU325" s="28"/>
      <c r="BV325" s="28"/>
      <c r="BW325" s="28"/>
      <c r="BX325" s="28"/>
      <c r="BY325" s="28"/>
      <c r="BZ325" s="28"/>
      <c r="CA325" s="28"/>
      <c r="CB325" s="28"/>
    </row>
    <row r="326" spans="1:80" hidden="1" x14ac:dyDescent="0.25">
      <c r="A326" s="31" t="s">
        <v>1515</v>
      </c>
      <c r="B326" s="39" t="s">
        <v>1514</v>
      </c>
      <c r="C326" s="30" t="s">
        <v>453</v>
      </c>
      <c r="D326" s="30" t="s">
        <v>52</v>
      </c>
      <c r="E326" s="20" t="s">
        <v>1844</v>
      </c>
      <c r="F326" s="26" t="s">
        <v>1892</v>
      </c>
      <c r="G326" s="30"/>
      <c r="H326" s="30"/>
      <c r="I326" s="29" t="e">
        <f>VLOOKUP(B326,#REF!,2,FALSE)</f>
        <v>#REF!</v>
      </c>
      <c r="J326" s="29"/>
      <c r="K326" s="29"/>
      <c r="L326" s="29"/>
      <c r="M326" s="29"/>
      <c r="N326" s="29"/>
      <c r="O326" s="29"/>
      <c r="P326" s="29"/>
      <c r="Q326" s="29"/>
      <c r="R326" s="29"/>
      <c r="S326" s="29"/>
      <c r="T326" s="29"/>
      <c r="U326" s="29"/>
      <c r="V326" s="29"/>
      <c r="W326" s="29"/>
      <c r="X326" s="29"/>
      <c r="Y326" s="29"/>
      <c r="Z326" s="29"/>
      <c r="AA326" s="29"/>
      <c r="AB326" s="29"/>
      <c r="AC326" s="29"/>
      <c r="AD326" s="29"/>
      <c r="AE326" s="29"/>
      <c r="AF326" s="29"/>
      <c r="AG326" s="29"/>
      <c r="AH326" s="29"/>
      <c r="AI326" s="29"/>
      <c r="AJ326" s="29"/>
      <c r="AK326" s="29"/>
      <c r="AL326" s="29"/>
      <c r="AM326" s="29"/>
      <c r="AN326" s="29"/>
      <c r="AO326" s="29"/>
      <c r="AP326" s="29"/>
      <c r="AQ326" s="29"/>
      <c r="AR326" s="29"/>
      <c r="AS326" s="29"/>
      <c r="AT326" s="29"/>
      <c r="AU326" s="29"/>
      <c r="AV326" s="29"/>
      <c r="AW326" s="29"/>
      <c r="AX326" s="29"/>
      <c r="AY326" s="29"/>
      <c r="AZ326" s="29"/>
      <c r="BA326" s="29"/>
      <c r="BB326" s="29"/>
      <c r="BC326" s="29"/>
      <c r="BD326" s="29"/>
      <c r="BE326" s="29"/>
      <c r="BF326" s="29"/>
      <c r="BG326" s="29"/>
      <c r="BH326" s="29"/>
      <c r="BI326" s="29"/>
      <c r="BJ326" s="29"/>
      <c r="BK326" s="29"/>
      <c r="BL326" s="29"/>
      <c r="BM326" s="29"/>
      <c r="BN326" s="29"/>
      <c r="BO326" s="29"/>
      <c r="BP326" s="29"/>
      <c r="BQ326" s="29"/>
      <c r="BR326" s="29"/>
      <c r="BS326" s="29"/>
      <c r="BT326" s="29"/>
      <c r="BU326" s="29"/>
      <c r="BV326" s="29"/>
      <c r="BW326" s="29"/>
      <c r="BX326" s="29"/>
      <c r="BY326" s="29"/>
      <c r="BZ326" s="29"/>
      <c r="CA326" s="29"/>
      <c r="CB326" s="29"/>
    </row>
    <row r="327" spans="1:80" hidden="1" x14ac:dyDescent="0.25">
      <c r="A327" s="31" t="s">
        <v>1610</v>
      </c>
      <c r="B327" s="39" t="s">
        <v>1609</v>
      </c>
      <c r="C327" s="30" t="s">
        <v>64</v>
      </c>
      <c r="D327" s="30" t="s">
        <v>10</v>
      </c>
      <c r="E327" s="20" t="s">
        <v>1844</v>
      </c>
      <c r="F327" s="26" t="s">
        <v>1892</v>
      </c>
      <c r="G327" s="30"/>
      <c r="H327" s="30"/>
      <c r="I327" s="29" t="e">
        <f>VLOOKUP(B327,#REF!,2,FALSE)</f>
        <v>#REF!</v>
      </c>
      <c r="J327" s="28"/>
      <c r="K327" s="28"/>
      <c r="L327" s="28"/>
      <c r="M327" s="28"/>
      <c r="N327" s="28"/>
      <c r="O327" s="28"/>
      <c r="P327" s="28"/>
      <c r="Q327" s="28"/>
      <c r="R327" s="28"/>
      <c r="S327" s="28"/>
      <c r="T327" s="28"/>
      <c r="U327" s="28"/>
      <c r="V327" s="28"/>
      <c r="W327" s="28"/>
      <c r="X327" s="28"/>
      <c r="Y327" s="28"/>
      <c r="Z327" s="28"/>
      <c r="AA327" s="28"/>
      <c r="AB327" s="28"/>
      <c r="AC327" s="28"/>
      <c r="AD327" s="28"/>
      <c r="AE327" s="28"/>
      <c r="AF327" s="28"/>
      <c r="AG327" s="28"/>
      <c r="AH327" s="28"/>
      <c r="AI327" s="28"/>
      <c r="AJ327" s="28"/>
      <c r="AK327" s="28"/>
      <c r="AL327" s="28"/>
      <c r="AM327" s="28"/>
      <c r="AN327" s="28"/>
      <c r="AO327" s="28"/>
      <c r="AP327" s="28"/>
      <c r="AQ327" s="28"/>
      <c r="AR327" s="28"/>
      <c r="AS327" s="28"/>
      <c r="AT327" s="28"/>
      <c r="AU327" s="28"/>
      <c r="AV327" s="28"/>
      <c r="AW327" s="28"/>
      <c r="AX327" s="28"/>
      <c r="AY327" s="28"/>
      <c r="AZ327" s="28"/>
      <c r="BA327" s="28"/>
      <c r="BB327" s="28"/>
      <c r="BC327" s="28"/>
      <c r="BD327" s="28"/>
      <c r="BE327" s="28"/>
      <c r="BF327" s="28"/>
      <c r="BG327" s="28"/>
      <c r="BH327" s="28"/>
      <c r="BI327" s="28"/>
      <c r="BJ327" s="28"/>
      <c r="BK327" s="28"/>
      <c r="BL327" s="28"/>
      <c r="BM327" s="28"/>
      <c r="BN327" s="28"/>
      <c r="BO327" s="28"/>
      <c r="BP327" s="28"/>
      <c r="BQ327" s="28"/>
      <c r="BR327" s="28"/>
      <c r="BS327" s="28"/>
      <c r="BT327" s="28"/>
      <c r="BU327" s="28"/>
      <c r="BV327" s="28"/>
      <c r="BW327" s="28"/>
      <c r="BX327" s="28"/>
      <c r="BY327" s="28"/>
      <c r="BZ327" s="28"/>
      <c r="CA327" s="28"/>
      <c r="CB327" s="28"/>
    </row>
    <row r="328" spans="1:80" hidden="1" x14ac:dyDescent="0.25">
      <c r="A328" s="31" t="s">
        <v>1643</v>
      </c>
      <c r="B328" s="39" t="s">
        <v>1642</v>
      </c>
      <c r="C328" s="30" t="s">
        <v>107</v>
      </c>
      <c r="D328" s="30" t="s">
        <v>52</v>
      </c>
      <c r="E328" s="20" t="s">
        <v>1844</v>
      </c>
      <c r="F328" s="26" t="s">
        <v>1892</v>
      </c>
      <c r="G328" s="30"/>
      <c r="H328" s="30"/>
      <c r="I328" s="29" t="e">
        <f>VLOOKUP(B328,#REF!,2,FALSE)</f>
        <v>#REF!</v>
      </c>
      <c r="J328" s="28"/>
      <c r="K328" s="28"/>
      <c r="L328" s="28"/>
      <c r="M328" s="28"/>
      <c r="N328" s="28"/>
      <c r="O328" s="28"/>
      <c r="P328" s="28"/>
      <c r="Q328" s="28"/>
      <c r="R328" s="28"/>
      <c r="S328" s="28"/>
      <c r="T328" s="28"/>
      <c r="U328" s="28"/>
      <c r="V328" s="28"/>
      <c r="W328" s="28"/>
      <c r="X328" s="28"/>
      <c r="Y328" s="28"/>
      <c r="Z328" s="28"/>
      <c r="AA328" s="28"/>
      <c r="AB328" s="28"/>
      <c r="AC328" s="28"/>
      <c r="AD328" s="28"/>
      <c r="AE328" s="28"/>
      <c r="AF328" s="28"/>
      <c r="AG328" s="28"/>
      <c r="AH328" s="28"/>
      <c r="AI328" s="28"/>
      <c r="AJ328" s="28"/>
      <c r="AK328" s="28"/>
      <c r="AL328" s="28"/>
      <c r="AM328" s="28"/>
      <c r="AN328" s="28"/>
      <c r="AO328" s="28"/>
      <c r="AP328" s="28"/>
      <c r="AQ328" s="28"/>
      <c r="AR328" s="28"/>
      <c r="AS328" s="28"/>
      <c r="AT328" s="28"/>
      <c r="AU328" s="28"/>
      <c r="AV328" s="28"/>
      <c r="AW328" s="28"/>
      <c r="AX328" s="28"/>
      <c r="AY328" s="28"/>
      <c r="AZ328" s="28"/>
      <c r="BA328" s="28"/>
      <c r="BB328" s="28"/>
      <c r="BC328" s="28"/>
      <c r="BD328" s="28"/>
      <c r="BE328" s="28"/>
      <c r="BF328" s="28"/>
      <c r="BG328" s="28"/>
      <c r="BH328" s="28"/>
      <c r="BI328" s="28"/>
      <c r="BJ328" s="28"/>
      <c r="BK328" s="28"/>
      <c r="BL328" s="28"/>
      <c r="BM328" s="28"/>
      <c r="BN328" s="28"/>
      <c r="BO328" s="28"/>
      <c r="BP328" s="28"/>
      <c r="BQ328" s="28"/>
      <c r="BR328" s="28"/>
      <c r="BS328" s="28"/>
      <c r="BT328" s="28"/>
      <c r="BU328" s="28"/>
      <c r="BV328" s="28"/>
      <c r="BW328" s="28"/>
      <c r="BX328" s="28"/>
      <c r="BY328" s="28"/>
      <c r="BZ328" s="28"/>
      <c r="CA328" s="28"/>
      <c r="CB328" s="28"/>
    </row>
    <row r="329" spans="1:80" hidden="1" x14ac:dyDescent="0.25">
      <c r="A329" s="31" t="s">
        <v>1646</v>
      </c>
      <c r="B329" s="39" t="s">
        <v>1644</v>
      </c>
      <c r="C329" s="30" t="s">
        <v>1645</v>
      </c>
      <c r="D329" s="30" t="s">
        <v>52</v>
      </c>
      <c r="E329" s="20" t="s">
        <v>1844</v>
      </c>
      <c r="F329" s="26" t="s">
        <v>1892</v>
      </c>
      <c r="G329" s="30"/>
      <c r="H329" s="30"/>
      <c r="I329" s="29" t="e">
        <f>VLOOKUP(B329,#REF!,2,FALSE)</f>
        <v>#REF!</v>
      </c>
      <c r="J329" s="29"/>
      <c r="K329" s="29"/>
      <c r="L329" s="29"/>
      <c r="M329" s="29"/>
      <c r="N329" s="29"/>
      <c r="O329" s="29"/>
      <c r="P329" s="29"/>
      <c r="Q329" s="29"/>
      <c r="R329" s="29"/>
      <c r="S329" s="29"/>
      <c r="T329" s="29"/>
      <c r="U329" s="29"/>
      <c r="V329" s="29"/>
      <c r="W329" s="29"/>
      <c r="X329" s="29"/>
      <c r="Y329" s="29"/>
      <c r="Z329" s="29"/>
      <c r="AA329" s="29"/>
      <c r="AB329" s="29"/>
      <c r="AC329" s="29"/>
      <c r="AD329" s="29"/>
      <c r="AE329" s="29"/>
      <c r="AF329" s="29"/>
      <c r="AG329" s="29"/>
      <c r="AH329" s="29"/>
      <c r="AI329" s="29"/>
      <c r="AJ329" s="29"/>
      <c r="AK329" s="29"/>
      <c r="AL329" s="29"/>
      <c r="AM329" s="29"/>
      <c r="AN329" s="29"/>
      <c r="AO329" s="29"/>
      <c r="AP329" s="29"/>
      <c r="AQ329" s="29"/>
      <c r="AR329" s="29"/>
      <c r="AS329" s="29"/>
      <c r="AT329" s="29"/>
      <c r="AU329" s="29"/>
      <c r="AV329" s="29"/>
      <c r="AW329" s="29"/>
      <c r="AX329" s="29"/>
      <c r="AY329" s="29"/>
      <c r="AZ329" s="29"/>
      <c r="BA329" s="29"/>
      <c r="BB329" s="29"/>
      <c r="BC329" s="29"/>
      <c r="BD329" s="29"/>
      <c r="BE329" s="29"/>
      <c r="BF329" s="29"/>
      <c r="BG329" s="29"/>
      <c r="BH329" s="29"/>
      <c r="BI329" s="29"/>
      <c r="BJ329" s="29"/>
      <c r="BK329" s="29"/>
      <c r="BL329" s="29"/>
      <c r="BM329" s="29"/>
      <c r="BN329" s="29"/>
      <c r="BO329" s="29"/>
      <c r="BP329" s="29"/>
      <c r="BQ329" s="29"/>
      <c r="BR329" s="29"/>
      <c r="BS329" s="29"/>
      <c r="BT329" s="29"/>
      <c r="BU329" s="29"/>
      <c r="BV329" s="29"/>
      <c r="BW329" s="29"/>
      <c r="BX329" s="29"/>
      <c r="BY329" s="29"/>
      <c r="BZ329" s="29"/>
      <c r="CA329" s="29"/>
      <c r="CB329" s="29"/>
    </row>
    <row r="330" spans="1:80" x14ac:dyDescent="0.25">
      <c r="A330" s="31" t="s">
        <v>1910</v>
      </c>
      <c r="B330" s="39" t="s">
        <v>1911</v>
      </c>
      <c r="C330" s="30" t="s">
        <v>119</v>
      </c>
      <c r="D330" s="30" t="s">
        <v>52</v>
      </c>
      <c r="E330" s="20" t="s">
        <v>1844</v>
      </c>
      <c r="F330" s="26" t="s">
        <v>1892</v>
      </c>
      <c r="G330" s="30"/>
      <c r="H330" s="30"/>
      <c r="I330" s="29" t="e">
        <f>VLOOKUP(B330,#REF!,2,FALSE)</f>
        <v>#REF!</v>
      </c>
      <c r="J330" s="28"/>
      <c r="K330" s="28"/>
      <c r="L330" s="28"/>
      <c r="M330" s="28"/>
      <c r="N330" s="28"/>
      <c r="O330" s="28"/>
      <c r="P330" s="28"/>
      <c r="Q330" s="28"/>
      <c r="R330" s="28"/>
      <c r="S330" s="28"/>
      <c r="T330" s="28"/>
      <c r="U330" s="28"/>
      <c r="V330" s="28"/>
      <c r="W330" s="28"/>
      <c r="X330" s="28"/>
      <c r="Y330" s="28"/>
      <c r="Z330" s="28"/>
      <c r="AA330" s="28"/>
      <c r="AB330" s="28"/>
      <c r="AC330" s="28"/>
      <c r="AD330" s="28"/>
      <c r="AE330" s="28"/>
      <c r="AF330" s="28"/>
      <c r="AG330" s="28"/>
      <c r="AH330" s="28"/>
      <c r="AI330" s="28"/>
      <c r="AJ330" s="28"/>
      <c r="AK330" s="28"/>
      <c r="AL330" s="28"/>
      <c r="AM330" s="28"/>
      <c r="AN330" s="28"/>
      <c r="AO330" s="28"/>
      <c r="AP330" s="28"/>
      <c r="AQ330" s="28"/>
      <c r="AR330" s="28"/>
      <c r="AS330" s="28"/>
      <c r="AT330" s="28"/>
      <c r="AU330" s="28"/>
      <c r="AV330" s="28"/>
      <c r="AW330" s="28"/>
      <c r="AX330" s="28"/>
      <c r="AY330" s="28"/>
      <c r="AZ330" s="28"/>
      <c r="BA330" s="28"/>
      <c r="BB330" s="28"/>
      <c r="BC330" s="28"/>
      <c r="BD330" s="28"/>
      <c r="BE330" s="28"/>
      <c r="BF330" s="28"/>
      <c r="BG330" s="28"/>
      <c r="BH330" s="28"/>
      <c r="BI330" s="28"/>
      <c r="BJ330" s="28"/>
      <c r="BK330" s="28"/>
      <c r="BL330" s="28"/>
      <c r="BM330" s="28"/>
      <c r="BN330" s="28"/>
      <c r="BO330" s="28"/>
      <c r="BP330" s="28"/>
      <c r="BQ330" s="28"/>
      <c r="BR330" s="28"/>
      <c r="BS330" s="28"/>
      <c r="BT330" s="28"/>
      <c r="BU330" s="28"/>
      <c r="BV330" s="28"/>
      <c r="BW330" s="28"/>
      <c r="BX330" s="28"/>
      <c r="BY330" s="28"/>
      <c r="BZ330" s="28"/>
      <c r="CA330" s="28"/>
      <c r="CB330" s="28"/>
    </row>
    <row r="331" spans="1:80" hidden="1" x14ac:dyDescent="0.25">
      <c r="A331" s="31" t="s">
        <v>288</v>
      </c>
      <c r="B331" s="39" t="s">
        <v>287</v>
      </c>
      <c r="C331" s="30" t="s">
        <v>33</v>
      </c>
      <c r="D331" s="30" t="s">
        <v>289</v>
      </c>
      <c r="E331" s="20" t="s">
        <v>1844</v>
      </c>
      <c r="F331" s="26" t="s">
        <v>1892</v>
      </c>
      <c r="G331" s="30"/>
      <c r="H331" s="30"/>
      <c r="I331" s="29" t="e">
        <f>VLOOKUP(B331,#REF!,2,FALSE)</f>
        <v>#REF!</v>
      </c>
      <c r="J331" s="28"/>
      <c r="K331" s="28"/>
      <c r="L331" s="28"/>
      <c r="M331" s="28"/>
      <c r="N331" s="28"/>
      <c r="O331" s="28"/>
      <c r="P331" s="28"/>
      <c r="Q331" s="28"/>
      <c r="R331" s="28"/>
      <c r="S331" s="28"/>
      <c r="T331" s="28"/>
      <c r="U331" s="28"/>
      <c r="V331" s="28"/>
      <c r="W331" s="28"/>
      <c r="X331" s="28"/>
      <c r="Y331" s="28"/>
      <c r="Z331" s="28"/>
      <c r="AA331" s="28"/>
      <c r="AB331" s="28"/>
      <c r="AC331" s="28"/>
      <c r="AD331" s="28"/>
      <c r="AE331" s="28"/>
      <c r="AF331" s="28"/>
      <c r="AG331" s="28"/>
      <c r="AH331" s="28"/>
      <c r="AI331" s="28"/>
      <c r="AJ331" s="28"/>
      <c r="AK331" s="28"/>
      <c r="AL331" s="28"/>
      <c r="AM331" s="28"/>
      <c r="AN331" s="28"/>
      <c r="AO331" s="28"/>
      <c r="AP331" s="28"/>
      <c r="AQ331" s="28"/>
      <c r="AR331" s="28"/>
      <c r="AS331" s="28"/>
      <c r="AT331" s="28"/>
      <c r="AU331" s="28"/>
      <c r="AV331" s="28"/>
      <c r="AW331" s="28"/>
      <c r="AX331" s="28"/>
      <c r="AY331" s="28"/>
      <c r="AZ331" s="28"/>
      <c r="BA331" s="28"/>
      <c r="BB331" s="28"/>
      <c r="BC331" s="28"/>
      <c r="BD331" s="28"/>
      <c r="BE331" s="28"/>
      <c r="BF331" s="28"/>
      <c r="BG331" s="28"/>
      <c r="BH331" s="28"/>
      <c r="BI331" s="28"/>
      <c r="BJ331" s="28"/>
      <c r="BK331" s="28"/>
      <c r="BL331" s="28"/>
      <c r="BM331" s="28"/>
      <c r="BN331" s="28"/>
      <c r="BO331" s="28"/>
      <c r="BP331" s="28"/>
      <c r="BQ331" s="28"/>
      <c r="BR331" s="28"/>
      <c r="BS331" s="28"/>
      <c r="BT331" s="28"/>
      <c r="BU331" s="28"/>
      <c r="BV331" s="28"/>
      <c r="BW331" s="28"/>
      <c r="BX331" s="28"/>
      <c r="BY331" s="28"/>
      <c r="BZ331" s="28"/>
      <c r="CA331" s="28"/>
      <c r="CB331" s="28"/>
    </row>
    <row r="332" spans="1:80" hidden="1" x14ac:dyDescent="0.25">
      <c r="A332" s="31" t="s">
        <v>392</v>
      </c>
      <c r="B332" s="39" t="s">
        <v>391</v>
      </c>
      <c r="C332" s="30" t="s">
        <v>91</v>
      </c>
      <c r="D332" s="30" t="s">
        <v>14</v>
      </c>
      <c r="E332" s="20" t="s">
        <v>1912</v>
      </c>
      <c r="F332" s="26" t="s">
        <v>1665</v>
      </c>
      <c r="G332" s="30"/>
      <c r="H332" s="30"/>
      <c r="I332" s="29" t="e">
        <f>VLOOKUP(B332,#REF!,2,FALSE)</f>
        <v>#REF!</v>
      </c>
      <c r="J332" s="28"/>
      <c r="K332" s="28"/>
      <c r="L332" s="28"/>
      <c r="M332" s="28"/>
      <c r="N332" s="28"/>
      <c r="O332" s="28"/>
      <c r="P332" s="28"/>
      <c r="Q332" s="28"/>
      <c r="R332" s="28"/>
      <c r="S332" s="28"/>
      <c r="T332" s="28"/>
      <c r="U332" s="28"/>
      <c r="V332" s="28"/>
      <c r="W332" s="28"/>
      <c r="X332" s="28"/>
      <c r="Y332" s="28"/>
      <c r="Z332" s="28"/>
      <c r="AA332" s="28"/>
      <c r="AB332" s="28"/>
      <c r="AC332" s="28"/>
      <c r="AD332" s="28"/>
      <c r="AE332" s="28"/>
      <c r="AF332" s="28"/>
      <c r="AG332" s="28"/>
      <c r="AH332" s="28"/>
      <c r="AI332" s="28"/>
      <c r="AJ332" s="28"/>
      <c r="AK332" s="28"/>
      <c r="AL332" s="28"/>
      <c r="AM332" s="28"/>
      <c r="AN332" s="28"/>
      <c r="AO332" s="28"/>
      <c r="AP332" s="28"/>
      <c r="AQ332" s="28"/>
      <c r="AR332" s="28"/>
      <c r="AS332" s="28"/>
      <c r="AT332" s="28"/>
      <c r="AU332" s="28"/>
      <c r="AV332" s="28"/>
      <c r="AW332" s="28"/>
      <c r="AX332" s="28"/>
      <c r="AY332" s="28"/>
      <c r="AZ332" s="28"/>
      <c r="BA332" s="28"/>
      <c r="BB332" s="28"/>
      <c r="BC332" s="28"/>
      <c r="BD332" s="28"/>
      <c r="BE332" s="28"/>
      <c r="BF332" s="28"/>
      <c r="BG332" s="28"/>
      <c r="BH332" s="28"/>
      <c r="BI332" s="28"/>
      <c r="BJ332" s="28"/>
      <c r="BK332" s="28"/>
      <c r="BL332" s="28"/>
      <c r="BM332" s="28"/>
      <c r="BN332" s="28"/>
      <c r="BO332" s="28"/>
      <c r="BP332" s="28"/>
      <c r="BQ332" s="28"/>
      <c r="BR332" s="28"/>
      <c r="BS332" s="28"/>
      <c r="BT332" s="28"/>
      <c r="BU332" s="28"/>
      <c r="BV332" s="28"/>
      <c r="BW332" s="28"/>
      <c r="BX332" s="28"/>
      <c r="BY332" s="28"/>
      <c r="BZ332" s="28"/>
      <c r="CA332" s="28"/>
      <c r="CB332" s="28"/>
    </row>
    <row r="333" spans="1:80" hidden="1" x14ac:dyDescent="0.25">
      <c r="A333" s="31" t="s">
        <v>475</v>
      </c>
      <c r="B333" s="39" t="s">
        <v>474</v>
      </c>
      <c r="C333" s="30" t="s">
        <v>457</v>
      </c>
      <c r="D333" s="30" t="s">
        <v>52</v>
      </c>
      <c r="E333" s="20" t="s">
        <v>1912</v>
      </c>
      <c r="F333" s="26" t="s">
        <v>1665</v>
      </c>
      <c r="G333" s="30"/>
      <c r="H333" s="30"/>
      <c r="I333" s="29" t="e">
        <f>VLOOKUP(B333,#REF!,2,FALSE)</f>
        <v>#REF!</v>
      </c>
      <c r="J333" s="28"/>
      <c r="K333" s="28"/>
      <c r="L333" s="28"/>
      <c r="M333" s="28"/>
      <c r="N333" s="28"/>
      <c r="O333" s="28"/>
      <c r="P333" s="28"/>
      <c r="Q333" s="28"/>
      <c r="R333" s="28"/>
      <c r="S333" s="28"/>
      <c r="T333" s="28"/>
      <c r="U333" s="28"/>
      <c r="V333" s="28"/>
      <c r="W333" s="28"/>
      <c r="X333" s="28"/>
      <c r="Y333" s="28"/>
      <c r="Z333" s="28"/>
      <c r="AA333" s="28"/>
      <c r="AB333" s="28"/>
      <c r="AC333" s="28"/>
      <c r="AD333" s="28"/>
      <c r="AE333" s="28"/>
      <c r="AF333" s="28"/>
      <c r="AG333" s="28"/>
      <c r="AH333" s="28"/>
      <c r="AI333" s="28"/>
      <c r="AJ333" s="28"/>
      <c r="AK333" s="28"/>
      <c r="AL333" s="28"/>
      <c r="AM333" s="28"/>
      <c r="AN333" s="28"/>
      <c r="AO333" s="28"/>
      <c r="AP333" s="28"/>
      <c r="AQ333" s="28"/>
      <c r="AR333" s="28"/>
      <c r="AS333" s="28"/>
      <c r="AT333" s="28"/>
      <c r="AU333" s="28"/>
      <c r="AV333" s="28"/>
      <c r="AW333" s="28"/>
      <c r="AX333" s="28"/>
      <c r="AY333" s="28"/>
      <c r="AZ333" s="28"/>
      <c r="BA333" s="28"/>
      <c r="BB333" s="28"/>
      <c r="BC333" s="28"/>
      <c r="BD333" s="28"/>
      <c r="BE333" s="28"/>
      <c r="BF333" s="28"/>
      <c r="BG333" s="28"/>
      <c r="BH333" s="28"/>
      <c r="BI333" s="28"/>
      <c r="BJ333" s="28"/>
      <c r="BK333" s="28"/>
      <c r="BL333" s="28"/>
      <c r="BM333" s="28"/>
      <c r="BN333" s="28"/>
      <c r="BO333" s="28"/>
      <c r="BP333" s="28"/>
      <c r="BQ333" s="28"/>
      <c r="BR333" s="28"/>
      <c r="BS333" s="28"/>
      <c r="BT333" s="28"/>
      <c r="BU333" s="28"/>
      <c r="BV333" s="28"/>
      <c r="BW333" s="28"/>
      <c r="BX333" s="28"/>
      <c r="BY333" s="28"/>
      <c r="BZ333" s="28"/>
      <c r="CA333" s="28"/>
      <c r="CB333" s="28"/>
    </row>
    <row r="334" spans="1:80" hidden="1" x14ac:dyDescent="0.25">
      <c r="A334" s="31" t="s">
        <v>302</v>
      </c>
      <c r="B334" s="39" t="s">
        <v>1913</v>
      </c>
      <c r="C334" s="30" t="s">
        <v>1769</v>
      </c>
      <c r="D334" s="30" t="s">
        <v>10</v>
      </c>
      <c r="E334" s="20" t="s">
        <v>1912</v>
      </c>
      <c r="F334" s="26" t="s">
        <v>1914</v>
      </c>
      <c r="G334" s="36"/>
      <c r="H334" s="36" t="s">
        <v>10</v>
      </c>
      <c r="I334" s="29" t="e">
        <f>VLOOKUP(B334,#REF!,2,FALSE)</f>
        <v>#REF!</v>
      </c>
      <c r="J334" s="27"/>
      <c r="K334" s="27"/>
      <c r="L334" s="27"/>
      <c r="M334" s="27"/>
      <c r="N334" s="27"/>
      <c r="O334" s="27"/>
      <c r="P334" s="27"/>
      <c r="Q334" s="27"/>
      <c r="R334" s="27"/>
      <c r="S334" s="27"/>
      <c r="T334" s="27"/>
      <c r="U334" s="27"/>
      <c r="V334" s="27"/>
      <c r="W334" s="27"/>
      <c r="X334" s="27"/>
      <c r="Y334" s="27"/>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c r="BC334" s="27"/>
      <c r="BD334" s="27"/>
      <c r="BE334" s="27"/>
      <c r="BF334" s="27"/>
      <c r="BG334" s="27"/>
      <c r="BH334" s="27"/>
      <c r="BI334" s="27"/>
      <c r="BJ334" s="27"/>
      <c r="BK334" s="27"/>
      <c r="BL334" s="27"/>
      <c r="BM334" s="27"/>
      <c r="BN334" s="27"/>
      <c r="BO334" s="27"/>
      <c r="BP334" s="27"/>
      <c r="BQ334" s="27"/>
      <c r="BR334" s="27"/>
      <c r="BS334" s="27"/>
      <c r="BT334" s="27"/>
      <c r="BU334" s="27"/>
      <c r="BV334" s="27"/>
      <c r="BW334" s="27"/>
      <c r="BX334" s="27"/>
      <c r="BY334" s="27"/>
      <c r="BZ334" s="27"/>
      <c r="CA334" s="27"/>
      <c r="CB334" s="27"/>
    </row>
    <row r="335" spans="1:80" hidden="1" x14ac:dyDescent="0.25">
      <c r="A335" s="31" t="s">
        <v>426</v>
      </c>
      <c r="B335" s="39" t="s">
        <v>1915</v>
      </c>
      <c r="C335" s="30" t="s">
        <v>1679</v>
      </c>
      <c r="D335" s="30" t="s">
        <v>52</v>
      </c>
      <c r="E335" s="20" t="s">
        <v>1912</v>
      </c>
      <c r="F335" s="26" t="s">
        <v>1914</v>
      </c>
      <c r="G335" s="30"/>
      <c r="H335" s="30"/>
      <c r="I335" s="29" t="e">
        <f>VLOOKUP(B335,#REF!,2,FALSE)</f>
        <v>#REF!</v>
      </c>
      <c r="J335" s="28"/>
      <c r="K335" s="28"/>
      <c r="L335" s="28"/>
      <c r="M335" s="28"/>
      <c r="N335" s="28"/>
      <c r="O335" s="28"/>
      <c r="P335" s="28"/>
      <c r="Q335" s="28"/>
      <c r="R335" s="28"/>
      <c r="S335" s="28"/>
      <c r="T335" s="28"/>
      <c r="U335" s="28"/>
      <c r="V335" s="28"/>
      <c r="W335" s="28"/>
      <c r="X335" s="28"/>
      <c r="Y335" s="28"/>
      <c r="Z335" s="28"/>
      <c r="AA335" s="28"/>
      <c r="AB335" s="28"/>
      <c r="AC335" s="28"/>
      <c r="AD335" s="28"/>
      <c r="AE335" s="28"/>
      <c r="AF335" s="28"/>
      <c r="AG335" s="28"/>
      <c r="AH335" s="28"/>
      <c r="AI335" s="28"/>
      <c r="AJ335" s="28"/>
      <c r="AK335" s="28"/>
      <c r="AL335" s="28"/>
      <c r="AM335" s="28"/>
      <c r="AN335" s="28"/>
      <c r="AO335" s="28"/>
      <c r="AP335" s="28"/>
      <c r="AQ335" s="28"/>
      <c r="AR335" s="28"/>
      <c r="AS335" s="28"/>
      <c r="AT335" s="28"/>
      <c r="AU335" s="28"/>
      <c r="AV335" s="28"/>
      <c r="AW335" s="28"/>
      <c r="AX335" s="28"/>
      <c r="AY335" s="28"/>
      <c r="AZ335" s="28"/>
      <c r="BA335" s="28"/>
      <c r="BB335" s="28"/>
      <c r="BC335" s="28"/>
      <c r="BD335" s="28"/>
      <c r="BE335" s="28"/>
      <c r="BF335" s="28"/>
      <c r="BG335" s="28"/>
      <c r="BH335" s="28"/>
      <c r="BI335" s="28"/>
      <c r="BJ335" s="28"/>
      <c r="BK335" s="28"/>
      <c r="BL335" s="28"/>
      <c r="BM335" s="28"/>
      <c r="BN335" s="28"/>
      <c r="BO335" s="28"/>
      <c r="BP335" s="28"/>
      <c r="BQ335" s="28"/>
      <c r="BR335" s="28"/>
      <c r="BS335" s="28"/>
      <c r="BT335" s="28"/>
      <c r="BU335" s="28"/>
      <c r="BV335" s="28"/>
      <c r="BW335" s="28"/>
      <c r="BX335" s="28"/>
      <c r="BY335" s="28"/>
      <c r="BZ335" s="28"/>
      <c r="CA335" s="28"/>
      <c r="CB335" s="28"/>
    </row>
    <row r="336" spans="1:80" hidden="1" x14ac:dyDescent="0.25">
      <c r="A336" s="31" t="s">
        <v>435</v>
      </c>
      <c r="B336" s="39" t="s">
        <v>434</v>
      </c>
      <c r="C336" s="30" t="s">
        <v>135</v>
      </c>
      <c r="D336" s="30" t="s">
        <v>52</v>
      </c>
      <c r="E336" s="20" t="s">
        <v>1912</v>
      </c>
      <c r="F336" s="26" t="s">
        <v>1914</v>
      </c>
      <c r="G336" s="30"/>
      <c r="H336" s="30"/>
      <c r="I336" s="29" t="e">
        <f>VLOOKUP(B336,#REF!,2,FALSE)</f>
        <v>#REF!</v>
      </c>
      <c r="J336" s="28"/>
      <c r="K336" s="28"/>
      <c r="L336" s="28"/>
      <c r="M336" s="28"/>
      <c r="N336" s="28"/>
      <c r="O336" s="28"/>
      <c r="P336" s="28"/>
      <c r="Q336" s="28"/>
      <c r="R336" s="28"/>
      <c r="S336" s="28"/>
      <c r="T336" s="28"/>
      <c r="U336" s="28"/>
      <c r="V336" s="28"/>
      <c r="W336" s="28"/>
      <c r="X336" s="28"/>
      <c r="Y336" s="28"/>
      <c r="Z336" s="28"/>
      <c r="AA336" s="28"/>
      <c r="AB336" s="28"/>
      <c r="AC336" s="28"/>
      <c r="AD336" s="28"/>
      <c r="AE336" s="28"/>
      <c r="AF336" s="28"/>
      <c r="AG336" s="28"/>
      <c r="AH336" s="28"/>
      <c r="AI336" s="28"/>
      <c r="AJ336" s="28"/>
      <c r="AK336" s="28"/>
      <c r="AL336" s="28"/>
      <c r="AM336" s="28"/>
      <c r="AN336" s="28"/>
      <c r="AO336" s="28"/>
      <c r="AP336" s="28"/>
      <c r="AQ336" s="28"/>
      <c r="AR336" s="28"/>
      <c r="AS336" s="28"/>
      <c r="AT336" s="28"/>
      <c r="AU336" s="28"/>
      <c r="AV336" s="28"/>
      <c r="AW336" s="28"/>
      <c r="AX336" s="28"/>
      <c r="AY336" s="28"/>
      <c r="AZ336" s="28"/>
      <c r="BA336" s="28"/>
      <c r="BB336" s="28"/>
      <c r="BC336" s="28"/>
      <c r="BD336" s="28"/>
      <c r="BE336" s="28"/>
      <c r="BF336" s="28"/>
      <c r="BG336" s="28"/>
      <c r="BH336" s="28"/>
      <c r="BI336" s="28"/>
      <c r="BJ336" s="28"/>
      <c r="BK336" s="28"/>
      <c r="BL336" s="28"/>
      <c r="BM336" s="28"/>
      <c r="BN336" s="28"/>
      <c r="BO336" s="28"/>
      <c r="BP336" s="28"/>
      <c r="BQ336" s="28"/>
      <c r="BR336" s="28"/>
      <c r="BS336" s="28"/>
      <c r="BT336" s="28"/>
      <c r="BU336" s="28"/>
      <c r="BV336" s="28"/>
      <c r="BW336" s="28"/>
      <c r="BX336" s="28"/>
      <c r="BY336" s="28"/>
      <c r="BZ336" s="28"/>
      <c r="CA336" s="28"/>
      <c r="CB336" s="28"/>
    </row>
    <row r="337" spans="1:9" hidden="1" x14ac:dyDescent="0.25">
      <c r="A337" s="31" t="s">
        <v>468</v>
      </c>
      <c r="B337" s="39" t="s">
        <v>1916</v>
      </c>
      <c r="C337" s="30" t="s">
        <v>1672</v>
      </c>
      <c r="D337" s="30" t="s">
        <v>52</v>
      </c>
      <c r="E337" s="20" t="s">
        <v>1912</v>
      </c>
      <c r="F337" s="26" t="s">
        <v>1914</v>
      </c>
      <c r="G337" s="30"/>
      <c r="H337" s="30"/>
      <c r="I337" s="29" t="e">
        <f>VLOOKUP(B337,#REF!,2,FALSE)</f>
        <v>#REF!</v>
      </c>
    </row>
    <row r="338" spans="1:9" hidden="1" x14ac:dyDescent="0.25">
      <c r="A338" s="31" t="s">
        <v>482</v>
      </c>
      <c r="B338" s="39" t="s">
        <v>481</v>
      </c>
      <c r="C338" s="30" t="s">
        <v>33</v>
      </c>
      <c r="D338" s="30" t="s">
        <v>52</v>
      </c>
      <c r="E338" s="20" t="s">
        <v>1912</v>
      </c>
      <c r="F338" s="26" t="s">
        <v>1914</v>
      </c>
      <c r="G338" s="30"/>
      <c r="H338" s="30"/>
      <c r="I338" s="29" t="e">
        <f>VLOOKUP(B338,#REF!,2,FALSE)</f>
        <v>#REF!</v>
      </c>
    </row>
    <row r="339" spans="1:9" hidden="1" x14ac:dyDescent="0.25">
      <c r="A339" s="33" t="s">
        <v>486</v>
      </c>
      <c r="B339" s="38" t="s">
        <v>485</v>
      </c>
      <c r="C339" s="32" t="s">
        <v>197</v>
      </c>
      <c r="D339" s="32" t="s">
        <v>52</v>
      </c>
      <c r="E339" s="21" t="s">
        <v>1912</v>
      </c>
      <c r="F339" s="25" t="s">
        <v>1914</v>
      </c>
      <c r="G339" s="32"/>
      <c r="H339" s="32"/>
      <c r="I339" s="29" t="e">
        <f>VLOOKUP(B339,#REF!,2,FALSE)</f>
        <v>#REF!</v>
      </c>
    </row>
    <row r="340" spans="1:9" hidden="1" x14ac:dyDescent="0.25">
      <c r="A340" s="31" t="s">
        <v>491</v>
      </c>
      <c r="B340" s="39" t="s">
        <v>490</v>
      </c>
      <c r="C340" s="30" t="s">
        <v>352</v>
      </c>
      <c r="D340" s="30" t="s">
        <v>14</v>
      </c>
      <c r="E340" s="20" t="s">
        <v>1912</v>
      </c>
      <c r="F340" s="26" t="s">
        <v>1914</v>
      </c>
      <c r="G340" s="30"/>
      <c r="H340" s="30"/>
      <c r="I340" s="29" t="e">
        <f>VLOOKUP(B340,#REF!,2,FALSE)</f>
        <v>#REF!</v>
      </c>
    </row>
    <row r="341" spans="1:9" hidden="1" x14ac:dyDescent="0.25">
      <c r="A341" s="31" t="s">
        <v>516</v>
      </c>
      <c r="B341" s="39" t="s">
        <v>514</v>
      </c>
      <c r="C341" s="30" t="s">
        <v>515</v>
      </c>
      <c r="D341" s="30" t="s">
        <v>52</v>
      </c>
      <c r="E341" s="20" t="s">
        <v>1912</v>
      </c>
      <c r="F341" s="26" t="s">
        <v>1914</v>
      </c>
      <c r="G341" s="30"/>
      <c r="H341" s="30"/>
      <c r="I341" s="29" t="e">
        <f>VLOOKUP(B341,#REF!,2,FALSE)</f>
        <v>#REF!</v>
      </c>
    </row>
    <row r="342" spans="1:9" hidden="1" x14ac:dyDescent="0.25">
      <c r="A342" s="31" t="s">
        <v>543</v>
      </c>
      <c r="B342" s="39" t="s">
        <v>542</v>
      </c>
      <c r="C342" s="30" t="s">
        <v>91</v>
      </c>
      <c r="D342" s="30" t="s">
        <v>14</v>
      </c>
      <c r="E342" s="20" t="s">
        <v>1912</v>
      </c>
      <c r="F342" s="26" t="s">
        <v>1914</v>
      </c>
      <c r="G342" s="30"/>
      <c r="H342" s="30"/>
      <c r="I342" s="29" t="e">
        <f>VLOOKUP(B342,#REF!,2,FALSE)</f>
        <v>#REF!</v>
      </c>
    </row>
    <row r="343" spans="1:9" hidden="1" x14ac:dyDescent="0.25">
      <c r="A343" s="31" t="s">
        <v>322</v>
      </c>
      <c r="B343" s="39" t="s">
        <v>1917</v>
      </c>
      <c r="C343" s="30" t="s">
        <v>1918</v>
      </c>
      <c r="D343" s="30" t="s">
        <v>14</v>
      </c>
      <c r="E343" s="20" t="s">
        <v>1912</v>
      </c>
      <c r="F343" s="26" t="s">
        <v>1919</v>
      </c>
      <c r="G343" s="30"/>
      <c r="H343" s="30"/>
      <c r="I343" s="29" t="e">
        <f>VLOOKUP(B343,#REF!,2,FALSE)</f>
        <v>#REF!</v>
      </c>
    </row>
    <row r="344" spans="1:9" hidden="1" x14ac:dyDescent="0.25">
      <c r="A344" s="31" t="s">
        <v>327</v>
      </c>
      <c r="B344" s="39" t="s">
        <v>326</v>
      </c>
      <c r="C344" s="30" t="s">
        <v>122</v>
      </c>
      <c r="D344" s="30" t="s">
        <v>97</v>
      </c>
      <c r="E344" s="20" t="s">
        <v>1912</v>
      </c>
      <c r="F344" s="26" t="s">
        <v>1919</v>
      </c>
      <c r="G344" s="30"/>
      <c r="H344" s="30"/>
      <c r="I344" s="29" t="e">
        <f>VLOOKUP(B344,#REF!,2,FALSE)</f>
        <v>#REF!</v>
      </c>
    </row>
    <row r="345" spans="1:9" hidden="1" x14ac:dyDescent="0.25">
      <c r="A345" s="31" t="s">
        <v>345</v>
      </c>
      <c r="B345" s="39" t="s">
        <v>343</v>
      </c>
      <c r="C345" s="30" t="s">
        <v>344</v>
      </c>
      <c r="D345" s="30" t="s">
        <v>97</v>
      </c>
      <c r="E345" s="20" t="s">
        <v>1912</v>
      </c>
      <c r="F345" s="26" t="s">
        <v>1919</v>
      </c>
      <c r="G345" s="30"/>
      <c r="H345" s="30"/>
      <c r="I345" s="29" t="e">
        <f>VLOOKUP(B345,#REF!,2,FALSE)</f>
        <v>#REF!</v>
      </c>
    </row>
    <row r="346" spans="1:9" hidden="1" x14ac:dyDescent="0.25">
      <c r="A346" s="31" t="s">
        <v>293</v>
      </c>
      <c r="B346" s="39" t="s">
        <v>1706</v>
      </c>
      <c r="C346" s="30" t="s">
        <v>1690</v>
      </c>
      <c r="D346" s="30" t="s">
        <v>10</v>
      </c>
      <c r="E346" s="20" t="s">
        <v>1912</v>
      </c>
      <c r="F346" s="26" t="s">
        <v>1919</v>
      </c>
      <c r="G346" s="30"/>
      <c r="H346" s="30"/>
      <c r="I346" s="29" t="e">
        <f>VLOOKUP(B346,#REF!,2,FALSE)</f>
        <v>#REF!</v>
      </c>
    </row>
    <row r="347" spans="1:9" hidden="1" x14ac:dyDescent="0.25">
      <c r="A347" s="31" t="s">
        <v>360</v>
      </c>
      <c r="B347" s="39" t="s">
        <v>359</v>
      </c>
      <c r="C347" s="30" t="s">
        <v>43</v>
      </c>
      <c r="D347" s="30" t="s">
        <v>97</v>
      </c>
      <c r="E347" s="20" t="s">
        <v>1912</v>
      </c>
      <c r="F347" s="26" t="s">
        <v>1919</v>
      </c>
      <c r="G347" s="30"/>
      <c r="H347" s="30"/>
      <c r="I347" s="29" t="e">
        <f>VLOOKUP(B347,#REF!,2,FALSE)</f>
        <v>#REF!</v>
      </c>
    </row>
    <row r="348" spans="1:9" hidden="1" x14ac:dyDescent="0.25">
      <c r="A348" s="31" t="s">
        <v>171</v>
      </c>
      <c r="B348" s="39" t="s">
        <v>169</v>
      </c>
      <c r="C348" s="30" t="s">
        <v>170</v>
      </c>
      <c r="D348" s="30" t="s">
        <v>14</v>
      </c>
      <c r="E348" s="20" t="s">
        <v>1912</v>
      </c>
      <c r="F348" s="26" t="s">
        <v>1919</v>
      </c>
      <c r="G348" s="30"/>
      <c r="H348" s="30"/>
      <c r="I348" s="29" t="e">
        <f>VLOOKUP(B348,#REF!,2,FALSE)</f>
        <v>#REF!</v>
      </c>
    </row>
    <row r="349" spans="1:9" hidden="1" x14ac:dyDescent="0.25">
      <c r="A349" s="31" t="s">
        <v>496</v>
      </c>
      <c r="B349" s="39" t="s">
        <v>494</v>
      </c>
      <c r="C349" s="30" t="s">
        <v>495</v>
      </c>
      <c r="D349" s="30" t="s">
        <v>97</v>
      </c>
      <c r="E349" s="20" t="s">
        <v>1912</v>
      </c>
      <c r="F349" s="26" t="s">
        <v>1919</v>
      </c>
      <c r="G349" s="30"/>
      <c r="H349" s="30"/>
      <c r="I349" s="29" t="e">
        <f>VLOOKUP(B349,#REF!,2,FALSE)</f>
        <v>#REF!</v>
      </c>
    </row>
    <row r="350" spans="1:9" hidden="1" x14ac:dyDescent="0.25">
      <c r="A350" s="31" t="s">
        <v>505</v>
      </c>
      <c r="B350" s="39" t="s">
        <v>1920</v>
      </c>
      <c r="C350" s="30" t="s">
        <v>1679</v>
      </c>
      <c r="D350" s="30" t="s">
        <v>97</v>
      </c>
      <c r="E350" s="20" t="s">
        <v>1912</v>
      </c>
      <c r="F350" s="26" t="s">
        <v>1919</v>
      </c>
      <c r="G350" s="30"/>
      <c r="H350" s="30"/>
      <c r="I350" s="29" t="e">
        <f>VLOOKUP(B350,#REF!,2,FALSE)</f>
        <v>#REF!</v>
      </c>
    </row>
    <row r="351" spans="1:9" hidden="1" x14ac:dyDescent="0.25">
      <c r="A351" s="31" t="s">
        <v>554</v>
      </c>
      <c r="B351" s="39" t="s">
        <v>553</v>
      </c>
      <c r="C351" s="30" t="s">
        <v>86</v>
      </c>
      <c r="D351" s="30" t="s">
        <v>97</v>
      </c>
      <c r="E351" s="20" t="s">
        <v>1912</v>
      </c>
      <c r="F351" s="26" t="s">
        <v>1919</v>
      </c>
      <c r="G351" s="30"/>
      <c r="H351" s="30"/>
      <c r="I351" s="29" t="e">
        <f>VLOOKUP(B351,#REF!,2,FALSE)</f>
        <v>#REF!</v>
      </c>
    </row>
    <row r="352" spans="1:9" hidden="1" x14ac:dyDescent="0.25">
      <c r="A352" s="31" t="s">
        <v>561</v>
      </c>
      <c r="B352" s="39" t="s">
        <v>559</v>
      </c>
      <c r="C352" s="30" t="s">
        <v>560</v>
      </c>
      <c r="D352" s="30" t="s">
        <v>97</v>
      </c>
      <c r="E352" s="20" t="s">
        <v>1912</v>
      </c>
      <c r="F352" s="26" t="s">
        <v>1919</v>
      </c>
      <c r="G352" s="30"/>
      <c r="H352" s="30"/>
      <c r="I352" s="29" t="e">
        <f>VLOOKUP(B352,#REF!,2,FALSE)</f>
        <v>#REF!</v>
      </c>
    </row>
    <row r="353" spans="1:80" hidden="1" x14ac:dyDescent="0.25">
      <c r="A353" s="31" t="s">
        <v>347</v>
      </c>
      <c r="B353" s="39" t="s">
        <v>346</v>
      </c>
      <c r="C353" s="30" t="s">
        <v>67</v>
      </c>
      <c r="D353" s="30" t="s">
        <v>52</v>
      </c>
      <c r="E353" s="20" t="s">
        <v>1912</v>
      </c>
      <c r="F353" s="26" t="s">
        <v>1921</v>
      </c>
      <c r="G353" s="30"/>
      <c r="H353" s="30"/>
      <c r="I353" s="29" t="e">
        <f>VLOOKUP(B353,#REF!,2,FALSE)</f>
        <v>#REF!</v>
      </c>
      <c r="J353" s="28"/>
      <c r="K353" s="28"/>
      <c r="L353" s="28"/>
      <c r="M353" s="28"/>
      <c r="N353" s="28"/>
      <c r="O353" s="28"/>
      <c r="P353" s="28"/>
      <c r="Q353" s="28"/>
      <c r="R353" s="28"/>
      <c r="S353" s="28"/>
      <c r="T353" s="28"/>
      <c r="U353" s="28"/>
      <c r="V353" s="28"/>
      <c r="W353" s="28"/>
      <c r="X353" s="28"/>
      <c r="Y353" s="28"/>
      <c r="Z353" s="28"/>
      <c r="AA353" s="28"/>
      <c r="AB353" s="28"/>
      <c r="AC353" s="28"/>
      <c r="AD353" s="28"/>
      <c r="AE353" s="28"/>
      <c r="AF353" s="28"/>
      <c r="AG353" s="28"/>
      <c r="AH353" s="28"/>
      <c r="AI353" s="28"/>
      <c r="AJ353" s="28"/>
      <c r="AK353" s="28"/>
      <c r="AL353" s="28"/>
      <c r="AM353" s="28"/>
      <c r="AN353" s="28"/>
      <c r="AO353" s="28"/>
      <c r="AP353" s="28"/>
      <c r="AQ353" s="28"/>
      <c r="AR353" s="28"/>
      <c r="AS353" s="28"/>
      <c r="AT353" s="28"/>
      <c r="AU353" s="28"/>
      <c r="AV353" s="28"/>
      <c r="AW353" s="28"/>
      <c r="AX353" s="28"/>
      <c r="AY353" s="28"/>
      <c r="AZ353" s="28"/>
      <c r="BA353" s="28"/>
      <c r="BB353" s="28"/>
      <c r="BC353" s="28"/>
      <c r="BD353" s="28"/>
      <c r="BE353" s="28"/>
      <c r="BF353" s="28"/>
      <c r="BG353" s="28"/>
      <c r="BH353" s="28"/>
      <c r="BI353" s="28"/>
      <c r="BJ353" s="28"/>
      <c r="BK353" s="28"/>
      <c r="BL353" s="28"/>
      <c r="BM353" s="28"/>
      <c r="BN353" s="28"/>
      <c r="BO353" s="28"/>
      <c r="BP353" s="28"/>
      <c r="BQ353" s="28"/>
      <c r="BR353" s="28"/>
      <c r="BS353" s="28"/>
      <c r="BT353" s="28"/>
      <c r="BU353" s="28"/>
      <c r="BV353" s="28"/>
      <c r="BW353" s="28"/>
      <c r="BX353" s="28"/>
      <c r="BY353" s="28"/>
      <c r="BZ353" s="28"/>
      <c r="CA353" s="28"/>
      <c r="CB353" s="28"/>
    </row>
    <row r="354" spans="1:80" hidden="1" x14ac:dyDescent="0.25">
      <c r="A354" s="31" t="s">
        <v>1280</v>
      </c>
      <c r="B354" s="39" t="s">
        <v>1279</v>
      </c>
      <c r="C354" s="30" t="s">
        <v>276</v>
      </c>
      <c r="D354" s="30" t="s">
        <v>52</v>
      </c>
      <c r="E354" s="20" t="s">
        <v>1912</v>
      </c>
      <c r="F354" s="26" t="s">
        <v>1921</v>
      </c>
      <c r="G354" s="30"/>
      <c r="H354" s="30"/>
      <c r="I354" s="29" t="e">
        <f>VLOOKUP(B354,#REF!,2,FALSE)</f>
        <v>#REF!</v>
      </c>
      <c r="J354" s="28"/>
      <c r="K354" s="28"/>
      <c r="L354" s="28"/>
      <c r="M354" s="28"/>
      <c r="N354" s="28"/>
      <c r="O354" s="28"/>
      <c r="P354" s="28"/>
      <c r="Q354" s="28"/>
      <c r="R354" s="28"/>
      <c r="S354" s="28"/>
      <c r="T354" s="28"/>
      <c r="U354" s="28"/>
      <c r="V354" s="28"/>
      <c r="W354" s="28"/>
      <c r="X354" s="28"/>
      <c r="Y354" s="28"/>
      <c r="Z354" s="28"/>
      <c r="AA354" s="28"/>
      <c r="AB354" s="28"/>
      <c r="AC354" s="28"/>
      <c r="AD354" s="28"/>
      <c r="AE354" s="28"/>
      <c r="AF354" s="28"/>
      <c r="AG354" s="28"/>
      <c r="AH354" s="28"/>
      <c r="AI354" s="28"/>
      <c r="AJ354" s="28"/>
      <c r="AK354" s="28"/>
      <c r="AL354" s="28"/>
      <c r="AM354" s="28"/>
      <c r="AN354" s="28"/>
      <c r="AO354" s="28"/>
      <c r="AP354" s="28"/>
      <c r="AQ354" s="28"/>
      <c r="AR354" s="28"/>
      <c r="AS354" s="28"/>
      <c r="AT354" s="28"/>
      <c r="AU354" s="28"/>
      <c r="AV354" s="28"/>
      <c r="AW354" s="28"/>
      <c r="AX354" s="28"/>
      <c r="AY354" s="28"/>
      <c r="AZ354" s="28"/>
      <c r="BA354" s="28"/>
      <c r="BB354" s="28"/>
      <c r="BC354" s="28"/>
      <c r="BD354" s="28"/>
      <c r="BE354" s="28"/>
      <c r="BF354" s="28"/>
      <c r="BG354" s="28"/>
      <c r="BH354" s="28"/>
      <c r="BI354" s="28"/>
      <c r="BJ354" s="28"/>
      <c r="BK354" s="28"/>
      <c r="BL354" s="28"/>
      <c r="BM354" s="28"/>
      <c r="BN354" s="28"/>
      <c r="BO354" s="28"/>
      <c r="BP354" s="28"/>
      <c r="BQ354" s="28"/>
      <c r="BR354" s="28"/>
      <c r="BS354" s="28"/>
      <c r="BT354" s="28"/>
      <c r="BU354" s="28"/>
      <c r="BV354" s="28"/>
      <c r="BW354" s="28"/>
      <c r="BX354" s="28"/>
      <c r="BY354" s="28"/>
      <c r="BZ354" s="28"/>
      <c r="CA354" s="28"/>
      <c r="CB354" s="28"/>
    </row>
    <row r="355" spans="1:80" hidden="1" x14ac:dyDescent="0.25">
      <c r="A355" s="31" t="s">
        <v>380</v>
      </c>
      <c r="B355" s="39" t="s">
        <v>1922</v>
      </c>
      <c r="C355" s="30" t="s">
        <v>1723</v>
      </c>
      <c r="D355" s="30" t="s">
        <v>52</v>
      </c>
      <c r="E355" s="20" t="s">
        <v>1912</v>
      </c>
      <c r="F355" s="26" t="s">
        <v>1921</v>
      </c>
      <c r="G355" s="30"/>
      <c r="H355" s="30"/>
      <c r="I355" s="29" t="e">
        <f>VLOOKUP(B355,#REF!,2,FALSE)</f>
        <v>#REF!</v>
      </c>
      <c r="J355" s="28"/>
      <c r="K355" s="28"/>
      <c r="L355" s="28"/>
      <c r="M355" s="28"/>
      <c r="N355" s="28"/>
      <c r="O355" s="28"/>
      <c r="P355" s="28"/>
      <c r="Q355" s="28"/>
      <c r="R355" s="28"/>
      <c r="S355" s="28"/>
      <c r="T355" s="28"/>
      <c r="U355" s="28"/>
      <c r="V355" s="28"/>
      <c r="W355" s="28"/>
      <c r="X355" s="28"/>
      <c r="Y355" s="28"/>
      <c r="Z355" s="28"/>
      <c r="AA355" s="28"/>
      <c r="AB355" s="28"/>
      <c r="AC355" s="28"/>
      <c r="AD355" s="28"/>
      <c r="AE355" s="28"/>
      <c r="AF355" s="28"/>
      <c r="AG355" s="28"/>
      <c r="AH355" s="28"/>
      <c r="AI355" s="28"/>
      <c r="AJ355" s="28"/>
      <c r="AK355" s="28"/>
      <c r="AL355" s="28"/>
      <c r="AM355" s="28"/>
      <c r="AN355" s="28"/>
      <c r="AO355" s="28"/>
      <c r="AP355" s="28"/>
      <c r="AQ355" s="28"/>
      <c r="AR355" s="28"/>
      <c r="AS355" s="28"/>
      <c r="AT355" s="28"/>
      <c r="AU355" s="28"/>
      <c r="AV355" s="28"/>
      <c r="AW355" s="28"/>
      <c r="AX355" s="28"/>
      <c r="AY355" s="28"/>
      <c r="AZ355" s="28"/>
      <c r="BA355" s="28"/>
      <c r="BB355" s="28"/>
      <c r="BC355" s="28"/>
      <c r="BD355" s="28"/>
      <c r="BE355" s="28"/>
      <c r="BF355" s="28"/>
      <c r="BG355" s="28"/>
      <c r="BH355" s="28"/>
      <c r="BI355" s="28"/>
      <c r="BJ355" s="28"/>
      <c r="BK355" s="28"/>
      <c r="BL355" s="28"/>
      <c r="BM355" s="28"/>
      <c r="BN355" s="28"/>
      <c r="BO355" s="28"/>
      <c r="BP355" s="28"/>
      <c r="BQ355" s="28"/>
      <c r="BR355" s="28"/>
      <c r="BS355" s="28"/>
      <c r="BT355" s="28"/>
      <c r="BU355" s="28"/>
      <c r="BV355" s="28"/>
      <c r="BW355" s="28"/>
      <c r="BX355" s="28"/>
      <c r="BY355" s="28"/>
      <c r="BZ355" s="28"/>
      <c r="CA355" s="28"/>
      <c r="CB355" s="28"/>
    </row>
    <row r="356" spans="1:80" hidden="1" x14ac:dyDescent="0.25">
      <c r="A356" s="31" t="s">
        <v>390</v>
      </c>
      <c r="B356" s="39" t="s">
        <v>389</v>
      </c>
      <c r="C356" s="30" t="s">
        <v>195</v>
      </c>
      <c r="D356" s="30" t="s">
        <v>52</v>
      </c>
      <c r="E356" s="20" t="s">
        <v>1912</v>
      </c>
      <c r="F356" s="26" t="s">
        <v>1921</v>
      </c>
      <c r="G356" s="30"/>
      <c r="H356" s="30"/>
      <c r="I356" s="29" t="e">
        <f>VLOOKUP(B356,#REF!,2,FALSE)</f>
        <v>#REF!</v>
      </c>
      <c r="J356" s="28"/>
      <c r="K356" s="28"/>
      <c r="L356" s="28"/>
      <c r="M356" s="28"/>
      <c r="N356" s="28"/>
      <c r="O356" s="28"/>
      <c r="P356" s="28"/>
      <c r="Q356" s="28"/>
      <c r="R356" s="28"/>
      <c r="S356" s="28"/>
      <c r="T356" s="28"/>
      <c r="U356" s="28"/>
      <c r="V356" s="28"/>
      <c r="W356" s="28"/>
      <c r="X356" s="28"/>
      <c r="Y356" s="28"/>
      <c r="Z356" s="28"/>
      <c r="AA356" s="28"/>
      <c r="AB356" s="28"/>
      <c r="AC356" s="28"/>
      <c r="AD356" s="28"/>
      <c r="AE356" s="28"/>
      <c r="AF356" s="28"/>
      <c r="AG356" s="28"/>
      <c r="AH356" s="28"/>
      <c r="AI356" s="28"/>
      <c r="AJ356" s="28"/>
      <c r="AK356" s="28"/>
      <c r="AL356" s="28"/>
      <c r="AM356" s="28"/>
      <c r="AN356" s="28"/>
      <c r="AO356" s="28"/>
      <c r="AP356" s="28"/>
      <c r="AQ356" s="28"/>
      <c r="AR356" s="28"/>
      <c r="AS356" s="28"/>
      <c r="AT356" s="28"/>
      <c r="AU356" s="28"/>
      <c r="AV356" s="28"/>
      <c r="AW356" s="28"/>
      <c r="AX356" s="28"/>
      <c r="AY356" s="28"/>
      <c r="AZ356" s="28"/>
      <c r="BA356" s="28"/>
      <c r="BB356" s="28"/>
      <c r="BC356" s="28"/>
      <c r="BD356" s="28"/>
      <c r="BE356" s="28"/>
      <c r="BF356" s="28"/>
      <c r="BG356" s="28"/>
      <c r="BH356" s="28"/>
      <c r="BI356" s="28"/>
      <c r="BJ356" s="28"/>
      <c r="BK356" s="28"/>
      <c r="BL356" s="28"/>
      <c r="BM356" s="28"/>
      <c r="BN356" s="28"/>
      <c r="BO356" s="28"/>
      <c r="BP356" s="28"/>
      <c r="BQ356" s="28"/>
      <c r="BR356" s="28"/>
      <c r="BS356" s="28"/>
      <c r="BT356" s="28"/>
      <c r="BU356" s="28"/>
      <c r="BV356" s="28"/>
      <c r="BW356" s="28"/>
      <c r="BX356" s="28"/>
      <c r="BY356" s="28"/>
      <c r="BZ356" s="28"/>
      <c r="CA356" s="28"/>
      <c r="CB356" s="28"/>
    </row>
    <row r="357" spans="1:80" hidden="1" x14ac:dyDescent="0.25">
      <c r="A357" s="31" t="s">
        <v>405</v>
      </c>
      <c r="B357" s="39" t="s">
        <v>404</v>
      </c>
      <c r="C357" s="30" t="s">
        <v>225</v>
      </c>
      <c r="D357" s="30" t="s">
        <v>52</v>
      </c>
      <c r="E357" s="20" t="s">
        <v>1912</v>
      </c>
      <c r="F357" s="26" t="s">
        <v>1921</v>
      </c>
      <c r="G357" s="30"/>
      <c r="H357" s="30"/>
      <c r="I357" s="29" t="e">
        <f>VLOOKUP(B357,#REF!,2,FALSE)</f>
        <v>#REF!</v>
      </c>
      <c r="J357" s="28"/>
      <c r="K357" s="28"/>
      <c r="L357" s="28"/>
      <c r="M357" s="28"/>
      <c r="N357" s="28"/>
      <c r="O357" s="28"/>
      <c r="P357" s="28"/>
      <c r="Q357" s="28"/>
      <c r="R357" s="28"/>
      <c r="S357" s="28"/>
      <c r="T357" s="28"/>
      <c r="U357" s="28"/>
      <c r="V357" s="28"/>
      <c r="W357" s="28"/>
      <c r="X357" s="28"/>
      <c r="Y357" s="28"/>
      <c r="Z357" s="28"/>
      <c r="AA357" s="28"/>
      <c r="AB357" s="28"/>
      <c r="AC357" s="28"/>
      <c r="AD357" s="28"/>
      <c r="AE357" s="28"/>
      <c r="AF357" s="28"/>
      <c r="AG357" s="28"/>
      <c r="AH357" s="28"/>
      <c r="AI357" s="28"/>
      <c r="AJ357" s="28"/>
      <c r="AK357" s="28"/>
      <c r="AL357" s="28"/>
      <c r="AM357" s="28"/>
      <c r="AN357" s="28"/>
      <c r="AO357" s="28"/>
      <c r="AP357" s="28"/>
      <c r="AQ357" s="28"/>
      <c r="AR357" s="28"/>
      <c r="AS357" s="28"/>
      <c r="AT357" s="28"/>
      <c r="AU357" s="28"/>
      <c r="AV357" s="28"/>
      <c r="AW357" s="28"/>
      <c r="AX357" s="28"/>
      <c r="AY357" s="28"/>
      <c r="AZ357" s="28"/>
      <c r="BA357" s="28"/>
      <c r="BB357" s="28"/>
      <c r="BC357" s="28"/>
      <c r="BD357" s="28"/>
      <c r="BE357" s="28"/>
      <c r="BF357" s="28"/>
      <c r="BG357" s="28"/>
      <c r="BH357" s="28"/>
      <c r="BI357" s="28"/>
      <c r="BJ357" s="28"/>
      <c r="BK357" s="28"/>
      <c r="BL357" s="28"/>
      <c r="BM357" s="28"/>
      <c r="BN357" s="28"/>
      <c r="BO357" s="28"/>
      <c r="BP357" s="28"/>
      <c r="BQ357" s="28"/>
      <c r="BR357" s="28"/>
      <c r="BS357" s="28"/>
      <c r="BT357" s="28"/>
      <c r="BU357" s="28"/>
      <c r="BV357" s="28"/>
      <c r="BW357" s="28"/>
      <c r="BX357" s="28"/>
      <c r="BY357" s="28"/>
      <c r="BZ357" s="28"/>
      <c r="CA357" s="28"/>
      <c r="CB357" s="28"/>
    </row>
    <row r="358" spans="1:80" hidden="1" x14ac:dyDescent="0.25">
      <c r="A358" s="31" t="s">
        <v>433</v>
      </c>
      <c r="B358" s="39" t="s">
        <v>431</v>
      </c>
      <c r="C358" s="30" t="s">
        <v>432</v>
      </c>
      <c r="D358" s="30" t="s">
        <v>52</v>
      </c>
      <c r="E358" s="20" t="s">
        <v>1912</v>
      </c>
      <c r="F358" s="26" t="s">
        <v>1921</v>
      </c>
      <c r="G358" s="30"/>
      <c r="H358" s="30"/>
      <c r="I358" s="29" t="e">
        <f>VLOOKUP(B358,#REF!,2,FALSE)</f>
        <v>#REF!</v>
      </c>
      <c r="J358" s="28"/>
      <c r="K358" s="28"/>
      <c r="L358" s="28"/>
      <c r="M358" s="28"/>
      <c r="N358" s="28"/>
      <c r="O358" s="28"/>
      <c r="P358" s="28"/>
      <c r="Q358" s="28"/>
      <c r="R358" s="28"/>
      <c r="S358" s="28"/>
      <c r="T358" s="28"/>
      <c r="U358" s="28"/>
      <c r="V358" s="28"/>
      <c r="W358" s="28"/>
      <c r="X358" s="28"/>
      <c r="Y358" s="28"/>
      <c r="Z358" s="28"/>
      <c r="AA358" s="28"/>
      <c r="AB358" s="28"/>
      <c r="AC358" s="28"/>
      <c r="AD358" s="28"/>
      <c r="AE358" s="28"/>
      <c r="AF358" s="28"/>
      <c r="AG358" s="28"/>
      <c r="AH358" s="28"/>
      <c r="AI358" s="28"/>
      <c r="AJ358" s="28"/>
      <c r="AK358" s="28"/>
      <c r="AL358" s="28"/>
      <c r="AM358" s="28"/>
      <c r="AN358" s="28"/>
      <c r="AO358" s="28"/>
      <c r="AP358" s="28"/>
      <c r="AQ358" s="28"/>
      <c r="AR358" s="28"/>
      <c r="AS358" s="28"/>
      <c r="AT358" s="28"/>
      <c r="AU358" s="28"/>
      <c r="AV358" s="28"/>
      <c r="AW358" s="28"/>
      <c r="AX358" s="28"/>
      <c r="AY358" s="28"/>
      <c r="AZ358" s="28"/>
      <c r="BA358" s="28"/>
      <c r="BB358" s="28"/>
      <c r="BC358" s="28"/>
      <c r="BD358" s="28"/>
      <c r="BE358" s="28"/>
      <c r="BF358" s="28"/>
      <c r="BG358" s="28"/>
      <c r="BH358" s="28"/>
      <c r="BI358" s="28"/>
      <c r="BJ358" s="28"/>
      <c r="BK358" s="28"/>
      <c r="BL358" s="28"/>
      <c r="BM358" s="28"/>
      <c r="BN358" s="28"/>
      <c r="BO358" s="28"/>
      <c r="BP358" s="28"/>
      <c r="BQ358" s="28"/>
      <c r="BR358" s="28"/>
      <c r="BS358" s="28"/>
      <c r="BT358" s="28"/>
      <c r="BU358" s="28"/>
      <c r="BV358" s="28"/>
      <c r="BW358" s="28"/>
      <c r="BX358" s="28"/>
      <c r="BY358" s="28"/>
      <c r="BZ358" s="28"/>
      <c r="CA358" s="28"/>
      <c r="CB358" s="28"/>
    </row>
    <row r="359" spans="1:80" hidden="1" x14ac:dyDescent="0.25">
      <c r="A359" s="31" t="s">
        <v>306</v>
      </c>
      <c r="B359" s="39" t="s">
        <v>304</v>
      </c>
      <c r="C359" s="30" t="s">
        <v>305</v>
      </c>
      <c r="D359" s="30" t="s">
        <v>10</v>
      </c>
      <c r="E359" s="20" t="s">
        <v>1912</v>
      </c>
      <c r="F359" s="26" t="s">
        <v>1921</v>
      </c>
      <c r="G359" s="30"/>
      <c r="H359" s="30"/>
      <c r="I359" s="29" t="e">
        <f>VLOOKUP(B359,#REF!,2,FALSE)</f>
        <v>#REF!</v>
      </c>
      <c r="J359" s="28"/>
      <c r="K359" s="28"/>
      <c r="L359" s="28"/>
      <c r="M359" s="28"/>
      <c r="N359" s="28"/>
      <c r="O359" s="28"/>
      <c r="P359" s="28"/>
      <c r="Q359" s="28"/>
      <c r="R359" s="28"/>
      <c r="S359" s="28"/>
      <c r="T359" s="28"/>
      <c r="U359" s="28"/>
      <c r="V359" s="28"/>
      <c r="W359" s="28"/>
      <c r="X359" s="28"/>
      <c r="Y359" s="28"/>
      <c r="Z359" s="28"/>
      <c r="AA359" s="28"/>
      <c r="AB359" s="28"/>
      <c r="AC359" s="28"/>
      <c r="AD359" s="28"/>
      <c r="AE359" s="28"/>
      <c r="AF359" s="28"/>
      <c r="AG359" s="28"/>
      <c r="AH359" s="28"/>
      <c r="AI359" s="28"/>
      <c r="AJ359" s="28"/>
      <c r="AK359" s="28"/>
      <c r="AL359" s="28"/>
      <c r="AM359" s="28"/>
      <c r="AN359" s="28"/>
      <c r="AO359" s="28"/>
      <c r="AP359" s="28"/>
      <c r="AQ359" s="28"/>
      <c r="AR359" s="28"/>
      <c r="AS359" s="28"/>
      <c r="AT359" s="28"/>
      <c r="AU359" s="28"/>
      <c r="AV359" s="28"/>
      <c r="AW359" s="28"/>
      <c r="AX359" s="28"/>
      <c r="AY359" s="28"/>
      <c r="AZ359" s="28"/>
      <c r="BA359" s="28"/>
      <c r="BB359" s="28"/>
      <c r="BC359" s="28"/>
      <c r="BD359" s="28"/>
      <c r="BE359" s="28"/>
      <c r="BF359" s="28"/>
      <c r="BG359" s="28"/>
      <c r="BH359" s="28"/>
      <c r="BI359" s="28"/>
      <c r="BJ359" s="28"/>
      <c r="BK359" s="28"/>
      <c r="BL359" s="28"/>
      <c r="BM359" s="28"/>
      <c r="BN359" s="28"/>
      <c r="BO359" s="28"/>
      <c r="BP359" s="28"/>
      <c r="BQ359" s="28"/>
      <c r="BR359" s="28"/>
      <c r="BS359" s="28"/>
      <c r="BT359" s="28"/>
      <c r="BU359" s="28"/>
      <c r="BV359" s="28"/>
      <c r="BW359" s="28"/>
      <c r="BX359" s="28"/>
      <c r="BY359" s="28"/>
      <c r="BZ359" s="28"/>
      <c r="CA359" s="28"/>
      <c r="CB359" s="28"/>
    </row>
    <row r="360" spans="1:80" hidden="1" x14ac:dyDescent="0.25">
      <c r="A360" s="31" t="s">
        <v>493</v>
      </c>
      <c r="B360" s="39" t="s">
        <v>492</v>
      </c>
      <c r="C360" s="30" t="s">
        <v>324</v>
      </c>
      <c r="D360" s="30" t="s">
        <v>52</v>
      </c>
      <c r="E360" s="20" t="s">
        <v>1912</v>
      </c>
      <c r="F360" s="26" t="s">
        <v>1921</v>
      </c>
      <c r="G360" s="30"/>
      <c r="H360" s="30"/>
      <c r="I360" s="29" t="e">
        <f>VLOOKUP(B360,#REF!,2,FALSE)</f>
        <v>#REF!</v>
      </c>
      <c r="J360" s="28"/>
      <c r="K360" s="28"/>
      <c r="L360" s="28"/>
      <c r="M360" s="28"/>
      <c r="N360" s="28"/>
      <c r="O360" s="28"/>
      <c r="P360" s="28"/>
      <c r="Q360" s="28"/>
      <c r="R360" s="28"/>
      <c r="S360" s="28"/>
      <c r="T360" s="28"/>
      <c r="U360" s="28"/>
      <c r="V360" s="28"/>
      <c r="W360" s="28"/>
      <c r="X360" s="28"/>
      <c r="Y360" s="28"/>
      <c r="Z360" s="28"/>
      <c r="AA360" s="28"/>
      <c r="AB360" s="28"/>
      <c r="AC360" s="28"/>
      <c r="AD360" s="28"/>
      <c r="AE360" s="28"/>
      <c r="AF360" s="28"/>
      <c r="AG360" s="28"/>
      <c r="AH360" s="28"/>
      <c r="AI360" s="28"/>
      <c r="AJ360" s="28"/>
      <c r="AK360" s="28"/>
      <c r="AL360" s="28"/>
      <c r="AM360" s="28"/>
      <c r="AN360" s="28"/>
      <c r="AO360" s="28"/>
      <c r="AP360" s="28"/>
      <c r="AQ360" s="28"/>
      <c r="AR360" s="28"/>
      <c r="AS360" s="28"/>
      <c r="AT360" s="28"/>
      <c r="AU360" s="28"/>
      <c r="AV360" s="28"/>
      <c r="AW360" s="28"/>
      <c r="AX360" s="28"/>
      <c r="AY360" s="28"/>
      <c r="AZ360" s="28"/>
      <c r="BA360" s="28"/>
      <c r="BB360" s="28"/>
      <c r="BC360" s="28"/>
      <c r="BD360" s="28"/>
      <c r="BE360" s="28"/>
      <c r="BF360" s="28"/>
      <c r="BG360" s="28"/>
      <c r="BH360" s="28"/>
      <c r="BI360" s="28"/>
      <c r="BJ360" s="28"/>
      <c r="BK360" s="28"/>
      <c r="BL360" s="28"/>
      <c r="BM360" s="28"/>
      <c r="BN360" s="28"/>
      <c r="BO360" s="28"/>
      <c r="BP360" s="28"/>
      <c r="BQ360" s="28"/>
      <c r="BR360" s="28"/>
      <c r="BS360" s="28"/>
      <c r="BT360" s="28"/>
      <c r="BU360" s="28"/>
      <c r="BV360" s="28"/>
      <c r="BW360" s="28"/>
      <c r="BX360" s="28"/>
      <c r="BY360" s="28"/>
      <c r="BZ360" s="28"/>
      <c r="CA360" s="28"/>
      <c r="CB360" s="28"/>
    </row>
    <row r="361" spans="1:80" hidden="1" x14ac:dyDescent="0.25">
      <c r="A361" s="31" t="s">
        <v>564</v>
      </c>
      <c r="B361" s="39" t="s">
        <v>1923</v>
      </c>
      <c r="C361" s="30" t="s">
        <v>1924</v>
      </c>
      <c r="D361" s="30" t="s">
        <v>52</v>
      </c>
      <c r="E361" s="20" t="s">
        <v>1912</v>
      </c>
      <c r="F361" s="26" t="s">
        <v>1921</v>
      </c>
      <c r="G361" s="30"/>
      <c r="H361" s="30"/>
      <c r="I361" s="29" t="e">
        <f>VLOOKUP(B361,#REF!,2,FALSE)</f>
        <v>#REF!</v>
      </c>
      <c r="J361" s="28"/>
      <c r="K361" s="28"/>
      <c r="L361" s="28"/>
      <c r="M361" s="28"/>
      <c r="N361" s="28"/>
      <c r="O361" s="28"/>
      <c r="P361" s="28"/>
      <c r="Q361" s="28"/>
      <c r="R361" s="28"/>
      <c r="S361" s="28"/>
      <c r="T361" s="28"/>
      <c r="U361" s="28"/>
      <c r="V361" s="28"/>
      <c r="W361" s="28"/>
      <c r="X361" s="28"/>
      <c r="Y361" s="28"/>
      <c r="Z361" s="28"/>
      <c r="AA361" s="28"/>
      <c r="AB361" s="28"/>
      <c r="AC361" s="28"/>
      <c r="AD361" s="28"/>
      <c r="AE361" s="28"/>
      <c r="AF361" s="28"/>
      <c r="AG361" s="28"/>
      <c r="AH361" s="28"/>
      <c r="AI361" s="28"/>
      <c r="AJ361" s="28"/>
      <c r="AK361" s="28"/>
      <c r="AL361" s="28"/>
      <c r="AM361" s="28"/>
      <c r="AN361" s="28"/>
      <c r="AO361" s="28"/>
      <c r="AP361" s="28"/>
      <c r="AQ361" s="28"/>
      <c r="AR361" s="28"/>
      <c r="AS361" s="28"/>
      <c r="AT361" s="28"/>
      <c r="AU361" s="28"/>
      <c r="AV361" s="28"/>
      <c r="AW361" s="28"/>
      <c r="AX361" s="28"/>
      <c r="AY361" s="28"/>
      <c r="AZ361" s="28"/>
      <c r="BA361" s="28"/>
      <c r="BB361" s="28"/>
      <c r="BC361" s="28"/>
      <c r="BD361" s="28"/>
      <c r="BE361" s="28"/>
      <c r="BF361" s="28"/>
      <c r="BG361" s="28"/>
      <c r="BH361" s="28"/>
      <c r="BI361" s="28"/>
      <c r="BJ361" s="28"/>
      <c r="BK361" s="28"/>
      <c r="BL361" s="28"/>
      <c r="BM361" s="28"/>
      <c r="BN361" s="28"/>
      <c r="BO361" s="28"/>
      <c r="BP361" s="28"/>
      <c r="BQ361" s="28"/>
      <c r="BR361" s="28"/>
      <c r="BS361" s="28"/>
      <c r="BT361" s="28"/>
      <c r="BU361" s="28"/>
      <c r="BV361" s="28"/>
      <c r="BW361" s="28"/>
      <c r="BX361" s="28"/>
      <c r="BY361" s="28"/>
      <c r="BZ361" s="28"/>
      <c r="CA361" s="28"/>
      <c r="CB361" s="28"/>
    </row>
    <row r="362" spans="1:80" hidden="1" x14ac:dyDescent="0.25">
      <c r="A362" s="31" t="s">
        <v>338</v>
      </c>
      <c r="B362" s="39" t="s">
        <v>336</v>
      </c>
      <c r="C362" s="30" t="s">
        <v>337</v>
      </c>
      <c r="D362" s="30" t="s">
        <v>339</v>
      </c>
      <c r="E362" s="20" t="s">
        <v>1912</v>
      </c>
      <c r="F362" s="26" t="s">
        <v>1925</v>
      </c>
      <c r="G362" s="30"/>
      <c r="H362" s="30"/>
      <c r="I362" s="29" t="e">
        <f>VLOOKUP(B362,#REF!,2,FALSE)</f>
        <v>#REF!</v>
      </c>
      <c r="J362" s="28"/>
      <c r="K362" s="28"/>
      <c r="L362" s="28"/>
      <c r="M362" s="28"/>
      <c r="N362" s="28"/>
      <c r="O362" s="28"/>
      <c r="P362" s="28"/>
      <c r="Q362" s="28"/>
      <c r="R362" s="28"/>
      <c r="S362" s="28"/>
      <c r="T362" s="28"/>
      <c r="U362" s="28"/>
      <c r="V362" s="28"/>
      <c r="W362" s="28"/>
      <c r="X362" s="28"/>
      <c r="Y362" s="28"/>
      <c r="Z362" s="28"/>
      <c r="AA362" s="28"/>
      <c r="AB362" s="28"/>
      <c r="AC362" s="28"/>
      <c r="AD362" s="28"/>
      <c r="AE362" s="28"/>
      <c r="AF362" s="28"/>
      <c r="AG362" s="28"/>
      <c r="AH362" s="28"/>
      <c r="AI362" s="28"/>
      <c r="AJ362" s="28"/>
      <c r="AK362" s="28"/>
      <c r="AL362" s="28"/>
      <c r="AM362" s="28"/>
      <c r="AN362" s="28"/>
      <c r="AO362" s="28"/>
      <c r="AP362" s="28"/>
      <c r="AQ362" s="28"/>
      <c r="AR362" s="28"/>
      <c r="AS362" s="28"/>
      <c r="AT362" s="28"/>
      <c r="AU362" s="28"/>
      <c r="AV362" s="28"/>
      <c r="AW362" s="28"/>
      <c r="AX362" s="28"/>
      <c r="AY362" s="28"/>
      <c r="AZ362" s="28"/>
      <c r="BA362" s="28"/>
      <c r="BB362" s="28"/>
      <c r="BC362" s="28"/>
      <c r="BD362" s="28"/>
      <c r="BE362" s="28"/>
      <c r="BF362" s="28"/>
      <c r="BG362" s="28"/>
      <c r="BH362" s="28"/>
      <c r="BI362" s="28"/>
      <c r="BJ362" s="28"/>
      <c r="BK362" s="28"/>
      <c r="BL362" s="28"/>
      <c r="BM362" s="28"/>
      <c r="BN362" s="28"/>
      <c r="BO362" s="28"/>
      <c r="BP362" s="28"/>
      <c r="BQ362" s="28"/>
      <c r="BR362" s="28"/>
      <c r="BS362" s="28"/>
      <c r="BT362" s="28"/>
      <c r="BU362" s="28"/>
      <c r="BV362" s="28"/>
      <c r="BW362" s="28"/>
      <c r="BX362" s="28"/>
      <c r="BY362" s="28"/>
      <c r="BZ362" s="28"/>
      <c r="CA362" s="28"/>
      <c r="CB362" s="28"/>
    </row>
    <row r="363" spans="1:80" hidden="1" x14ac:dyDescent="0.25">
      <c r="A363" s="31" t="s">
        <v>1604</v>
      </c>
      <c r="B363" s="39" t="s">
        <v>292</v>
      </c>
      <c r="C363" s="30" t="s">
        <v>91</v>
      </c>
      <c r="D363" s="30" t="s">
        <v>14</v>
      </c>
      <c r="E363" s="20" t="s">
        <v>1912</v>
      </c>
      <c r="F363" s="26" t="s">
        <v>1925</v>
      </c>
      <c r="G363" s="30"/>
      <c r="H363" s="30"/>
      <c r="I363" s="29" t="e">
        <f>VLOOKUP(B363,#REF!,2,FALSE)</f>
        <v>#REF!</v>
      </c>
      <c r="J363" s="29"/>
      <c r="K363" s="29"/>
      <c r="L363" s="29"/>
      <c r="M363" s="29"/>
      <c r="N363" s="29"/>
      <c r="O363" s="29"/>
      <c r="P363" s="29"/>
      <c r="Q363" s="29"/>
      <c r="R363" s="29"/>
      <c r="S363" s="29"/>
      <c r="T363" s="29"/>
      <c r="U363" s="29"/>
      <c r="V363" s="29"/>
      <c r="W363" s="29"/>
      <c r="X363" s="29"/>
      <c r="Y363" s="29"/>
      <c r="Z363" s="29"/>
      <c r="AA363" s="29"/>
      <c r="AB363" s="29"/>
      <c r="AC363" s="29"/>
      <c r="AD363" s="29"/>
      <c r="AE363" s="29"/>
      <c r="AF363" s="29"/>
      <c r="AG363" s="29"/>
      <c r="AH363" s="29"/>
      <c r="AI363" s="29"/>
      <c r="AJ363" s="29"/>
      <c r="AK363" s="29"/>
      <c r="AL363" s="29"/>
      <c r="AM363" s="29"/>
      <c r="AN363" s="29"/>
      <c r="AO363" s="29"/>
      <c r="AP363" s="29"/>
      <c r="AQ363" s="29"/>
      <c r="AR363" s="29"/>
      <c r="AS363" s="29"/>
      <c r="AT363" s="29"/>
      <c r="AU363" s="29"/>
      <c r="AV363" s="29"/>
      <c r="AW363" s="29"/>
      <c r="AX363" s="29"/>
      <c r="AY363" s="29"/>
      <c r="AZ363" s="29"/>
      <c r="BA363" s="29"/>
      <c r="BB363" s="29"/>
      <c r="BC363" s="29"/>
      <c r="BD363" s="29"/>
      <c r="BE363" s="29"/>
      <c r="BF363" s="29"/>
      <c r="BG363" s="29"/>
      <c r="BH363" s="29"/>
      <c r="BI363" s="29"/>
      <c r="BJ363" s="29"/>
      <c r="BK363" s="29"/>
      <c r="BL363" s="29"/>
      <c r="BM363" s="29"/>
      <c r="BN363" s="29"/>
      <c r="BO363" s="29"/>
      <c r="BP363" s="29"/>
      <c r="BQ363" s="29"/>
      <c r="BR363" s="29"/>
      <c r="BS363" s="29"/>
      <c r="BT363" s="29"/>
      <c r="BU363" s="29"/>
      <c r="BV363" s="29"/>
      <c r="BW363" s="29"/>
      <c r="BX363" s="29"/>
      <c r="BY363" s="29"/>
      <c r="BZ363" s="29"/>
      <c r="CA363" s="29"/>
      <c r="CB363" s="29"/>
    </row>
    <row r="364" spans="1:80" hidden="1" x14ac:dyDescent="0.25">
      <c r="A364" s="31" t="s">
        <v>353</v>
      </c>
      <c r="B364" s="39" t="s">
        <v>1926</v>
      </c>
      <c r="C364" s="30" t="s">
        <v>1927</v>
      </c>
      <c r="D364" s="30" t="s">
        <v>52</v>
      </c>
      <c r="E364" s="20" t="s">
        <v>1912</v>
      </c>
      <c r="F364" s="26" t="s">
        <v>1925</v>
      </c>
      <c r="G364" s="30"/>
      <c r="H364" s="30"/>
      <c r="I364" s="29" t="e">
        <f>VLOOKUP(B364,#REF!,2,FALSE)</f>
        <v>#REF!</v>
      </c>
      <c r="J364" s="28"/>
      <c r="K364" s="28"/>
      <c r="L364" s="28"/>
      <c r="M364" s="28"/>
      <c r="N364" s="28"/>
      <c r="O364" s="28"/>
      <c r="P364" s="28"/>
      <c r="Q364" s="28"/>
      <c r="R364" s="28"/>
      <c r="S364" s="28"/>
      <c r="T364" s="28"/>
      <c r="U364" s="28"/>
      <c r="V364" s="28"/>
      <c r="W364" s="28"/>
      <c r="X364" s="28"/>
      <c r="Y364" s="28"/>
      <c r="Z364" s="28"/>
      <c r="AA364" s="28"/>
      <c r="AB364" s="28"/>
      <c r="AC364" s="28"/>
      <c r="AD364" s="28"/>
      <c r="AE364" s="28"/>
      <c r="AF364" s="28"/>
      <c r="AG364" s="28"/>
      <c r="AH364" s="28"/>
      <c r="AI364" s="28"/>
      <c r="AJ364" s="28"/>
      <c r="AK364" s="28"/>
      <c r="AL364" s="28"/>
      <c r="AM364" s="28"/>
      <c r="AN364" s="28"/>
      <c r="AO364" s="28"/>
      <c r="AP364" s="28"/>
      <c r="AQ364" s="28"/>
      <c r="AR364" s="28"/>
      <c r="AS364" s="28"/>
      <c r="AT364" s="28"/>
      <c r="AU364" s="28"/>
      <c r="AV364" s="28"/>
      <c r="AW364" s="28"/>
      <c r="AX364" s="28"/>
      <c r="AY364" s="28"/>
      <c r="AZ364" s="28"/>
      <c r="BA364" s="28"/>
      <c r="BB364" s="28"/>
      <c r="BC364" s="28"/>
      <c r="BD364" s="28"/>
      <c r="BE364" s="28"/>
      <c r="BF364" s="28"/>
      <c r="BG364" s="28"/>
      <c r="BH364" s="28"/>
      <c r="BI364" s="28"/>
      <c r="BJ364" s="28"/>
      <c r="BK364" s="28"/>
      <c r="BL364" s="28"/>
      <c r="BM364" s="28"/>
      <c r="BN364" s="28"/>
      <c r="BO364" s="28"/>
      <c r="BP364" s="28"/>
      <c r="BQ364" s="28"/>
      <c r="BR364" s="28"/>
      <c r="BS364" s="28"/>
      <c r="BT364" s="28"/>
      <c r="BU364" s="28"/>
      <c r="BV364" s="28"/>
      <c r="BW364" s="28"/>
      <c r="BX364" s="28"/>
      <c r="BY364" s="28"/>
      <c r="BZ364" s="28"/>
      <c r="CA364" s="28"/>
      <c r="CB364" s="28"/>
    </row>
    <row r="365" spans="1:80" hidden="1" x14ac:dyDescent="0.25">
      <c r="A365" s="31" t="s">
        <v>1602</v>
      </c>
      <c r="B365" s="39" t="s">
        <v>1928</v>
      </c>
      <c r="C365" s="30" t="s">
        <v>1708</v>
      </c>
      <c r="D365" s="30" t="s">
        <v>10</v>
      </c>
      <c r="E365" s="20" t="s">
        <v>1912</v>
      </c>
      <c r="F365" s="26" t="s">
        <v>1925</v>
      </c>
      <c r="G365" s="30"/>
      <c r="H365" s="30"/>
      <c r="I365" s="29" t="e">
        <f>VLOOKUP(B365,#REF!,2,FALSE)</f>
        <v>#REF!</v>
      </c>
      <c r="J365" s="28"/>
      <c r="K365" s="28"/>
      <c r="L365" s="28"/>
      <c r="M365" s="28"/>
      <c r="N365" s="28"/>
      <c r="O365" s="28"/>
      <c r="P365" s="28"/>
      <c r="Q365" s="28"/>
      <c r="R365" s="28"/>
      <c r="S365" s="28"/>
      <c r="T365" s="28"/>
      <c r="U365" s="28"/>
      <c r="V365" s="28"/>
      <c r="W365" s="28"/>
      <c r="X365" s="28"/>
      <c r="Y365" s="28"/>
      <c r="Z365" s="28"/>
      <c r="AA365" s="28"/>
      <c r="AB365" s="28"/>
      <c r="AC365" s="28"/>
      <c r="AD365" s="28"/>
      <c r="AE365" s="28"/>
      <c r="AF365" s="28"/>
      <c r="AG365" s="28"/>
      <c r="AH365" s="28"/>
      <c r="AI365" s="28"/>
      <c r="AJ365" s="28"/>
      <c r="AK365" s="28"/>
      <c r="AL365" s="28"/>
      <c r="AM365" s="28"/>
      <c r="AN365" s="28"/>
      <c r="AO365" s="28"/>
      <c r="AP365" s="28"/>
      <c r="AQ365" s="28"/>
      <c r="AR365" s="28"/>
      <c r="AS365" s="28"/>
      <c r="AT365" s="28"/>
      <c r="AU365" s="28"/>
      <c r="AV365" s="28"/>
      <c r="AW365" s="28"/>
      <c r="AX365" s="28"/>
      <c r="AY365" s="28"/>
      <c r="AZ365" s="28"/>
      <c r="BA365" s="28"/>
      <c r="BB365" s="28"/>
      <c r="BC365" s="28"/>
      <c r="BD365" s="28"/>
      <c r="BE365" s="28"/>
      <c r="BF365" s="28"/>
      <c r="BG365" s="28"/>
      <c r="BH365" s="28"/>
      <c r="BI365" s="28"/>
      <c r="BJ365" s="28"/>
      <c r="BK365" s="28"/>
      <c r="BL365" s="28"/>
      <c r="BM365" s="28"/>
      <c r="BN365" s="28"/>
      <c r="BO365" s="28"/>
      <c r="BP365" s="28"/>
      <c r="BQ365" s="28"/>
      <c r="BR365" s="28"/>
      <c r="BS365" s="28"/>
      <c r="BT365" s="28"/>
      <c r="BU365" s="28"/>
      <c r="BV365" s="28"/>
      <c r="BW365" s="28"/>
      <c r="BX365" s="28"/>
      <c r="BY365" s="28"/>
      <c r="BZ365" s="28"/>
      <c r="CA365" s="28"/>
      <c r="CB365" s="28"/>
    </row>
    <row r="366" spans="1:80" hidden="1" x14ac:dyDescent="0.25">
      <c r="A366" s="31" t="s">
        <v>385</v>
      </c>
      <c r="B366" s="39" t="s">
        <v>383</v>
      </c>
      <c r="C366" s="30" t="s">
        <v>384</v>
      </c>
      <c r="D366" s="30" t="s">
        <v>52</v>
      </c>
      <c r="E366" s="20" t="s">
        <v>1912</v>
      </c>
      <c r="F366" s="26" t="s">
        <v>1925</v>
      </c>
      <c r="G366" s="30"/>
      <c r="H366" s="30"/>
      <c r="I366" s="29" t="e">
        <f>VLOOKUP(B366,#REF!,2,FALSE)</f>
        <v>#REF!</v>
      </c>
      <c r="J366" s="28"/>
      <c r="K366" s="28"/>
      <c r="L366" s="28"/>
      <c r="M366" s="28"/>
      <c r="N366" s="28"/>
      <c r="O366" s="28"/>
      <c r="P366" s="28"/>
      <c r="Q366" s="28"/>
      <c r="R366" s="28"/>
      <c r="S366" s="28"/>
      <c r="T366" s="28"/>
      <c r="U366" s="28"/>
      <c r="V366" s="28"/>
      <c r="W366" s="28"/>
      <c r="X366" s="28"/>
      <c r="Y366" s="28"/>
      <c r="Z366" s="28"/>
      <c r="AA366" s="28"/>
      <c r="AB366" s="28"/>
      <c r="AC366" s="28"/>
      <c r="AD366" s="28"/>
      <c r="AE366" s="28"/>
      <c r="AF366" s="28"/>
      <c r="AG366" s="28"/>
      <c r="AH366" s="28"/>
      <c r="AI366" s="28"/>
      <c r="AJ366" s="28"/>
      <c r="AK366" s="28"/>
      <c r="AL366" s="28"/>
      <c r="AM366" s="28"/>
      <c r="AN366" s="28"/>
      <c r="AO366" s="28"/>
      <c r="AP366" s="28"/>
      <c r="AQ366" s="28"/>
      <c r="AR366" s="28"/>
      <c r="AS366" s="28"/>
      <c r="AT366" s="28"/>
      <c r="AU366" s="28"/>
      <c r="AV366" s="28"/>
      <c r="AW366" s="28"/>
      <c r="AX366" s="28"/>
      <c r="AY366" s="28"/>
      <c r="AZ366" s="28"/>
      <c r="BA366" s="28"/>
      <c r="BB366" s="28"/>
      <c r="BC366" s="28"/>
      <c r="BD366" s="28"/>
      <c r="BE366" s="28"/>
      <c r="BF366" s="28"/>
      <c r="BG366" s="28"/>
      <c r="BH366" s="28"/>
      <c r="BI366" s="28"/>
      <c r="BJ366" s="28"/>
      <c r="BK366" s="28"/>
      <c r="BL366" s="28"/>
      <c r="BM366" s="28"/>
      <c r="BN366" s="28"/>
      <c r="BO366" s="28"/>
      <c r="BP366" s="28"/>
      <c r="BQ366" s="28"/>
      <c r="BR366" s="28"/>
      <c r="BS366" s="28"/>
      <c r="BT366" s="28"/>
      <c r="BU366" s="28"/>
      <c r="BV366" s="28"/>
      <c r="BW366" s="28"/>
      <c r="BX366" s="28"/>
      <c r="BY366" s="28"/>
      <c r="BZ366" s="28"/>
      <c r="CA366" s="28"/>
      <c r="CB366" s="28"/>
    </row>
    <row r="367" spans="1:80" hidden="1" x14ac:dyDescent="0.25">
      <c r="A367" s="31" t="s">
        <v>388</v>
      </c>
      <c r="B367" s="39" t="s">
        <v>387</v>
      </c>
      <c r="C367" s="30" t="s">
        <v>67</v>
      </c>
      <c r="D367" s="30" t="s">
        <v>52</v>
      </c>
      <c r="E367" s="20" t="s">
        <v>1912</v>
      </c>
      <c r="F367" s="26" t="s">
        <v>1925</v>
      </c>
      <c r="G367" s="30"/>
      <c r="H367" s="30"/>
      <c r="I367" s="29" t="e">
        <f>VLOOKUP(B367,#REF!,2,FALSE)</f>
        <v>#REF!</v>
      </c>
      <c r="J367" s="28"/>
      <c r="K367" s="28"/>
      <c r="L367" s="28"/>
      <c r="M367" s="28"/>
      <c r="N367" s="28"/>
      <c r="O367" s="28"/>
      <c r="P367" s="28"/>
      <c r="Q367" s="28"/>
      <c r="R367" s="28"/>
      <c r="S367" s="28"/>
      <c r="T367" s="28"/>
      <c r="U367" s="28"/>
      <c r="V367" s="28"/>
      <c r="W367" s="28"/>
      <c r="X367" s="28"/>
      <c r="Y367" s="28"/>
      <c r="Z367" s="28"/>
      <c r="AA367" s="28"/>
      <c r="AB367" s="28"/>
      <c r="AC367" s="28"/>
      <c r="AD367" s="28"/>
      <c r="AE367" s="28"/>
      <c r="AF367" s="28"/>
      <c r="AG367" s="28"/>
      <c r="AH367" s="28"/>
      <c r="AI367" s="28"/>
      <c r="AJ367" s="28"/>
      <c r="AK367" s="28"/>
      <c r="AL367" s="28"/>
      <c r="AM367" s="28"/>
      <c r="AN367" s="28"/>
      <c r="AO367" s="28"/>
      <c r="AP367" s="28"/>
      <c r="AQ367" s="28"/>
      <c r="AR367" s="28"/>
      <c r="AS367" s="28"/>
      <c r="AT367" s="28"/>
      <c r="AU367" s="28"/>
      <c r="AV367" s="28"/>
      <c r="AW367" s="28"/>
      <c r="AX367" s="28"/>
      <c r="AY367" s="28"/>
      <c r="AZ367" s="28"/>
      <c r="BA367" s="28"/>
      <c r="BB367" s="28"/>
      <c r="BC367" s="28"/>
      <c r="BD367" s="28"/>
      <c r="BE367" s="28"/>
      <c r="BF367" s="28"/>
      <c r="BG367" s="28"/>
      <c r="BH367" s="28"/>
      <c r="BI367" s="28"/>
      <c r="BJ367" s="28"/>
      <c r="BK367" s="28"/>
      <c r="BL367" s="28"/>
      <c r="BM367" s="28"/>
      <c r="BN367" s="28"/>
      <c r="BO367" s="28"/>
      <c r="BP367" s="28"/>
      <c r="BQ367" s="28"/>
      <c r="BR367" s="28"/>
      <c r="BS367" s="28"/>
      <c r="BT367" s="28"/>
      <c r="BU367" s="28"/>
      <c r="BV367" s="28"/>
      <c r="BW367" s="28"/>
      <c r="BX367" s="28"/>
      <c r="BY367" s="28"/>
      <c r="BZ367" s="28"/>
      <c r="CA367" s="28"/>
      <c r="CB367" s="28"/>
    </row>
    <row r="368" spans="1:80" hidden="1" x14ac:dyDescent="0.25">
      <c r="A368" s="31" t="s">
        <v>138</v>
      </c>
      <c r="B368" s="39" t="s">
        <v>137</v>
      </c>
      <c r="C368" s="30" t="s">
        <v>37</v>
      </c>
      <c r="D368" s="30" t="s">
        <v>14</v>
      </c>
      <c r="E368" s="20" t="s">
        <v>1912</v>
      </c>
      <c r="F368" s="26" t="s">
        <v>1925</v>
      </c>
      <c r="G368" s="30"/>
      <c r="H368" s="30"/>
      <c r="I368" s="29" t="e">
        <f>VLOOKUP(B368,#REF!,2,FALSE)</f>
        <v>#REF!</v>
      </c>
      <c r="J368" s="28"/>
      <c r="K368" s="28"/>
      <c r="L368" s="28"/>
      <c r="M368" s="28"/>
      <c r="N368" s="28"/>
      <c r="O368" s="28"/>
      <c r="P368" s="28"/>
      <c r="Q368" s="28"/>
      <c r="R368" s="28"/>
      <c r="S368" s="28"/>
      <c r="T368" s="28"/>
      <c r="U368" s="28"/>
      <c r="V368" s="28"/>
      <c r="W368" s="28"/>
      <c r="X368" s="28"/>
      <c r="Y368" s="28"/>
      <c r="Z368" s="28"/>
      <c r="AA368" s="28"/>
      <c r="AB368" s="28"/>
      <c r="AC368" s="28"/>
      <c r="AD368" s="28"/>
      <c r="AE368" s="28"/>
      <c r="AF368" s="28"/>
      <c r="AG368" s="28"/>
      <c r="AH368" s="28"/>
      <c r="AI368" s="28"/>
      <c r="AJ368" s="28"/>
      <c r="AK368" s="28"/>
      <c r="AL368" s="28"/>
      <c r="AM368" s="28"/>
      <c r="AN368" s="28"/>
      <c r="AO368" s="28"/>
      <c r="AP368" s="28"/>
      <c r="AQ368" s="28"/>
      <c r="AR368" s="28"/>
      <c r="AS368" s="28"/>
      <c r="AT368" s="28"/>
      <c r="AU368" s="28"/>
      <c r="AV368" s="28"/>
      <c r="AW368" s="28"/>
      <c r="AX368" s="28"/>
      <c r="AY368" s="28"/>
      <c r="AZ368" s="28"/>
      <c r="BA368" s="28"/>
      <c r="BB368" s="28"/>
      <c r="BC368" s="28"/>
      <c r="BD368" s="28"/>
      <c r="BE368" s="28"/>
      <c r="BF368" s="28"/>
      <c r="BG368" s="28"/>
      <c r="BH368" s="28"/>
      <c r="BI368" s="28"/>
      <c r="BJ368" s="28"/>
      <c r="BK368" s="28"/>
      <c r="BL368" s="28"/>
      <c r="BM368" s="28"/>
      <c r="BN368" s="28"/>
      <c r="BO368" s="28"/>
      <c r="BP368" s="28"/>
      <c r="BQ368" s="28"/>
      <c r="BR368" s="28"/>
      <c r="BS368" s="28"/>
      <c r="BT368" s="28"/>
      <c r="BU368" s="28"/>
      <c r="BV368" s="28"/>
      <c r="BW368" s="28"/>
      <c r="BX368" s="28"/>
      <c r="BY368" s="28"/>
      <c r="BZ368" s="28"/>
      <c r="CA368" s="28"/>
      <c r="CB368" s="28"/>
    </row>
    <row r="369" spans="1:9" hidden="1" x14ac:dyDescent="0.25">
      <c r="A369" s="31" t="s">
        <v>413</v>
      </c>
      <c r="B369" s="39" t="s">
        <v>1929</v>
      </c>
      <c r="C369" s="30" t="s">
        <v>1668</v>
      </c>
      <c r="D369" s="30" t="s">
        <v>14</v>
      </c>
      <c r="E369" s="20" t="s">
        <v>1912</v>
      </c>
      <c r="F369" s="26" t="s">
        <v>1925</v>
      </c>
      <c r="G369" s="30"/>
      <c r="H369" s="30"/>
      <c r="I369" s="29" t="e">
        <f>VLOOKUP(B369,#REF!,2,FALSE)</f>
        <v>#REF!</v>
      </c>
    </row>
    <row r="370" spans="1:9" hidden="1" x14ac:dyDescent="0.25">
      <c r="A370" s="31" t="s">
        <v>466</v>
      </c>
      <c r="B370" s="39" t="s">
        <v>465</v>
      </c>
      <c r="C370" s="30" t="s">
        <v>142</v>
      </c>
      <c r="D370" s="30" t="s">
        <v>14</v>
      </c>
      <c r="E370" s="20" t="s">
        <v>1912</v>
      </c>
      <c r="F370" s="26" t="s">
        <v>1925</v>
      </c>
      <c r="G370" s="30"/>
      <c r="H370" s="30"/>
      <c r="I370" s="29" t="e">
        <f>VLOOKUP(B370,#REF!,2,FALSE)</f>
        <v>#REF!</v>
      </c>
    </row>
    <row r="371" spans="1:9" hidden="1" x14ac:dyDescent="0.25">
      <c r="A371" s="31" t="s">
        <v>472</v>
      </c>
      <c r="B371" s="39" t="s">
        <v>471</v>
      </c>
      <c r="C371" s="30" t="s">
        <v>228</v>
      </c>
      <c r="D371" s="30" t="s">
        <v>52</v>
      </c>
      <c r="E371" s="20" t="s">
        <v>1912</v>
      </c>
      <c r="F371" s="26" t="s">
        <v>1925</v>
      </c>
      <c r="G371" s="30"/>
      <c r="H371" s="30"/>
      <c r="I371" s="29" t="e">
        <f>VLOOKUP(B371,#REF!,2,FALSE)</f>
        <v>#REF!</v>
      </c>
    </row>
    <row r="372" spans="1:9" hidden="1" x14ac:dyDescent="0.25">
      <c r="A372" s="31" t="s">
        <v>1265</v>
      </c>
      <c r="B372" s="39" t="s">
        <v>1263</v>
      </c>
      <c r="C372" s="30" t="s">
        <v>1264</v>
      </c>
      <c r="D372" s="30" t="s">
        <v>14</v>
      </c>
      <c r="E372" s="20" t="s">
        <v>1912</v>
      </c>
      <c r="F372" s="26" t="s">
        <v>1925</v>
      </c>
      <c r="G372" s="30"/>
      <c r="H372" s="30"/>
      <c r="I372" s="29" t="e">
        <f>VLOOKUP(B372,#REF!,2,FALSE)</f>
        <v>#REF!</v>
      </c>
    </row>
    <row r="373" spans="1:9" hidden="1" x14ac:dyDescent="0.25">
      <c r="A373" s="31" t="s">
        <v>513</v>
      </c>
      <c r="B373" s="39" t="s">
        <v>1930</v>
      </c>
      <c r="C373" s="30" t="s">
        <v>1723</v>
      </c>
      <c r="D373" s="30" t="s">
        <v>52</v>
      </c>
      <c r="E373" s="20" t="s">
        <v>1912</v>
      </c>
      <c r="F373" s="26" t="s">
        <v>1925</v>
      </c>
      <c r="G373" s="30"/>
      <c r="H373" s="30"/>
      <c r="I373" s="29" t="e">
        <f>VLOOKUP(B373,#REF!,2,FALSE)</f>
        <v>#REF!</v>
      </c>
    </row>
    <row r="374" spans="1:9" hidden="1" x14ac:dyDescent="0.25">
      <c r="A374" s="31" t="s">
        <v>524</v>
      </c>
      <c r="B374" s="39" t="s">
        <v>522</v>
      </c>
      <c r="C374" s="30" t="s">
        <v>523</v>
      </c>
      <c r="D374" s="30" t="s">
        <v>52</v>
      </c>
      <c r="E374" s="20" t="s">
        <v>1912</v>
      </c>
      <c r="F374" s="26" t="s">
        <v>1925</v>
      </c>
      <c r="G374" s="30"/>
      <c r="H374" s="30"/>
      <c r="I374" s="29" t="e">
        <f>VLOOKUP(B374,#REF!,2,FALSE)</f>
        <v>#REF!</v>
      </c>
    </row>
    <row r="375" spans="1:9" hidden="1" x14ac:dyDescent="0.25">
      <c r="A375" s="31" t="s">
        <v>534</v>
      </c>
      <c r="B375" s="39" t="s">
        <v>533</v>
      </c>
      <c r="C375" s="30" t="s">
        <v>362</v>
      </c>
      <c r="D375" s="30" t="s">
        <v>14</v>
      </c>
      <c r="E375" s="20" t="s">
        <v>1912</v>
      </c>
      <c r="F375" s="26" t="s">
        <v>1925</v>
      </c>
      <c r="G375" s="30"/>
      <c r="H375" s="30"/>
      <c r="I375" s="29" t="e">
        <f>VLOOKUP(B375,#REF!,2,FALSE)</f>
        <v>#REF!</v>
      </c>
    </row>
    <row r="376" spans="1:9" hidden="1" x14ac:dyDescent="0.25">
      <c r="A376" s="31" t="s">
        <v>537</v>
      </c>
      <c r="B376" s="39" t="s">
        <v>536</v>
      </c>
      <c r="C376" s="30" t="s">
        <v>86</v>
      </c>
      <c r="D376" s="30" t="s">
        <v>52</v>
      </c>
      <c r="E376" s="20" t="s">
        <v>1912</v>
      </c>
      <c r="F376" s="26" t="s">
        <v>1925</v>
      </c>
      <c r="G376" s="30"/>
      <c r="H376" s="30"/>
      <c r="I376" s="29" t="e">
        <f>VLOOKUP(B376,#REF!,2,FALSE)</f>
        <v>#REF!</v>
      </c>
    </row>
    <row r="377" spans="1:9" hidden="1" x14ac:dyDescent="0.25">
      <c r="A377" s="31" t="s">
        <v>540</v>
      </c>
      <c r="B377" s="39" t="s">
        <v>539</v>
      </c>
      <c r="C377" s="30" t="s">
        <v>55</v>
      </c>
      <c r="D377" s="30" t="s">
        <v>52</v>
      </c>
      <c r="E377" s="20" t="s">
        <v>1912</v>
      </c>
      <c r="F377" s="26" t="s">
        <v>1925</v>
      </c>
      <c r="G377" s="30"/>
      <c r="H377" s="30"/>
      <c r="I377" s="29" t="e">
        <f>VLOOKUP(B377,#REF!,2,FALSE)</f>
        <v>#REF!</v>
      </c>
    </row>
    <row r="378" spans="1:9" hidden="1" x14ac:dyDescent="0.25">
      <c r="A378" s="31" t="s">
        <v>558</v>
      </c>
      <c r="B378" s="39" t="s">
        <v>556</v>
      </c>
      <c r="C378" s="30" t="s">
        <v>557</v>
      </c>
      <c r="D378" s="30" t="s">
        <v>52</v>
      </c>
      <c r="E378" s="20" t="s">
        <v>1912</v>
      </c>
      <c r="F378" s="26" t="s">
        <v>1925</v>
      </c>
      <c r="G378" s="30"/>
      <c r="H378" s="30"/>
      <c r="I378" s="29" t="e">
        <f>VLOOKUP(B378,#REF!,2,FALSE)</f>
        <v>#REF!</v>
      </c>
    </row>
    <row r="379" spans="1:9" hidden="1" x14ac:dyDescent="0.25">
      <c r="A379" s="31" t="s">
        <v>1931</v>
      </c>
      <c r="B379" s="39" t="s">
        <v>79</v>
      </c>
      <c r="C379" s="30" t="s">
        <v>384</v>
      </c>
      <c r="D379" s="30" t="s">
        <v>14</v>
      </c>
      <c r="E379" s="20" t="s">
        <v>1912</v>
      </c>
      <c r="F379" s="26" t="s">
        <v>1932</v>
      </c>
      <c r="G379" s="30"/>
      <c r="H379" s="30"/>
      <c r="I379" s="29" t="e">
        <f>VLOOKUP(B379,#REF!,2,FALSE)</f>
        <v>#REF!</v>
      </c>
    </row>
    <row r="380" spans="1:9" hidden="1" x14ac:dyDescent="0.25">
      <c r="A380" s="31" t="s">
        <v>395</v>
      </c>
      <c r="B380" s="39" t="s">
        <v>394</v>
      </c>
      <c r="C380" s="30" t="s">
        <v>91</v>
      </c>
      <c r="D380" s="30" t="s">
        <v>52</v>
      </c>
      <c r="E380" s="20" t="s">
        <v>1912</v>
      </c>
      <c r="F380" s="26" t="s">
        <v>1932</v>
      </c>
      <c r="G380" s="30"/>
      <c r="H380" s="30"/>
      <c r="I380" s="29" t="e">
        <f>VLOOKUP(B380,#REF!,2,FALSE)</f>
        <v>#REF!</v>
      </c>
    </row>
    <row r="381" spans="1:9" hidden="1" x14ac:dyDescent="0.25">
      <c r="A381" s="31" t="s">
        <v>44</v>
      </c>
      <c r="B381" s="39" t="s">
        <v>42</v>
      </c>
      <c r="C381" s="30" t="s">
        <v>43</v>
      </c>
      <c r="D381" s="30" t="s">
        <v>10</v>
      </c>
      <c r="E381" s="20" t="s">
        <v>1912</v>
      </c>
      <c r="F381" s="26" t="s">
        <v>1932</v>
      </c>
      <c r="G381" s="30"/>
      <c r="H381" s="30"/>
      <c r="I381" s="29" t="e">
        <f>VLOOKUP(B381,#REF!,2,FALSE)</f>
        <v>#REF!</v>
      </c>
    </row>
    <row r="382" spans="1:9" hidden="1" x14ac:dyDescent="0.25">
      <c r="A382" s="31" t="s">
        <v>416</v>
      </c>
      <c r="B382" s="39" t="s">
        <v>1933</v>
      </c>
      <c r="C382" s="30" t="s">
        <v>1934</v>
      </c>
      <c r="D382" s="30" t="s">
        <v>52</v>
      </c>
      <c r="E382" s="20" t="s">
        <v>1912</v>
      </c>
      <c r="F382" s="26" t="s">
        <v>1932</v>
      </c>
      <c r="G382" s="30"/>
      <c r="H382" s="30"/>
      <c r="I382" s="29" t="e">
        <f>VLOOKUP(B382,#REF!,2,FALSE)</f>
        <v>#REF!</v>
      </c>
    </row>
    <row r="383" spans="1:9" x14ac:dyDescent="0.25">
      <c r="A383" s="31" t="s">
        <v>1935</v>
      </c>
      <c r="B383" s="39" t="s">
        <v>1936</v>
      </c>
      <c r="C383" s="30" t="s">
        <v>30</v>
      </c>
      <c r="D383" s="30" t="s">
        <v>52</v>
      </c>
      <c r="E383" s="20" t="s">
        <v>1912</v>
      </c>
      <c r="F383" s="26" t="s">
        <v>1932</v>
      </c>
      <c r="G383" s="30"/>
      <c r="H383" s="30"/>
      <c r="I383" s="29" t="e">
        <f>VLOOKUP(B383,#REF!,2,FALSE)</f>
        <v>#REF!</v>
      </c>
    </row>
    <row r="384" spans="1:9" hidden="1" x14ac:dyDescent="0.25">
      <c r="A384" s="31" t="s">
        <v>503</v>
      </c>
      <c r="B384" s="39" t="s">
        <v>1937</v>
      </c>
      <c r="C384" s="30" t="s">
        <v>1938</v>
      </c>
      <c r="D384" s="30" t="s">
        <v>18</v>
      </c>
      <c r="E384" s="20" t="s">
        <v>1912</v>
      </c>
      <c r="F384" s="26" t="s">
        <v>1932</v>
      </c>
      <c r="G384" s="30"/>
      <c r="H384" s="30"/>
      <c r="I384" s="29" t="e">
        <f>VLOOKUP(B384,#REF!,2,FALSE)</f>
        <v>#REF!</v>
      </c>
    </row>
    <row r="385" spans="1:80" x14ac:dyDescent="0.25">
      <c r="A385" s="33" t="s">
        <v>1939</v>
      </c>
      <c r="B385" s="38" t="s">
        <v>1940</v>
      </c>
      <c r="C385" s="32" t="s">
        <v>37</v>
      </c>
      <c r="D385" s="32" t="s">
        <v>52</v>
      </c>
      <c r="E385" s="21" t="s">
        <v>1912</v>
      </c>
      <c r="F385" s="25" t="s">
        <v>1941</v>
      </c>
      <c r="G385" s="32"/>
      <c r="H385" s="32"/>
      <c r="I385" s="29" t="e">
        <f>VLOOKUP(B385,#REF!,2,FALSE)</f>
        <v>#REF!</v>
      </c>
      <c r="J385" s="28"/>
      <c r="K385" s="28"/>
      <c r="L385" s="28"/>
      <c r="M385" s="28"/>
      <c r="N385" s="28"/>
      <c r="O385" s="28"/>
      <c r="P385" s="28"/>
      <c r="Q385" s="28"/>
      <c r="R385" s="28"/>
      <c r="S385" s="28"/>
      <c r="T385" s="28"/>
      <c r="U385" s="28"/>
      <c r="V385" s="28"/>
      <c r="W385" s="28"/>
      <c r="X385" s="28"/>
      <c r="Y385" s="28"/>
      <c r="Z385" s="28"/>
      <c r="AA385" s="28"/>
      <c r="AB385" s="28"/>
      <c r="AC385" s="28"/>
      <c r="AD385" s="28"/>
      <c r="AE385" s="28"/>
      <c r="AF385" s="28"/>
      <c r="AG385" s="28"/>
      <c r="AH385" s="28"/>
      <c r="AI385" s="28"/>
      <c r="AJ385" s="28"/>
      <c r="AK385" s="28"/>
      <c r="AL385" s="28"/>
      <c r="AM385" s="28"/>
      <c r="AN385" s="28"/>
      <c r="AO385" s="28"/>
      <c r="AP385" s="28"/>
      <c r="AQ385" s="28"/>
      <c r="AR385" s="28"/>
      <c r="AS385" s="28"/>
      <c r="AT385" s="28"/>
      <c r="AU385" s="28"/>
      <c r="AV385" s="28"/>
      <c r="AW385" s="28"/>
      <c r="AX385" s="28"/>
      <c r="AY385" s="28"/>
      <c r="AZ385" s="28"/>
      <c r="BA385" s="28"/>
      <c r="BB385" s="28"/>
      <c r="BC385" s="28"/>
      <c r="BD385" s="28"/>
      <c r="BE385" s="28"/>
      <c r="BF385" s="28"/>
      <c r="BG385" s="28"/>
      <c r="BH385" s="28"/>
      <c r="BI385" s="28"/>
      <c r="BJ385" s="28"/>
      <c r="BK385" s="28"/>
      <c r="BL385" s="28"/>
      <c r="BM385" s="28"/>
      <c r="BN385" s="28"/>
      <c r="BO385" s="28"/>
      <c r="BP385" s="28"/>
      <c r="BQ385" s="28"/>
      <c r="BR385" s="28"/>
      <c r="BS385" s="28"/>
      <c r="BT385" s="28"/>
      <c r="BU385" s="28"/>
      <c r="BV385" s="28"/>
      <c r="BW385" s="28"/>
      <c r="BX385" s="28"/>
      <c r="BY385" s="28"/>
      <c r="BZ385" s="28"/>
      <c r="CA385" s="28"/>
      <c r="CB385" s="28"/>
    </row>
    <row r="386" spans="1:80" hidden="1" x14ac:dyDescent="0.25">
      <c r="A386" s="31" t="s">
        <v>371</v>
      </c>
      <c r="B386" s="39" t="s">
        <v>369</v>
      </c>
      <c r="C386" s="30" t="s">
        <v>370</v>
      </c>
      <c r="D386" s="30" t="s">
        <v>52</v>
      </c>
      <c r="E386" s="20" t="s">
        <v>1912</v>
      </c>
      <c r="F386" s="26" t="s">
        <v>1941</v>
      </c>
      <c r="G386" s="30"/>
      <c r="H386" s="30"/>
      <c r="I386" s="29" t="e">
        <f>VLOOKUP(B386,#REF!,2,FALSE)</f>
        <v>#REF!</v>
      </c>
      <c r="J386" s="28"/>
      <c r="K386" s="28"/>
      <c r="L386" s="28"/>
      <c r="M386" s="28"/>
      <c r="N386" s="28"/>
      <c r="O386" s="28"/>
      <c r="P386" s="28"/>
      <c r="Q386" s="28"/>
      <c r="R386" s="28"/>
      <c r="S386" s="28"/>
      <c r="T386" s="28"/>
      <c r="U386" s="28"/>
      <c r="V386" s="28"/>
      <c r="W386" s="28"/>
      <c r="X386" s="28"/>
      <c r="Y386" s="28"/>
      <c r="Z386" s="28"/>
      <c r="AA386" s="28"/>
      <c r="AB386" s="28"/>
      <c r="AC386" s="28"/>
      <c r="AD386" s="28"/>
      <c r="AE386" s="28"/>
      <c r="AF386" s="28"/>
      <c r="AG386" s="28"/>
      <c r="AH386" s="28"/>
      <c r="AI386" s="28"/>
      <c r="AJ386" s="28"/>
      <c r="AK386" s="28"/>
      <c r="AL386" s="28"/>
      <c r="AM386" s="28"/>
      <c r="AN386" s="28"/>
      <c r="AO386" s="28"/>
      <c r="AP386" s="28"/>
      <c r="AQ386" s="28"/>
      <c r="AR386" s="28"/>
      <c r="AS386" s="28"/>
      <c r="AT386" s="28"/>
      <c r="AU386" s="28"/>
      <c r="AV386" s="28"/>
      <c r="AW386" s="28"/>
      <c r="AX386" s="28"/>
      <c r="AY386" s="28"/>
      <c r="AZ386" s="28"/>
      <c r="BA386" s="28"/>
      <c r="BB386" s="28"/>
      <c r="BC386" s="28"/>
      <c r="BD386" s="28"/>
      <c r="BE386" s="28"/>
      <c r="BF386" s="28"/>
      <c r="BG386" s="28"/>
      <c r="BH386" s="28"/>
      <c r="BI386" s="28"/>
      <c r="BJ386" s="28"/>
      <c r="BK386" s="28"/>
      <c r="BL386" s="28"/>
      <c r="BM386" s="28"/>
      <c r="BN386" s="28"/>
      <c r="BO386" s="28"/>
      <c r="BP386" s="28"/>
      <c r="BQ386" s="28"/>
      <c r="BR386" s="28"/>
      <c r="BS386" s="28"/>
      <c r="BT386" s="28"/>
      <c r="BU386" s="28"/>
      <c r="BV386" s="28"/>
      <c r="BW386" s="28"/>
      <c r="BX386" s="28"/>
      <c r="BY386" s="28"/>
      <c r="BZ386" s="28"/>
      <c r="CA386" s="28"/>
      <c r="CB386" s="28"/>
    </row>
    <row r="387" spans="1:80" hidden="1" x14ac:dyDescent="0.25">
      <c r="A387" s="31" t="s">
        <v>374</v>
      </c>
      <c r="B387" s="39" t="s">
        <v>372</v>
      </c>
      <c r="C387" s="30" t="s">
        <v>373</v>
      </c>
      <c r="D387" s="30" t="s">
        <v>52</v>
      </c>
      <c r="E387" s="20" t="s">
        <v>1912</v>
      </c>
      <c r="F387" s="26" t="s">
        <v>1941</v>
      </c>
      <c r="G387" s="30"/>
      <c r="H387" s="30"/>
      <c r="I387" s="29" t="e">
        <f>VLOOKUP(B387,#REF!,2,FALSE)</f>
        <v>#REF!</v>
      </c>
      <c r="J387" s="28"/>
      <c r="K387" s="28"/>
      <c r="L387" s="28"/>
      <c r="M387" s="28"/>
      <c r="N387" s="28"/>
      <c r="O387" s="28"/>
      <c r="P387" s="28"/>
      <c r="Q387" s="28"/>
      <c r="R387" s="28"/>
      <c r="S387" s="28"/>
      <c r="T387" s="28"/>
      <c r="U387" s="28"/>
      <c r="V387" s="28"/>
      <c r="W387" s="28"/>
      <c r="X387" s="28"/>
      <c r="Y387" s="28"/>
      <c r="Z387" s="28"/>
      <c r="AA387" s="28"/>
      <c r="AB387" s="28"/>
      <c r="AC387" s="28"/>
      <c r="AD387" s="28"/>
      <c r="AE387" s="28"/>
      <c r="AF387" s="28"/>
      <c r="AG387" s="28"/>
      <c r="AH387" s="28"/>
      <c r="AI387" s="28"/>
      <c r="AJ387" s="28"/>
      <c r="AK387" s="28"/>
      <c r="AL387" s="28"/>
      <c r="AM387" s="28"/>
      <c r="AN387" s="28"/>
      <c r="AO387" s="28"/>
      <c r="AP387" s="28"/>
      <c r="AQ387" s="28"/>
      <c r="AR387" s="28"/>
      <c r="AS387" s="28"/>
      <c r="AT387" s="28"/>
      <c r="AU387" s="28"/>
      <c r="AV387" s="28"/>
      <c r="AW387" s="28"/>
      <c r="AX387" s="28"/>
      <c r="AY387" s="28"/>
      <c r="AZ387" s="28"/>
      <c r="BA387" s="28"/>
      <c r="BB387" s="28"/>
      <c r="BC387" s="28"/>
      <c r="BD387" s="28"/>
      <c r="BE387" s="28"/>
      <c r="BF387" s="28"/>
      <c r="BG387" s="28"/>
      <c r="BH387" s="28"/>
      <c r="BI387" s="28"/>
      <c r="BJ387" s="28"/>
      <c r="BK387" s="28"/>
      <c r="BL387" s="28"/>
      <c r="BM387" s="28"/>
      <c r="BN387" s="28"/>
      <c r="BO387" s="28"/>
      <c r="BP387" s="28"/>
      <c r="BQ387" s="28"/>
      <c r="BR387" s="28"/>
      <c r="BS387" s="28"/>
      <c r="BT387" s="28"/>
      <c r="BU387" s="28"/>
      <c r="BV387" s="28"/>
      <c r="BW387" s="28"/>
      <c r="BX387" s="28"/>
      <c r="BY387" s="28"/>
      <c r="BZ387" s="28"/>
      <c r="CA387" s="28"/>
      <c r="CB387" s="28"/>
    </row>
    <row r="388" spans="1:80" hidden="1" x14ac:dyDescent="0.25">
      <c r="A388" s="31" t="s">
        <v>376</v>
      </c>
      <c r="B388" s="39" t="s">
        <v>375</v>
      </c>
      <c r="C388" s="30" t="s">
        <v>119</v>
      </c>
      <c r="D388" s="30" t="s">
        <v>52</v>
      </c>
      <c r="E388" s="20" t="s">
        <v>1912</v>
      </c>
      <c r="F388" s="26" t="s">
        <v>1941</v>
      </c>
      <c r="G388" s="30"/>
      <c r="H388" s="30"/>
      <c r="I388" s="29" t="e">
        <f>VLOOKUP(B388,#REF!,2,FALSE)</f>
        <v>#REF!</v>
      </c>
      <c r="J388" s="28"/>
      <c r="K388" s="28"/>
      <c r="L388" s="28"/>
      <c r="M388" s="28"/>
      <c r="N388" s="28"/>
      <c r="O388" s="28"/>
      <c r="P388" s="28"/>
      <c r="Q388" s="28"/>
      <c r="R388" s="28"/>
      <c r="S388" s="28"/>
      <c r="T388" s="28"/>
      <c r="U388" s="28"/>
      <c r="V388" s="28"/>
      <c r="W388" s="28"/>
      <c r="X388" s="28"/>
      <c r="Y388" s="28"/>
      <c r="Z388" s="28"/>
      <c r="AA388" s="28"/>
      <c r="AB388" s="28"/>
      <c r="AC388" s="28"/>
      <c r="AD388" s="28"/>
      <c r="AE388" s="28"/>
      <c r="AF388" s="28"/>
      <c r="AG388" s="28"/>
      <c r="AH388" s="28"/>
      <c r="AI388" s="28"/>
      <c r="AJ388" s="28"/>
      <c r="AK388" s="28"/>
      <c r="AL388" s="28"/>
      <c r="AM388" s="28"/>
      <c r="AN388" s="28"/>
      <c r="AO388" s="28"/>
      <c r="AP388" s="28"/>
      <c r="AQ388" s="28"/>
      <c r="AR388" s="28"/>
      <c r="AS388" s="28"/>
      <c r="AT388" s="28"/>
      <c r="AU388" s="28"/>
      <c r="AV388" s="28"/>
      <c r="AW388" s="28"/>
      <c r="AX388" s="28"/>
      <c r="AY388" s="28"/>
      <c r="AZ388" s="28"/>
      <c r="BA388" s="28"/>
      <c r="BB388" s="28"/>
      <c r="BC388" s="28"/>
      <c r="BD388" s="28"/>
      <c r="BE388" s="28"/>
      <c r="BF388" s="28"/>
      <c r="BG388" s="28"/>
      <c r="BH388" s="28"/>
      <c r="BI388" s="28"/>
      <c r="BJ388" s="28"/>
      <c r="BK388" s="28"/>
      <c r="BL388" s="28"/>
      <c r="BM388" s="28"/>
      <c r="BN388" s="28"/>
      <c r="BO388" s="28"/>
      <c r="BP388" s="28"/>
      <c r="BQ388" s="28"/>
      <c r="BR388" s="28"/>
      <c r="BS388" s="28"/>
      <c r="BT388" s="28"/>
      <c r="BU388" s="28"/>
      <c r="BV388" s="28"/>
      <c r="BW388" s="28"/>
      <c r="BX388" s="28"/>
      <c r="BY388" s="28"/>
      <c r="BZ388" s="28"/>
      <c r="CA388" s="28"/>
      <c r="CB388" s="28"/>
    </row>
    <row r="389" spans="1:80" hidden="1" x14ac:dyDescent="0.25">
      <c r="A389" s="31" t="s">
        <v>123</v>
      </c>
      <c r="B389" s="39" t="s">
        <v>121</v>
      </c>
      <c r="C389" s="30" t="s">
        <v>122</v>
      </c>
      <c r="D389" s="30" t="s">
        <v>97</v>
      </c>
      <c r="E389" s="20" t="s">
        <v>1912</v>
      </c>
      <c r="F389" s="26" t="s">
        <v>1941</v>
      </c>
      <c r="G389" s="30"/>
      <c r="H389" s="30"/>
      <c r="I389" s="29" t="e">
        <f>VLOOKUP(B389,#REF!,2,FALSE)</f>
        <v>#REF!</v>
      </c>
      <c r="J389" s="28"/>
      <c r="K389" s="28"/>
      <c r="L389" s="28"/>
      <c r="M389" s="28"/>
      <c r="N389" s="28"/>
      <c r="O389" s="28"/>
      <c r="P389" s="28"/>
      <c r="Q389" s="28"/>
      <c r="R389" s="28"/>
      <c r="S389" s="28"/>
      <c r="T389" s="28"/>
      <c r="U389" s="28"/>
      <c r="V389" s="28"/>
      <c r="W389" s="28"/>
      <c r="X389" s="28"/>
      <c r="Y389" s="28"/>
      <c r="Z389" s="28"/>
      <c r="AA389" s="28"/>
      <c r="AB389" s="28"/>
      <c r="AC389" s="28"/>
      <c r="AD389" s="28"/>
      <c r="AE389" s="28"/>
      <c r="AF389" s="28"/>
      <c r="AG389" s="28"/>
      <c r="AH389" s="28"/>
      <c r="AI389" s="28"/>
      <c r="AJ389" s="28"/>
      <c r="AK389" s="28"/>
      <c r="AL389" s="28"/>
      <c r="AM389" s="28"/>
      <c r="AN389" s="28"/>
      <c r="AO389" s="28"/>
      <c r="AP389" s="28"/>
      <c r="AQ389" s="28"/>
      <c r="AR389" s="28"/>
      <c r="AS389" s="28"/>
      <c r="AT389" s="28"/>
      <c r="AU389" s="28"/>
      <c r="AV389" s="28"/>
      <c r="AW389" s="28"/>
      <c r="AX389" s="28"/>
      <c r="AY389" s="28"/>
      <c r="AZ389" s="28"/>
      <c r="BA389" s="28"/>
      <c r="BB389" s="28"/>
      <c r="BC389" s="28"/>
      <c r="BD389" s="28"/>
      <c r="BE389" s="28"/>
      <c r="BF389" s="28"/>
      <c r="BG389" s="28"/>
      <c r="BH389" s="28"/>
      <c r="BI389" s="28"/>
      <c r="BJ389" s="28"/>
      <c r="BK389" s="28"/>
      <c r="BL389" s="28"/>
      <c r="BM389" s="28"/>
      <c r="BN389" s="28"/>
      <c r="BO389" s="28"/>
      <c r="BP389" s="28"/>
      <c r="BQ389" s="28"/>
      <c r="BR389" s="28"/>
      <c r="BS389" s="28"/>
      <c r="BT389" s="28"/>
      <c r="BU389" s="28"/>
      <c r="BV389" s="28"/>
      <c r="BW389" s="28"/>
      <c r="BX389" s="28"/>
      <c r="BY389" s="28"/>
      <c r="BZ389" s="28"/>
      <c r="CA389" s="28"/>
      <c r="CB389" s="28"/>
    </row>
    <row r="390" spans="1:80" hidden="1" x14ac:dyDescent="0.25">
      <c r="A390" s="31" t="s">
        <v>166</v>
      </c>
      <c r="B390" s="39" t="s">
        <v>1942</v>
      </c>
      <c r="C390" s="30" t="s">
        <v>1943</v>
      </c>
      <c r="D390" s="30" t="s">
        <v>14</v>
      </c>
      <c r="E390" s="20" t="s">
        <v>1912</v>
      </c>
      <c r="F390" s="26" t="s">
        <v>1941</v>
      </c>
      <c r="G390" s="30" t="s">
        <v>1812</v>
      </c>
      <c r="H390" s="30"/>
      <c r="I390" s="29" t="e">
        <f>VLOOKUP(B390,#REF!,2,FALSE)</f>
        <v>#REF!</v>
      </c>
      <c r="J390" s="29"/>
      <c r="K390" s="29"/>
      <c r="L390" s="29"/>
      <c r="M390" s="29"/>
      <c r="N390" s="29"/>
      <c r="O390" s="29"/>
      <c r="P390" s="29"/>
      <c r="Q390" s="29"/>
      <c r="R390" s="29"/>
      <c r="S390" s="29"/>
      <c r="T390" s="29"/>
      <c r="U390" s="29"/>
      <c r="V390" s="29"/>
      <c r="W390" s="29"/>
      <c r="X390" s="29"/>
      <c r="Y390" s="29"/>
      <c r="Z390" s="29"/>
      <c r="AA390" s="29"/>
      <c r="AB390" s="29"/>
      <c r="AC390" s="29"/>
      <c r="AD390" s="29"/>
      <c r="AE390" s="29"/>
      <c r="AF390" s="29"/>
      <c r="AG390" s="29"/>
      <c r="AH390" s="29"/>
      <c r="AI390" s="29"/>
      <c r="AJ390" s="29"/>
      <c r="AK390" s="29"/>
      <c r="AL390" s="29"/>
      <c r="AM390" s="29"/>
      <c r="AN390" s="29"/>
      <c r="AO390" s="29"/>
      <c r="AP390" s="29"/>
      <c r="AQ390" s="29"/>
      <c r="AR390" s="29"/>
      <c r="AS390" s="29"/>
      <c r="AT390" s="29"/>
      <c r="AU390" s="29"/>
      <c r="AV390" s="29"/>
      <c r="AW390" s="29"/>
      <c r="AX390" s="29"/>
      <c r="AY390" s="29"/>
      <c r="AZ390" s="29"/>
      <c r="BA390" s="29"/>
      <c r="BB390" s="29"/>
      <c r="BC390" s="29"/>
      <c r="BD390" s="29"/>
      <c r="BE390" s="29"/>
      <c r="BF390" s="29"/>
      <c r="BG390" s="29"/>
      <c r="BH390" s="29"/>
      <c r="BI390" s="29"/>
      <c r="BJ390" s="29"/>
      <c r="BK390" s="29"/>
      <c r="BL390" s="29"/>
      <c r="BM390" s="29"/>
      <c r="BN390" s="29"/>
      <c r="BO390" s="29"/>
      <c r="BP390" s="29"/>
      <c r="BQ390" s="29"/>
      <c r="BR390" s="29"/>
      <c r="BS390" s="29"/>
      <c r="BT390" s="29"/>
      <c r="BU390" s="29"/>
      <c r="BV390" s="29"/>
      <c r="BW390" s="29"/>
      <c r="BX390" s="29"/>
      <c r="BY390" s="29"/>
      <c r="BZ390" s="29"/>
      <c r="CA390" s="29"/>
      <c r="CB390" s="29"/>
    </row>
    <row r="391" spans="1:80" hidden="1" x14ac:dyDescent="0.25">
      <c r="A391" s="31" t="s">
        <v>184</v>
      </c>
      <c r="B391" s="39" t="s">
        <v>183</v>
      </c>
      <c r="C391" s="30" t="s">
        <v>55</v>
      </c>
      <c r="D391" s="30" t="s">
        <v>52</v>
      </c>
      <c r="E391" s="20" t="s">
        <v>1912</v>
      </c>
      <c r="F391" s="26" t="s">
        <v>1941</v>
      </c>
      <c r="G391" s="30"/>
      <c r="H391" s="30"/>
      <c r="I391" s="29" t="e">
        <f>VLOOKUP(B391,#REF!,2,FALSE)</f>
        <v>#REF!</v>
      </c>
      <c r="J391" s="28"/>
      <c r="K391" s="28"/>
      <c r="L391" s="28"/>
      <c r="M391" s="28"/>
      <c r="N391" s="28"/>
      <c r="O391" s="28"/>
      <c r="P391" s="28"/>
      <c r="Q391" s="28"/>
      <c r="R391" s="28"/>
      <c r="S391" s="28"/>
      <c r="T391" s="28"/>
      <c r="U391" s="28"/>
      <c r="V391" s="28"/>
      <c r="W391" s="28"/>
      <c r="X391" s="28"/>
      <c r="Y391" s="28"/>
      <c r="Z391" s="28"/>
      <c r="AA391" s="28"/>
      <c r="AB391" s="28"/>
      <c r="AC391" s="28"/>
      <c r="AD391" s="28"/>
      <c r="AE391" s="28"/>
      <c r="AF391" s="28"/>
      <c r="AG391" s="28"/>
      <c r="AH391" s="28"/>
      <c r="AI391" s="28"/>
      <c r="AJ391" s="28"/>
      <c r="AK391" s="28"/>
      <c r="AL391" s="28"/>
      <c r="AM391" s="28"/>
      <c r="AN391" s="28"/>
      <c r="AO391" s="28"/>
      <c r="AP391" s="28"/>
      <c r="AQ391" s="28"/>
      <c r="AR391" s="28"/>
      <c r="AS391" s="28"/>
      <c r="AT391" s="28"/>
      <c r="AU391" s="28"/>
      <c r="AV391" s="28"/>
      <c r="AW391" s="28"/>
      <c r="AX391" s="28"/>
      <c r="AY391" s="28"/>
      <c r="AZ391" s="28"/>
      <c r="BA391" s="28"/>
      <c r="BB391" s="28"/>
      <c r="BC391" s="28"/>
      <c r="BD391" s="28"/>
      <c r="BE391" s="28"/>
      <c r="BF391" s="28"/>
      <c r="BG391" s="28"/>
      <c r="BH391" s="28"/>
      <c r="BI391" s="28"/>
      <c r="BJ391" s="28"/>
      <c r="BK391" s="28"/>
      <c r="BL391" s="28"/>
      <c r="BM391" s="28"/>
      <c r="BN391" s="28"/>
      <c r="BO391" s="28"/>
      <c r="BP391" s="28"/>
      <c r="BQ391" s="28"/>
      <c r="BR391" s="28"/>
      <c r="BS391" s="28"/>
      <c r="BT391" s="28"/>
      <c r="BU391" s="28"/>
      <c r="BV391" s="28"/>
      <c r="BW391" s="28"/>
      <c r="BX391" s="28"/>
      <c r="BY391" s="28"/>
      <c r="BZ391" s="28"/>
      <c r="CA391" s="28"/>
      <c r="CB391" s="28"/>
    </row>
    <row r="392" spans="1:80" hidden="1" x14ac:dyDescent="0.25">
      <c r="A392" s="31" t="s">
        <v>442</v>
      </c>
      <c r="B392" s="39" t="s">
        <v>440</v>
      </c>
      <c r="C392" s="30" t="s">
        <v>441</v>
      </c>
      <c r="D392" s="30" t="s">
        <v>52</v>
      </c>
      <c r="E392" s="20" t="s">
        <v>1912</v>
      </c>
      <c r="F392" s="26" t="s">
        <v>1941</v>
      </c>
      <c r="G392" s="30"/>
      <c r="H392" s="30"/>
      <c r="I392" s="29" t="e">
        <f>VLOOKUP(B392,#REF!,2,FALSE)</f>
        <v>#REF!</v>
      </c>
      <c r="J392" s="28"/>
      <c r="K392" s="28"/>
      <c r="L392" s="28"/>
      <c r="M392" s="28"/>
      <c r="N392" s="28"/>
      <c r="O392" s="28"/>
      <c r="P392" s="28"/>
      <c r="Q392" s="28"/>
      <c r="R392" s="28"/>
      <c r="S392" s="28"/>
      <c r="T392" s="28"/>
      <c r="U392" s="28"/>
      <c r="V392" s="28"/>
      <c r="W392" s="28"/>
      <c r="X392" s="28"/>
      <c r="Y392" s="28"/>
      <c r="Z392" s="28"/>
      <c r="AA392" s="28"/>
      <c r="AB392" s="28"/>
      <c r="AC392" s="28"/>
      <c r="AD392" s="28"/>
      <c r="AE392" s="28"/>
      <c r="AF392" s="28"/>
      <c r="AG392" s="28"/>
      <c r="AH392" s="28"/>
      <c r="AI392" s="28"/>
      <c r="AJ392" s="28"/>
      <c r="AK392" s="28"/>
      <c r="AL392" s="28"/>
      <c r="AM392" s="28"/>
      <c r="AN392" s="28"/>
      <c r="AO392" s="28"/>
      <c r="AP392" s="28"/>
      <c r="AQ392" s="28"/>
      <c r="AR392" s="28"/>
      <c r="AS392" s="28"/>
      <c r="AT392" s="28"/>
      <c r="AU392" s="28"/>
      <c r="AV392" s="28"/>
      <c r="AW392" s="28"/>
      <c r="AX392" s="28"/>
      <c r="AY392" s="28"/>
      <c r="AZ392" s="28"/>
      <c r="BA392" s="28"/>
      <c r="BB392" s="28"/>
      <c r="BC392" s="28"/>
      <c r="BD392" s="28"/>
      <c r="BE392" s="28"/>
      <c r="BF392" s="28"/>
      <c r="BG392" s="28"/>
      <c r="BH392" s="28"/>
      <c r="BI392" s="28"/>
      <c r="BJ392" s="28"/>
      <c r="BK392" s="28"/>
      <c r="BL392" s="28"/>
      <c r="BM392" s="28"/>
      <c r="BN392" s="28"/>
      <c r="BO392" s="28"/>
      <c r="BP392" s="28"/>
      <c r="BQ392" s="28"/>
      <c r="BR392" s="28"/>
      <c r="BS392" s="28"/>
      <c r="BT392" s="28"/>
      <c r="BU392" s="28"/>
      <c r="BV392" s="28"/>
      <c r="BW392" s="28"/>
      <c r="BX392" s="28"/>
      <c r="BY392" s="28"/>
      <c r="BZ392" s="28"/>
      <c r="CA392" s="28"/>
      <c r="CB392" s="28"/>
    </row>
    <row r="393" spans="1:80" x14ac:dyDescent="0.25">
      <c r="A393" s="31" t="s">
        <v>1944</v>
      </c>
      <c r="B393" s="39" t="s">
        <v>1945</v>
      </c>
      <c r="C393" s="30" t="s">
        <v>749</v>
      </c>
      <c r="D393" s="30" t="s">
        <v>52</v>
      </c>
      <c r="E393" s="20" t="s">
        <v>1912</v>
      </c>
      <c r="F393" s="26" t="s">
        <v>1941</v>
      </c>
      <c r="G393" s="30"/>
      <c r="H393" s="30"/>
      <c r="I393" s="29" t="e">
        <f>VLOOKUP(B393,#REF!,2,FALSE)</f>
        <v>#REF!</v>
      </c>
      <c r="J393" s="28"/>
      <c r="K393" s="28"/>
      <c r="L393" s="28"/>
      <c r="M393" s="28"/>
      <c r="N393" s="28"/>
      <c r="O393" s="28"/>
      <c r="P393" s="28"/>
      <c r="Q393" s="28"/>
      <c r="R393" s="28"/>
      <c r="S393" s="28"/>
      <c r="T393" s="28"/>
      <c r="U393" s="28"/>
      <c r="V393" s="28"/>
      <c r="W393" s="28"/>
      <c r="X393" s="28"/>
      <c r="Y393" s="28"/>
      <c r="Z393" s="28"/>
      <c r="AA393" s="28"/>
      <c r="AB393" s="28"/>
      <c r="AC393" s="28"/>
      <c r="AD393" s="28"/>
      <c r="AE393" s="28"/>
      <c r="AF393" s="28"/>
      <c r="AG393" s="28"/>
      <c r="AH393" s="28"/>
      <c r="AI393" s="28"/>
      <c r="AJ393" s="28"/>
      <c r="AK393" s="28"/>
      <c r="AL393" s="28"/>
      <c r="AM393" s="28"/>
      <c r="AN393" s="28"/>
      <c r="AO393" s="28"/>
      <c r="AP393" s="28"/>
      <c r="AQ393" s="28"/>
      <c r="AR393" s="28"/>
      <c r="AS393" s="28"/>
      <c r="AT393" s="28"/>
      <c r="AU393" s="28"/>
      <c r="AV393" s="28"/>
      <c r="AW393" s="28"/>
      <c r="AX393" s="28"/>
      <c r="AY393" s="28"/>
      <c r="AZ393" s="28"/>
      <c r="BA393" s="28"/>
      <c r="BB393" s="28"/>
      <c r="BC393" s="28"/>
      <c r="BD393" s="28"/>
      <c r="BE393" s="28"/>
      <c r="BF393" s="28"/>
      <c r="BG393" s="28"/>
      <c r="BH393" s="28"/>
      <c r="BI393" s="28"/>
      <c r="BJ393" s="28"/>
      <c r="BK393" s="28"/>
      <c r="BL393" s="28"/>
      <c r="BM393" s="28"/>
      <c r="BN393" s="28"/>
      <c r="BO393" s="28"/>
      <c r="BP393" s="28"/>
      <c r="BQ393" s="28"/>
      <c r="BR393" s="28"/>
      <c r="BS393" s="28"/>
      <c r="BT393" s="28"/>
      <c r="BU393" s="28"/>
      <c r="BV393" s="28"/>
      <c r="BW393" s="28"/>
      <c r="BX393" s="28"/>
      <c r="BY393" s="28"/>
      <c r="BZ393" s="28"/>
      <c r="CA393" s="28"/>
      <c r="CB393" s="28"/>
    </row>
    <row r="394" spans="1:80" hidden="1" x14ac:dyDescent="0.25">
      <c r="A394" s="31" t="s">
        <v>203</v>
      </c>
      <c r="B394" s="39" t="s">
        <v>1946</v>
      </c>
      <c r="C394" s="30" t="s">
        <v>1742</v>
      </c>
      <c r="D394" s="30" t="s">
        <v>52</v>
      </c>
      <c r="E394" s="20" t="s">
        <v>1912</v>
      </c>
      <c r="F394" s="26" t="s">
        <v>1941</v>
      </c>
      <c r="G394" s="30"/>
      <c r="H394" s="30"/>
      <c r="I394" s="29" t="e">
        <f>VLOOKUP(B394,#REF!,2,FALSE)</f>
        <v>#REF!</v>
      </c>
      <c r="J394" s="28"/>
      <c r="K394" s="28"/>
      <c r="L394" s="28"/>
      <c r="M394" s="28"/>
      <c r="N394" s="28"/>
      <c r="O394" s="28"/>
      <c r="P394" s="28"/>
      <c r="Q394" s="28"/>
      <c r="R394" s="28"/>
      <c r="S394" s="28"/>
      <c r="T394" s="28"/>
      <c r="U394" s="28"/>
      <c r="V394" s="28"/>
      <c r="W394" s="28"/>
      <c r="X394" s="28"/>
      <c r="Y394" s="28"/>
      <c r="Z394" s="28"/>
      <c r="AA394" s="28"/>
      <c r="AB394" s="28"/>
      <c r="AC394" s="28"/>
      <c r="AD394" s="28"/>
      <c r="AE394" s="28"/>
      <c r="AF394" s="28"/>
      <c r="AG394" s="28"/>
      <c r="AH394" s="28"/>
      <c r="AI394" s="28"/>
      <c r="AJ394" s="28"/>
      <c r="AK394" s="28"/>
      <c r="AL394" s="28"/>
      <c r="AM394" s="28"/>
      <c r="AN394" s="28"/>
      <c r="AO394" s="28"/>
      <c r="AP394" s="28"/>
      <c r="AQ394" s="28"/>
      <c r="AR394" s="28"/>
      <c r="AS394" s="28"/>
      <c r="AT394" s="28"/>
      <c r="AU394" s="28"/>
      <c r="AV394" s="28"/>
      <c r="AW394" s="28"/>
      <c r="AX394" s="28"/>
      <c r="AY394" s="28"/>
      <c r="AZ394" s="28"/>
      <c r="BA394" s="28"/>
      <c r="BB394" s="28"/>
      <c r="BC394" s="28"/>
      <c r="BD394" s="28"/>
      <c r="BE394" s="28"/>
      <c r="BF394" s="28"/>
      <c r="BG394" s="28"/>
      <c r="BH394" s="28"/>
      <c r="BI394" s="28"/>
      <c r="BJ394" s="28"/>
      <c r="BK394" s="28"/>
      <c r="BL394" s="28"/>
      <c r="BM394" s="28"/>
      <c r="BN394" s="28"/>
      <c r="BO394" s="28"/>
      <c r="BP394" s="28"/>
      <c r="BQ394" s="28"/>
      <c r="BR394" s="28"/>
      <c r="BS394" s="28"/>
      <c r="BT394" s="28"/>
      <c r="BU394" s="28"/>
      <c r="BV394" s="28"/>
      <c r="BW394" s="28"/>
      <c r="BX394" s="28"/>
      <c r="BY394" s="28"/>
      <c r="BZ394" s="28"/>
      <c r="CA394" s="28"/>
      <c r="CB394" s="28"/>
    </row>
    <row r="395" spans="1:80" hidden="1" x14ac:dyDescent="0.25">
      <c r="A395" s="33" t="s">
        <v>309</v>
      </c>
      <c r="B395" s="38" t="s">
        <v>308</v>
      </c>
      <c r="C395" s="32" t="s">
        <v>27</v>
      </c>
      <c r="D395" s="32" t="s">
        <v>14</v>
      </c>
      <c r="E395" s="21" t="s">
        <v>1912</v>
      </c>
      <c r="F395" s="25" t="s">
        <v>1941</v>
      </c>
      <c r="G395" s="32"/>
      <c r="H395" s="32"/>
      <c r="I395" s="29" t="e">
        <f>VLOOKUP(B395,#REF!,2,FALSE)</f>
        <v>#REF!</v>
      </c>
      <c r="J395" s="28"/>
      <c r="K395" s="28"/>
      <c r="L395" s="28"/>
      <c r="M395" s="28"/>
      <c r="N395" s="28"/>
      <c r="O395" s="28"/>
      <c r="P395" s="28"/>
      <c r="Q395" s="28"/>
      <c r="R395" s="28"/>
      <c r="S395" s="28"/>
      <c r="T395" s="28"/>
      <c r="U395" s="28"/>
      <c r="V395" s="28"/>
      <c r="W395" s="28"/>
      <c r="X395" s="28"/>
      <c r="Y395" s="28"/>
      <c r="Z395" s="28"/>
      <c r="AA395" s="28"/>
      <c r="AB395" s="28"/>
      <c r="AC395" s="28"/>
      <c r="AD395" s="28"/>
      <c r="AE395" s="28"/>
      <c r="AF395" s="28"/>
      <c r="AG395" s="28"/>
      <c r="AH395" s="28"/>
      <c r="AI395" s="28"/>
      <c r="AJ395" s="28"/>
      <c r="AK395" s="28"/>
      <c r="AL395" s="28"/>
      <c r="AM395" s="28"/>
      <c r="AN395" s="28"/>
      <c r="AO395" s="28"/>
      <c r="AP395" s="28"/>
      <c r="AQ395" s="28"/>
      <c r="AR395" s="28"/>
      <c r="AS395" s="28"/>
      <c r="AT395" s="28"/>
      <c r="AU395" s="28"/>
      <c r="AV395" s="28"/>
      <c r="AW395" s="28"/>
      <c r="AX395" s="28"/>
      <c r="AY395" s="28"/>
      <c r="AZ395" s="28"/>
      <c r="BA395" s="28"/>
      <c r="BB395" s="28"/>
      <c r="BC395" s="28"/>
      <c r="BD395" s="28"/>
      <c r="BE395" s="28"/>
      <c r="BF395" s="28"/>
      <c r="BG395" s="28"/>
      <c r="BH395" s="28"/>
      <c r="BI395" s="28"/>
      <c r="BJ395" s="28"/>
      <c r="BK395" s="28"/>
      <c r="BL395" s="28"/>
      <c r="BM395" s="28"/>
      <c r="BN395" s="28"/>
      <c r="BO395" s="28"/>
      <c r="BP395" s="28"/>
      <c r="BQ395" s="28"/>
      <c r="BR395" s="28"/>
      <c r="BS395" s="28"/>
      <c r="BT395" s="28"/>
      <c r="BU395" s="28"/>
      <c r="BV395" s="28"/>
      <c r="BW395" s="28"/>
      <c r="BX395" s="28"/>
      <c r="BY395" s="28"/>
      <c r="BZ395" s="28"/>
      <c r="CA395" s="28"/>
      <c r="CB395" s="28"/>
    </row>
    <row r="396" spans="1:80" hidden="1" x14ac:dyDescent="0.25">
      <c r="A396" s="31" t="s">
        <v>1390</v>
      </c>
      <c r="B396" s="39" t="s">
        <v>1389</v>
      </c>
      <c r="C396" s="30" t="s">
        <v>148</v>
      </c>
      <c r="D396" s="30" t="s">
        <v>52</v>
      </c>
      <c r="E396" s="20" t="s">
        <v>1912</v>
      </c>
      <c r="F396" s="26" t="s">
        <v>1941</v>
      </c>
      <c r="G396" s="30"/>
      <c r="H396" s="30"/>
      <c r="I396" s="29" t="e">
        <f>VLOOKUP(B396,#REF!,2,FALSE)</f>
        <v>#REF!</v>
      </c>
      <c r="J396" s="28"/>
      <c r="K396" s="28"/>
      <c r="L396" s="28"/>
      <c r="M396" s="28"/>
      <c r="N396" s="28"/>
      <c r="O396" s="28"/>
      <c r="P396" s="28"/>
      <c r="Q396" s="28"/>
      <c r="R396" s="28"/>
      <c r="S396" s="28"/>
      <c r="T396" s="28"/>
      <c r="U396" s="28"/>
      <c r="V396" s="28"/>
      <c r="W396" s="28"/>
      <c r="X396" s="28"/>
      <c r="Y396" s="28"/>
      <c r="Z396" s="28"/>
      <c r="AA396" s="28"/>
      <c r="AB396" s="28"/>
      <c r="AC396" s="28"/>
      <c r="AD396" s="28"/>
      <c r="AE396" s="28"/>
      <c r="AF396" s="28"/>
      <c r="AG396" s="28"/>
      <c r="AH396" s="28"/>
      <c r="AI396" s="28"/>
      <c r="AJ396" s="28"/>
      <c r="AK396" s="28"/>
      <c r="AL396" s="28"/>
      <c r="AM396" s="28"/>
      <c r="AN396" s="28"/>
      <c r="AO396" s="28"/>
      <c r="AP396" s="28"/>
      <c r="AQ396" s="28"/>
      <c r="AR396" s="28"/>
      <c r="AS396" s="28"/>
      <c r="AT396" s="28"/>
      <c r="AU396" s="28"/>
      <c r="AV396" s="28"/>
      <c r="AW396" s="28"/>
      <c r="AX396" s="28"/>
      <c r="AY396" s="28"/>
      <c r="AZ396" s="28"/>
      <c r="BA396" s="28"/>
      <c r="BB396" s="28"/>
      <c r="BC396" s="28"/>
      <c r="BD396" s="28"/>
      <c r="BE396" s="28"/>
      <c r="BF396" s="28"/>
      <c r="BG396" s="28"/>
      <c r="BH396" s="28"/>
      <c r="BI396" s="28"/>
      <c r="BJ396" s="28"/>
      <c r="BK396" s="28"/>
      <c r="BL396" s="28"/>
      <c r="BM396" s="28"/>
      <c r="BN396" s="28"/>
      <c r="BO396" s="28"/>
      <c r="BP396" s="28"/>
      <c r="BQ396" s="28"/>
      <c r="BR396" s="28"/>
      <c r="BS396" s="28"/>
      <c r="BT396" s="28"/>
      <c r="BU396" s="28"/>
      <c r="BV396" s="28"/>
      <c r="BW396" s="28"/>
      <c r="BX396" s="28"/>
      <c r="BY396" s="28"/>
      <c r="BZ396" s="28"/>
      <c r="CA396" s="28"/>
      <c r="CB396" s="28"/>
    </row>
    <row r="397" spans="1:80" hidden="1" x14ac:dyDescent="0.25">
      <c r="A397" s="31" t="s">
        <v>56</v>
      </c>
      <c r="B397" s="39" t="s">
        <v>54</v>
      </c>
      <c r="C397" s="30" t="s">
        <v>55</v>
      </c>
      <c r="D397" s="30" t="s">
        <v>10</v>
      </c>
      <c r="E397" s="20" t="s">
        <v>1912</v>
      </c>
      <c r="F397" s="26" t="s">
        <v>1941</v>
      </c>
      <c r="G397" s="30"/>
      <c r="H397" s="30"/>
      <c r="I397" s="29" t="e">
        <f>VLOOKUP(B397,#REF!,2,FALSE)</f>
        <v>#REF!</v>
      </c>
      <c r="J397" s="28"/>
      <c r="K397" s="28"/>
      <c r="L397" s="28"/>
      <c r="M397" s="28"/>
      <c r="N397" s="28"/>
      <c r="O397" s="28"/>
      <c r="P397" s="28"/>
      <c r="Q397" s="28"/>
      <c r="R397" s="28"/>
      <c r="S397" s="28"/>
      <c r="T397" s="28"/>
      <c r="U397" s="28"/>
      <c r="V397" s="28"/>
      <c r="W397" s="28"/>
      <c r="X397" s="28"/>
      <c r="Y397" s="28"/>
      <c r="Z397" s="28"/>
      <c r="AA397" s="28"/>
      <c r="AB397" s="28"/>
      <c r="AC397" s="28"/>
      <c r="AD397" s="28"/>
      <c r="AE397" s="28"/>
      <c r="AF397" s="28"/>
      <c r="AG397" s="28"/>
      <c r="AH397" s="28"/>
      <c r="AI397" s="28"/>
      <c r="AJ397" s="28"/>
      <c r="AK397" s="28"/>
      <c r="AL397" s="28"/>
      <c r="AM397" s="28"/>
      <c r="AN397" s="28"/>
      <c r="AO397" s="28"/>
      <c r="AP397" s="28"/>
      <c r="AQ397" s="28"/>
      <c r="AR397" s="28"/>
      <c r="AS397" s="28"/>
      <c r="AT397" s="28"/>
      <c r="AU397" s="28"/>
      <c r="AV397" s="28"/>
      <c r="AW397" s="28"/>
      <c r="AX397" s="28"/>
      <c r="AY397" s="28"/>
      <c r="AZ397" s="28"/>
      <c r="BA397" s="28"/>
      <c r="BB397" s="28"/>
      <c r="BC397" s="28"/>
      <c r="BD397" s="28"/>
      <c r="BE397" s="28"/>
      <c r="BF397" s="28"/>
      <c r="BG397" s="28"/>
      <c r="BH397" s="28"/>
      <c r="BI397" s="28"/>
      <c r="BJ397" s="28"/>
      <c r="BK397" s="28"/>
      <c r="BL397" s="28"/>
      <c r="BM397" s="28"/>
      <c r="BN397" s="28"/>
      <c r="BO397" s="28"/>
      <c r="BP397" s="28"/>
      <c r="BQ397" s="28"/>
      <c r="BR397" s="28"/>
      <c r="BS397" s="28"/>
      <c r="BT397" s="28"/>
      <c r="BU397" s="28"/>
      <c r="BV397" s="28"/>
      <c r="BW397" s="28"/>
      <c r="BX397" s="28"/>
      <c r="BY397" s="28"/>
      <c r="BZ397" s="28"/>
      <c r="CA397" s="28"/>
      <c r="CB397" s="28"/>
    </row>
    <row r="398" spans="1:80" hidden="1" x14ac:dyDescent="0.25">
      <c r="A398" s="31" t="s">
        <v>285</v>
      </c>
      <c r="B398" s="39" t="s">
        <v>284</v>
      </c>
      <c r="C398" s="30" t="s">
        <v>25</v>
      </c>
      <c r="D398" s="30" t="s">
        <v>52</v>
      </c>
      <c r="E398" s="20" t="s">
        <v>1912</v>
      </c>
      <c r="F398" s="26" t="s">
        <v>1941</v>
      </c>
      <c r="G398" s="30"/>
      <c r="H398" s="30"/>
      <c r="I398" s="29" t="e">
        <f>VLOOKUP(B398,#REF!,2,FALSE)</f>
        <v>#REF!</v>
      </c>
      <c r="J398" s="28"/>
      <c r="K398" s="28"/>
      <c r="L398" s="28"/>
      <c r="M398" s="28"/>
      <c r="N398" s="28"/>
      <c r="O398" s="28"/>
      <c r="P398" s="28"/>
      <c r="Q398" s="28"/>
      <c r="R398" s="28"/>
      <c r="S398" s="28"/>
      <c r="T398" s="28"/>
      <c r="U398" s="28"/>
      <c r="V398" s="28"/>
      <c r="W398" s="28"/>
      <c r="X398" s="28"/>
      <c r="Y398" s="28"/>
      <c r="Z398" s="28"/>
      <c r="AA398" s="28"/>
      <c r="AB398" s="28"/>
      <c r="AC398" s="28"/>
      <c r="AD398" s="28"/>
      <c r="AE398" s="28"/>
      <c r="AF398" s="28"/>
      <c r="AG398" s="28"/>
      <c r="AH398" s="28"/>
      <c r="AI398" s="28"/>
      <c r="AJ398" s="28"/>
      <c r="AK398" s="28"/>
      <c r="AL398" s="28"/>
      <c r="AM398" s="28"/>
      <c r="AN398" s="28"/>
      <c r="AO398" s="28"/>
      <c r="AP398" s="28"/>
      <c r="AQ398" s="28"/>
      <c r="AR398" s="28"/>
      <c r="AS398" s="28"/>
      <c r="AT398" s="28"/>
      <c r="AU398" s="28"/>
      <c r="AV398" s="28"/>
      <c r="AW398" s="28"/>
      <c r="AX398" s="28"/>
      <c r="AY398" s="28"/>
      <c r="AZ398" s="28"/>
      <c r="BA398" s="28"/>
      <c r="BB398" s="28"/>
      <c r="BC398" s="28"/>
      <c r="BD398" s="28"/>
      <c r="BE398" s="28"/>
      <c r="BF398" s="28"/>
      <c r="BG398" s="28"/>
      <c r="BH398" s="28"/>
      <c r="BI398" s="28"/>
      <c r="BJ398" s="28"/>
      <c r="BK398" s="28"/>
      <c r="BL398" s="28"/>
      <c r="BM398" s="28"/>
      <c r="BN398" s="28"/>
      <c r="BO398" s="28"/>
      <c r="BP398" s="28"/>
      <c r="BQ398" s="28"/>
      <c r="BR398" s="28"/>
      <c r="BS398" s="28"/>
      <c r="BT398" s="28"/>
      <c r="BU398" s="28"/>
      <c r="BV398" s="28"/>
      <c r="BW398" s="28"/>
      <c r="BX398" s="28"/>
      <c r="BY398" s="28"/>
      <c r="BZ398" s="28"/>
      <c r="CA398" s="28"/>
      <c r="CB398" s="28"/>
    </row>
    <row r="399" spans="1:80" hidden="1" x14ac:dyDescent="0.25">
      <c r="A399" s="31" t="s">
        <v>1258</v>
      </c>
      <c r="B399" s="39" t="s">
        <v>1256</v>
      </c>
      <c r="C399" s="30" t="s">
        <v>1257</v>
      </c>
      <c r="D399" s="30" t="s">
        <v>10</v>
      </c>
      <c r="E399" s="20" t="s">
        <v>1912</v>
      </c>
      <c r="F399" s="26" t="s">
        <v>1947</v>
      </c>
      <c r="G399" s="30"/>
      <c r="H399" s="30"/>
      <c r="I399" s="29" t="e">
        <f>VLOOKUP(B399,#REF!,2,FALSE)</f>
        <v>#REF!</v>
      </c>
      <c r="J399" s="28"/>
      <c r="K399" s="28"/>
      <c r="L399" s="28"/>
      <c r="M399" s="28"/>
      <c r="N399" s="28"/>
      <c r="O399" s="28"/>
      <c r="P399" s="28"/>
      <c r="Q399" s="28"/>
      <c r="R399" s="28"/>
      <c r="S399" s="28"/>
      <c r="T399" s="28"/>
      <c r="U399" s="28"/>
      <c r="V399" s="28"/>
      <c r="W399" s="28"/>
      <c r="X399" s="28"/>
      <c r="Y399" s="28"/>
      <c r="Z399" s="28"/>
      <c r="AA399" s="28"/>
      <c r="AB399" s="28"/>
      <c r="AC399" s="28"/>
      <c r="AD399" s="28"/>
      <c r="AE399" s="28"/>
      <c r="AF399" s="28"/>
      <c r="AG399" s="28"/>
      <c r="AH399" s="28"/>
      <c r="AI399" s="28"/>
      <c r="AJ399" s="28"/>
      <c r="AK399" s="28"/>
      <c r="AL399" s="28"/>
      <c r="AM399" s="28"/>
      <c r="AN399" s="28"/>
      <c r="AO399" s="28"/>
      <c r="AP399" s="28"/>
      <c r="AQ399" s="28"/>
      <c r="AR399" s="28"/>
      <c r="AS399" s="28"/>
      <c r="AT399" s="28"/>
      <c r="AU399" s="28"/>
      <c r="AV399" s="28"/>
      <c r="AW399" s="28"/>
      <c r="AX399" s="28"/>
      <c r="AY399" s="28"/>
      <c r="AZ399" s="28"/>
      <c r="BA399" s="28"/>
      <c r="BB399" s="28"/>
      <c r="BC399" s="28"/>
      <c r="BD399" s="28"/>
      <c r="BE399" s="28"/>
      <c r="BF399" s="28"/>
      <c r="BG399" s="28"/>
      <c r="BH399" s="28"/>
      <c r="BI399" s="28"/>
      <c r="BJ399" s="28"/>
      <c r="BK399" s="28"/>
      <c r="BL399" s="28"/>
      <c r="BM399" s="28"/>
      <c r="BN399" s="28"/>
      <c r="BO399" s="28"/>
      <c r="BP399" s="28"/>
      <c r="BQ399" s="28"/>
      <c r="BR399" s="28"/>
      <c r="BS399" s="28"/>
      <c r="BT399" s="28"/>
      <c r="BU399" s="28"/>
      <c r="BV399" s="28"/>
      <c r="BW399" s="28"/>
      <c r="BX399" s="28"/>
      <c r="BY399" s="28"/>
      <c r="BZ399" s="28"/>
      <c r="CA399" s="28"/>
      <c r="CB399" s="28"/>
    </row>
    <row r="400" spans="1:80" hidden="1" x14ac:dyDescent="0.25">
      <c r="A400" s="31" t="s">
        <v>415</v>
      </c>
      <c r="B400" s="39" t="s">
        <v>1948</v>
      </c>
      <c r="C400" s="30" t="s">
        <v>225</v>
      </c>
      <c r="D400" s="30" t="s">
        <v>52</v>
      </c>
      <c r="E400" s="20" t="s">
        <v>1912</v>
      </c>
      <c r="F400" s="26" t="s">
        <v>1947</v>
      </c>
      <c r="G400" s="30"/>
      <c r="H400" s="30"/>
      <c r="I400" s="29" t="e">
        <f>VLOOKUP(B400,#REF!,2,FALSE)</f>
        <v>#REF!</v>
      </c>
      <c r="J400" s="28"/>
      <c r="K400" s="28"/>
      <c r="L400" s="28"/>
      <c r="M400" s="28"/>
      <c r="N400" s="28"/>
      <c r="O400" s="28"/>
      <c r="P400" s="28"/>
      <c r="Q400" s="28"/>
      <c r="R400" s="28"/>
      <c r="S400" s="28"/>
      <c r="T400" s="28"/>
      <c r="U400" s="28"/>
      <c r="V400" s="28"/>
      <c r="W400" s="28"/>
      <c r="X400" s="28"/>
      <c r="Y400" s="28"/>
      <c r="Z400" s="28"/>
      <c r="AA400" s="28"/>
      <c r="AB400" s="28"/>
      <c r="AC400" s="28"/>
      <c r="AD400" s="28"/>
      <c r="AE400" s="28"/>
      <c r="AF400" s="28"/>
      <c r="AG400" s="28"/>
      <c r="AH400" s="28"/>
      <c r="AI400" s="28"/>
      <c r="AJ400" s="28"/>
      <c r="AK400" s="28"/>
      <c r="AL400" s="28"/>
      <c r="AM400" s="28"/>
      <c r="AN400" s="28"/>
      <c r="AO400" s="28"/>
      <c r="AP400" s="28"/>
      <c r="AQ400" s="28"/>
      <c r="AR400" s="28"/>
      <c r="AS400" s="28"/>
      <c r="AT400" s="28"/>
      <c r="AU400" s="28"/>
      <c r="AV400" s="28"/>
      <c r="AW400" s="28"/>
      <c r="AX400" s="28"/>
      <c r="AY400" s="28"/>
      <c r="AZ400" s="28"/>
      <c r="BA400" s="28"/>
      <c r="BB400" s="28"/>
      <c r="BC400" s="28"/>
      <c r="BD400" s="28"/>
      <c r="BE400" s="28"/>
      <c r="BF400" s="28"/>
      <c r="BG400" s="28"/>
      <c r="BH400" s="28"/>
      <c r="BI400" s="28"/>
      <c r="BJ400" s="28"/>
      <c r="BK400" s="28"/>
      <c r="BL400" s="28"/>
      <c r="BM400" s="28"/>
      <c r="BN400" s="28"/>
      <c r="BO400" s="28"/>
      <c r="BP400" s="28"/>
      <c r="BQ400" s="28"/>
      <c r="BR400" s="28"/>
      <c r="BS400" s="28"/>
      <c r="BT400" s="28"/>
      <c r="BU400" s="28"/>
      <c r="BV400" s="28"/>
      <c r="BW400" s="28"/>
      <c r="BX400" s="28"/>
      <c r="BY400" s="28"/>
      <c r="BZ400" s="28"/>
      <c r="CA400" s="28"/>
      <c r="CB400" s="28"/>
    </row>
    <row r="401" spans="1:80" hidden="1" x14ac:dyDescent="0.25">
      <c r="A401" s="31" t="s">
        <v>1335</v>
      </c>
      <c r="B401" s="39" t="s">
        <v>1334</v>
      </c>
      <c r="C401" s="30" t="s">
        <v>163</v>
      </c>
      <c r="D401" s="30" t="s">
        <v>52</v>
      </c>
      <c r="E401" s="20" t="s">
        <v>1912</v>
      </c>
      <c r="F401" s="26" t="s">
        <v>1947</v>
      </c>
      <c r="G401" s="30"/>
      <c r="H401" s="30"/>
      <c r="I401" s="29" t="e">
        <f>VLOOKUP(B401,#REF!,2,FALSE)</f>
        <v>#REF!</v>
      </c>
      <c r="J401" s="28"/>
      <c r="K401" s="28"/>
      <c r="L401" s="28"/>
      <c r="M401" s="28"/>
      <c r="N401" s="28"/>
      <c r="O401" s="28"/>
      <c r="P401" s="28"/>
      <c r="Q401" s="28"/>
      <c r="R401" s="28"/>
      <c r="S401" s="28"/>
      <c r="T401" s="28"/>
      <c r="U401" s="28"/>
      <c r="V401" s="28"/>
      <c r="W401" s="28"/>
      <c r="X401" s="28"/>
      <c r="Y401" s="28"/>
      <c r="Z401" s="28"/>
      <c r="AA401" s="28"/>
      <c r="AB401" s="28"/>
      <c r="AC401" s="28"/>
      <c r="AD401" s="28"/>
      <c r="AE401" s="28"/>
      <c r="AF401" s="28"/>
      <c r="AG401" s="28"/>
      <c r="AH401" s="28"/>
      <c r="AI401" s="28"/>
      <c r="AJ401" s="28"/>
      <c r="AK401" s="28"/>
      <c r="AL401" s="28"/>
      <c r="AM401" s="28"/>
      <c r="AN401" s="28"/>
      <c r="AO401" s="28"/>
      <c r="AP401" s="28"/>
      <c r="AQ401" s="28"/>
      <c r="AR401" s="28"/>
      <c r="AS401" s="28"/>
      <c r="AT401" s="28"/>
      <c r="AU401" s="28"/>
      <c r="AV401" s="28"/>
      <c r="AW401" s="28"/>
      <c r="AX401" s="28"/>
      <c r="AY401" s="28"/>
      <c r="AZ401" s="28"/>
      <c r="BA401" s="28"/>
      <c r="BB401" s="28"/>
      <c r="BC401" s="28"/>
      <c r="BD401" s="28"/>
      <c r="BE401" s="28"/>
      <c r="BF401" s="28"/>
      <c r="BG401" s="28"/>
      <c r="BH401" s="28"/>
      <c r="BI401" s="28"/>
      <c r="BJ401" s="28"/>
      <c r="BK401" s="28"/>
      <c r="BL401" s="28"/>
      <c r="BM401" s="28"/>
      <c r="BN401" s="28"/>
      <c r="BO401" s="28"/>
      <c r="BP401" s="28"/>
      <c r="BQ401" s="28"/>
      <c r="BR401" s="28"/>
      <c r="BS401" s="28"/>
      <c r="BT401" s="28"/>
      <c r="BU401" s="28"/>
      <c r="BV401" s="28"/>
      <c r="BW401" s="28"/>
      <c r="BX401" s="28"/>
      <c r="BY401" s="28"/>
      <c r="BZ401" s="28"/>
      <c r="CA401" s="28"/>
      <c r="CB401" s="28"/>
    </row>
    <row r="402" spans="1:80" hidden="1" x14ac:dyDescent="0.25">
      <c r="A402" s="31" t="s">
        <v>1349</v>
      </c>
      <c r="B402" s="39" t="s">
        <v>1949</v>
      </c>
      <c r="C402" s="30" t="s">
        <v>1701</v>
      </c>
      <c r="D402" s="30" t="s">
        <v>52</v>
      </c>
      <c r="E402" s="20" t="s">
        <v>1912</v>
      </c>
      <c r="F402" s="26" t="s">
        <v>1947</v>
      </c>
      <c r="G402" s="30"/>
      <c r="H402" s="30"/>
      <c r="I402" s="29" t="e">
        <f>VLOOKUP(B402,#REF!,2,FALSE)</f>
        <v>#REF!</v>
      </c>
      <c r="J402" s="28"/>
      <c r="K402" s="28"/>
      <c r="L402" s="28"/>
      <c r="M402" s="28"/>
      <c r="N402" s="28"/>
      <c r="O402" s="28"/>
      <c r="P402" s="28"/>
      <c r="Q402" s="28"/>
      <c r="R402" s="28"/>
      <c r="S402" s="28"/>
      <c r="T402" s="28"/>
      <c r="U402" s="28"/>
      <c r="V402" s="28"/>
      <c r="W402" s="28"/>
      <c r="X402" s="28"/>
      <c r="Y402" s="28"/>
      <c r="Z402" s="28"/>
      <c r="AA402" s="28"/>
      <c r="AB402" s="28"/>
      <c r="AC402" s="28"/>
      <c r="AD402" s="28"/>
      <c r="AE402" s="28"/>
      <c r="AF402" s="28"/>
      <c r="AG402" s="28"/>
      <c r="AH402" s="28"/>
      <c r="AI402" s="28"/>
      <c r="AJ402" s="28"/>
      <c r="AK402" s="28"/>
      <c r="AL402" s="28"/>
      <c r="AM402" s="28"/>
      <c r="AN402" s="28"/>
      <c r="AO402" s="28"/>
      <c r="AP402" s="28"/>
      <c r="AQ402" s="28"/>
      <c r="AR402" s="28"/>
      <c r="AS402" s="28"/>
      <c r="AT402" s="28"/>
      <c r="AU402" s="28"/>
      <c r="AV402" s="28"/>
      <c r="AW402" s="28"/>
      <c r="AX402" s="28"/>
      <c r="AY402" s="28"/>
      <c r="AZ402" s="28"/>
      <c r="BA402" s="28"/>
      <c r="BB402" s="28"/>
      <c r="BC402" s="28"/>
      <c r="BD402" s="28"/>
      <c r="BE402" s="28"/>
      <c r="BF402" s="28"/>
      <c r="BG402" s="28"/>
      <c r="BH402" s="28"/>
      <c r="BI402" s="28"/>
      <c r="BJ402" s="28"/>
      <c r="BK402" s="28"/>
      <c r="BL402" s="28"/>
      <c r="BM402" s="28"/>
      <c r="BN402" s="28"/>
      <c r="BO402" s="28"/>
      <c r="BP402" s="28"/>
      <c r="BQ402" s="28"/>
      <c r="BR402" s="28"/>
      <c r="BS402" s="28"/>
      <c r="BT402" s="28"/>
      <c r="BU402" s="28"/>
      <c r="BV402" s="28"/>
      <c r="BW402" s="28"/>
      <c r="BX402" s="28"/>
      <c r="BY402" s="28"/>
      <c r="BZ402" s="28"/>
      <c r="CA402" s="28"/>
      <c r="CB402" s="28"/>
    </row>
    <row r="403" spans="1:80" hidden="1" x14ac:dyDescent="0.25">
      <c r="A403" s="31" t="s">
        <v>1363</v>
      </c>
      <c r="B403" s="39" t="s">
        <v>1106</v>
      </c>
      <c r="C403" s="30" t="s">
        <v>47</v>
      </c>
      <c r="D403" s="30" t="s">
        <v>52</v>
      </c>
      <c r="E403" s="20" t="s">
        <v>1912</v>
      </c>
      <c r="F403" s="26" t="s">
        <v>1947</v>
      </c>
      <c r="G403" s="30"/>
      <c r="H403" s="30"/>
      <c r="I403" s="29" t="e">
        <f>VLOOKUP(B403,#REF!,2,FALSE)</f>
        <v>#REF!</v>
      </c>
      <c r="J403" s="28"/>
      <c r="K403" s="28"/>
      <c r="L403" s="28"/>
      <c r="M403" s="28"/>
      <c r="N403" s="28"/>
      <c r="O403" s="28"/>
      <c r="P403" s="28"/>
      <c r="Q403" s="28"/>
      <c r="R403" s="28"/>
      <c r="S403" s="28"/>
      <c r="T403" s="28"/>
      <c r="U403" s="28"/>
      <c r="V403" s="28"/>
      <c r="W403" s="28"/>
      <c r="X403" s="28"/>
      <c r="Y403" s="28"/>
      <c r="Z403" s="28"/>
      <c r="AA403" s="28"/>
      <c r="AB403" s="28"/>
      <c r="AC403" s="28"/>
      <c r="AD403" s="28"/>
      <c r="AE403" s="28"/>
      <c r="AF403" s="28"/>
      <c r="AG403" s="28"/>
      <c r="AH403" s="28"/>
      <c r="AI403" s="28"/>
      <c r="AJ403" s="28"/>
      <c r="AK403" s="28"/>
      <c r="AL403" s="28"/>
      <c r="AM403" s="28"/>
      <c r="AN403" s="28"/>
      <c r="AO403" s="28"/>
      <c r="AP403" s="28"/>
      <c r="AQ403" s="28"/>
      <c r="AR403" s="28"/>
      <c r="AS403" s="28"/>
      <c r="AT403" s="28"/>
      <c r="AU403" s="28"/>
      <c r="AV403" s="28"/>
      <c r="AW403" s="28"/>
      <c r="AX403" s="28"/>
      <c r="AY403" s="28"/>
      <c r="AZ403" s="28"/>
      <c r="BA403" s="28"/>
      <c r="BB403" s="28"/>
      <c r="BC403" s="28"/>
      <c r="BD403" s="28"/>
      <c r="BE403" s="28"/>
      <c r="BF403" s="28"/>
      <c r="BG403" s="28"/>
      <c r="BH403" s="28"/>
      <c r="BI403" s="28"/>
      <c r="BJ403" s="28"/>
      <c r="BK403" s="28"/>
      <c r="BL403" s="28"/>
      <c r="BM403" s="28"/>
      <c r="BN403" s="28"/>
      <c r="BO403" s="28"/>
      <c r="BP403" s="28"/>
      <c r="BQ403" s="28"/>
      <c r="BR403" s="28"/>
      <c r="BS403" s="28"/>
      <c r="BT403" s="28"/>
      <c r="BU403" s="28"/>
      <c r="BV403" s="28"/>
      <c r="BW403" s="28"/>
      <c r="BX403" s="28"/>
      <c r="BY403" s="28"/>
      <c r="BZ403" s="28"/>
      <c r="CA403" s="28"/>
      <c r="CB403" s="28"/>
    </row>
    <row r="404" spans="1:80" hidden="1" x14ac:dyDescent="0.25">
      <c r="A404" s="31" t="s">
        <v>329</v>
      </c>
      <c r="B404" s="39" t="s">
        <v>328</v>
      </c>
      <c r="C404" s="30" t="s">
        <v>107</v>
      </c>
      <c r="D404" s="30" t="s">
        <v>52</v>
      </c>
      <c r="E404" s="20" t="s">
        <v>1912</v>
      </c>
      <c r="F404" s="26" t="s">
        <v>1950</v>
      </c>
      <c r="G404" s="30"/>
      <c r="H404" s="30"/>
      <c r="I404" s="29" t="e">
        <f>VLOOKUP(B404,#REF!,2,FALSE)</f>
        <v>#REF!</v>
      </c>
      <c r="J404" s="28"/>
      <c r="K404" s="28"/>
      <c r="L404" s="28"/>
      <c r="M404" s="28"/>
      <c r="N404" s="28"/>
      <c r="O404" s="28"/>
      <c r="P404" s="28"/>
      <c r="Q404" s="28"/>
      <c r="R404" s="28"/>
      <c r="S404" s="28"/>
      <c r="T404" s="28"/>
      <c r="U404" s="28"/>
      <c r="V404" s="28"/>
      <c r="W404" s="28"/>
      <c r="X404" s="28"/>
      <c r="Y404" s="28"/>
      <c r="Z404" s="28"/>
      <c r="AA404" s="28"/>
      <c r="AB404" s="28"/>
      <c r="AC404" s="28"/>
      <c r="AD404" s="28"/>
      <c r="AE404" s="28"/>
      <c r="AF404" s="28"/>
      <c r="AG404" s="28"/>
      <c r="AH404" s="28"/>
      <c r="AI404" s="28"/>
      <c r="AJ404" s="28"/>
      <c r="AK404" s="28"/>
      <c r="AL404" s="28"/>
      <c r="AM404" s="28"/>
      <c r="AN404" s="28"/>
      <c r="AO404" s="28"/>
      <c r="AP404" s="28"/>
      <c r="AQ404" s="28"/>
      <c r="AR404" s="28"/>
      <c r="AS404" s="28"/>
      <c r="AT404" s="28"/>
      <c r="AU404" s="28"/>
      <c r="AV404" s="28"/>
      <c r="AW404" s="28"/>
      <c r="AX404" s="28"/>
      <c r="AY404" s="28"/>
      <c r="AZ404" s="28"/>
      <c r="BA404" s="28"/>
      <c r="BB404" s="28"/>
      <c r="BC404" s="28"/>
      <c r="BD404" s="28"/>
      <c r="BE404" s="28"/>
      <c r="BF404" s="28"/>
      <c r="BG404" s="28"/>
      <c r="BH404" s="28"/>
      <c r="BI404" s="28"/>
      <c r="BJ404" s="28"/>
      <c r="BK404" s="28"/>
      <c r="BL404" s="28"/>
      <c r="BM404" s="28"/>
      <c r="BN404" s="28"/>
      <c r="BO404" s="28"/>
      <c r="BP404" s="28"/>
      <c r="BQ404" s="28"/>
      <c r="BR404" s="28"/>
      <c r="BS404" s="28"/>
      <c r="BT404" s="28"/>
      <c r="BU404" s="28"/>
      <c r="BV404" s="28"/>
      <c r="BW404" s="28"/>
      <c r="BX404" s="28"/>
      <c r="BY404" s="28"/>
      <c r="BZ404" s="28"/>
      <c r="CA404" s="28"/>
      <c r="CB404" s="28"/>
    </row>
    <row r="405" spans="1:80" hidden="1" x14ac:dyDescent="0.25">
      <c r="A405" s="31" t="s">
        <v>331</v>
      </c>
      <c r="B405" s="39" t="s">
        <v>330</v>
      </c>
      <c r="C405" s="30" t="s">
        <v>107</v>
      </c>
      <c r="D405" s="30" t="s">
        <v>10</v>
      </c>
      <c r="E405" s="20" t="s">
        <v>1912</v>
      </c>
      <c r="F405" s="26" t="s">
        <v>1950</v>
      </c>
      <c r="G405" s="30"/>
      <c r="H405" s="30"/>
      <c r="I405" s="29" t="e">
        <f>VLOOKUP(B405,#REF!,2,FALSE)</f>
        <v>#REF!</v>
      </c>
      <c r="J405" s="29"/>
      <c r="K405" s="29"/>
      <c r="L405" s="29"/>
      <c r="M405" s="29"/>
      <c r="N405" s="29"/>
      <c r="O405" s="29"/>
      <c r="P405" s="29"/>
      <c r="Q405" s="29"/>
      <c r="R405" s="29"/>
      <c r="S405" s="29"/>
      <c r="T405" s="29"/>
      <c r="U405" s="29"/>
      <c r="V405" s="29"/>
      <c r="W405" s="29"/>
      <c r="X405" s="29"/>
      <c r="Y405" s="29"/>
      <c r="Z405" s="29"/>
      <c r="AA405" s="29"/>
      <c r="AB405" s="29"/>
      <c r="AC405" s="29"/>
      <c r="AD405" s="29"/>
      <c r="AE405" s="29"/>
      <c r="AF405" s="29"/>
      <c r="AG405" s="29"/>
      <c r="AH405" s="29"/>
      <c r="AI405" s="29"/>
      <c r="AJ405" s="29"/>
      <c r="AK405" s="29"/>
      <c r="AL405" s="29"/>
      <c r="AM405" s="29"/>
      <c r="AN405" s="29"/>
      <c r="AO405" s="29"/>
      <c r="AP405" s="29"/>
      <c r="AQ405" s="29"/>
      <c r="AR405" s="29"/>
      <c r="AS405" s="29"/>
      <c r="AT405" s="29"/>
      <c r="AU405" s="29"/>
      <c r="AV405" s="29"/>
      <c r="AW405" s="29"/>
      <c r="AX405" s="29"/>
      <c r="AY405" s="29"/>
      <c r="AZ405" s="29"/>
      <c r="BA405" s="29"/>
      <c r="BB405" s="29"/>
      <c r="BC405" s="29"/>
      <c r="BD405" s="29"/>
      <c r="BE405" s="29"/>
      <c r="BF405" s="29"/>
      <c r="BG405" s="29"/>
      <c r="BH405" s="29"/>
      <c r="BI405" s="29"/>
      <c r="BJ405" s="29"/>
      <c r="BK405" s="29"/>
      <c r="BL405" s="29"/>
      <c r="BM405" s="29"/>
      <c r="BN405" s="29"/>
      <c r="BO405" s="29"/>
      <c r="BP405" s="29"/>
      <c r="BQ405" s="29"/>
      <c r="BR405" s="29"/>
      <c r="BS405" s="29"/>
      <c r="BT405" s="29"/>
      <c r="BU405" s="29"/>
      <c r="BV405" s="29"/>
      <c r="BW405" s="29"/>
      <c r="BX405" s="29"/>
      <c r="BY405" s="29"/>
      <c r="BZ405" s="29"/>
      <c r="CA405" s="29"/>
      <c r="CB405" s="29"/>
    </row>
    <row r="406" spans="1:80" hidden="1" x14ac:dyDescent="0.25">
      <c r="A406" s="31" t="s">
        <v>350</v>
      </c>
      <c r="B406" s="39" t="s">
        <v>348</v>
      </c>
      <c r="C406" s="30" t="s">
        <v>349</v>
      </c>
      <c r="D406" s="30" t="s">
        <v>52</v>
      </c>
      <c r="E406" s="20" t="s">
        <v>1912</v>
      </c>
      <c r="F406" s="26" t="s">
        <v>1950</v>
      </c>
      <c r="G406" s="30"/>
      <c r="H406" s="30"/>
      <c r="I406" s="29" t="e">
        <f>VLOOKUP(B406,#REF!,2,FALSE)</f>
        <v>#REF!</v>
      </c>
      <c r="J406" s="28"/>
      <c r="K406" s="28"/>
      <c r="L406" s="28"/>
      <c r="M406" s="28"/>
      <c r="N406" s="28"/>
      <c r="O406" s="28"/>
      <c r="P406" s="28"/>
      <c r="Q406" s="28"/>
      <c r="R406" s="28"/>
      <c r="S406" s="28"/>
      <c r="T406" s="28"/>
      <c r="U406" s="28"/>
      <c r="V406" s="28"/>
      <c r="W406" s="28"/>
      <c r="X406" s="28"/>
      <c r="Y406" s="28"/>
      <c r="Z406" s="28"/>
      <c r="AA406" s="28"/>
      <c r="AB406" s="28"/>
      <c r="AC406" s="28"/>
      <c r="AD406" s="28"/>
      <c r="AE406" s="28"/>
      <c r="AF406" s="28"/>
      <c r="AG406" s="28"/>
      <c r="AH406" s="28"/>
      <c r="AI406" s="28"/>
      <c r="AJ406" s="28"/>
      <c r="AK406" s="28"/>
      <c r="AL406" s="28"/>
      <c r="AM406" s="28"/>
      <c r="AN406" s="28"/>
      <c r="AO406" s="28"/>
      <c r="AP406" s="28"/>
      <c r="AQ406" s="28"/>
      <c r="AR406" s="28"/>
      <c r="AS406" s="28"/>
      <c r="AT406" s="28"/>
      <c r="AU406" s="28"/>
      <c r="AV406" s="28"/>
      <c r="AW406" s="28"/>
      <c r="AX406" s="28"/>
      <c r="AY406" s="28"/>
      <c r="AZ406" s="28"/>
      <c r="BA406" s="28"/>
      <c r="BB406" s="28"/>
      <c r="BC406" s="28"/>
      <c r="BD406" s="28"/>
      <c r="BE406" s="28"/>
      <c r="BF406" s="28"/>
      <c r="BG406" s="28"/>
      <c r="BH406" s="28"/>
      <c r="BI406" s="28"/>
      <c r="BJ406" s="28"/>
      <c r="BK406" s="28"/>
      <c r="BL406" s="28"/>
      <c r="BM406" s="28"/>
      <c r="BN406" s="28"/>
      <c r="BO406" s="28"/>
      <c r="BP406" s="28"/>
      <c r="BQ406" s="28"/>
      <c r="BR406" s="28"/>
      <c r="BS406" s="28"/>
      <c r="BT406" s="28"/>
      <c r="BU406" s="28"/>
      <c r="BV406" s="28"/>
      <c r="BW406" s="28"/>
      <c r="BX406" s="28"/>
      <c r="BY406" s="28"/>
      <c r="BZ406" s="28"/>
      <c r="CA406" s="28"/>
      <c r="CB406" s="28"/>
    </row>
    <row r="407" spans="1:80" hidden="1" x14ac:dyDescent="0.25">
      <c r="A407" s="31" t="s">
        <v>296</v>
      </c>
      <c r="B407" s="39" t="s">
        <v>295</v>
      </c>
      <c r="C407" s="30" t="s">
        <v>107</v>
      </c>
      <c r="D407" s="30" t="s">
        <v>10</v>
      </c>
      <c r="E407" s="20" t="s">
        <v>1912</v>
      </c>
      <c r="F407" s="26" t="s">
        <v>1950</v>
      </c>
      <c r="G407" s="30"/>
      <c r="H407" s="30"/>
      <c r="I407" s="29" t="e">
        <f>VLOOKUP(B407,#REF!,2,FALSE)</f>
        <v>#REF!</v>
      </c>
      <c r="J407" s="28"/>
      <c r="K407" s="28"/>
      <c r="L407" s="28"/>
      <c r="M407" s="28"/>
      <c r="N407" s="28"/>
      <c r="O407" s="28"/>
      <c r="P407" s="28"/>
      <c r="Q407" s="28"/>
      <c r="R407" s="28"/>
      <c r="S407" s="28"/>
      <c r="T407" s="28"/>
      <c r="U407" s="28"/>
      <c r="V407" s="28"/>
      <c r="W407" s="28"/>
      <c r="X407" s="28"/>
      <c r="Y407" s="28"/>
      <c r="Z407" s="28"/>
      <c r="AA407" s="28"/>
      <c r="AB407" s="28"/>
      <c r="AC407" s="28"/>
      <c r="AD407" s="28"/>
      <c r="AE407" s="28"/>
      <c r="AF407" s="28"/>
      <c r="AG407" s="28"/>
      <c r="AH407" s="28"/>
      <c r="AI407" s="28"/>
      <c r="AJ407" s="28"/>
      <c r="AK407" s="28"/>
      <c r="AL407" s="28"/>
      <c r="AM407" s="28"/>
      <c r="AN407" s="28"/>
      <c r="AO407" s="28"/>
      <c r="AP407" s="28"/>
      <c r="AQ407" s="28"/>
      <c r="AR407" s="28"/>
      <c r="AS407" s="28"/>
      <c r="AT407" s="28"/>
      <c r="AU407" s="28"/>
      <c r="AV407" s="28"/>
      <c r="AW407" s="28"/>
      <c r="AX407" s="28"/>
      <c r="AY407" s="28"/>
      <c r="AZ407" s="28"/>
      <c r="BA407" s="28"/>
      <c r="BB407" s="28"/>
      <c r="BC407" s="28"/>
      <c r="BD407" s="28"/>
      <c r="BE407" s="28"/>
      <c r="BF407" s="28"/>
      <c r="BG407" s="28"/>
      <c r="BH407" s="28"/>
      <c r="BI407" s="28"/>
      <c r="BJ407" s="28"/>
      <c r="BK407" s="28"/>
      <c r="BL407" s="28"/>
      <c r="BM407" s="28"/>
      <c r="BN407" s="28"/>
      <c r="BO407" s="28"/>
      <c r="BP407" s="28"/>
      <c r="BQ407" s="28"/>
      <c r="BR407" s="28"/>
      <c r="BS407" s="28"/>
      <c r="BT407" s="28"/>
      <c r="BU407" s="28"/>
      <c r="BV407" s="28"/>
      <c r="BW407" s="28"/>
      <c r="BX407" s="28"/>
      <c r="BY407" s="28"/>
      <c r="BZ407" s="28"/>
      <c r="CA407" s="28"/>
      <c r="CB407" s="28"/>
    </row>
    <row r="408" spans="1:80" hidden="1" x14ac:dyDescent="0.25">
      <c r="A408" s="31" t="s">
        <v>400</v>
      </c>
      <c r="B408" s="39" t="s">
        <v>398</v>
      </c>
      <c r="C408" s="30" t="s">
        <v>399</v>
      </c>
      <c r="D408" s="30" t="s">
        <v>52</v>
      </c>
      <c r="E408" s="20" t="s">
        <v>1912</v>
      </c>
      <c r="F408" s="26" t="s">
        <v>1950</v>
      </c>
      <c r="G408" s="30"/>
      <c r="H408" s="30"/>
      <c r="I408" s="29" t="e">
        <f>VLOOKUP(B408,#REF!,2,FALSE)</f>
        <v>#REF!</v>
      </c>
      <c r="J408" s="28"/>
      <c r="K408" s="28"/>
      <c r="L408" s="28"/>
      <c r="M408" s="28"/>
      <c r="N408" s="28"/>
      <c r="O408" s="28"/>
      <c r="P408" s="28"/>
      <c r="Q408" s="28"/>
      <c r="R408" s="28"/>
      <c r="S408" s="28"/>
      <c r="T408" s="28"/>
      <c r="U408" s="28"/>
      <c r="V408" s="28"/>
      <c r="W408" s="28"/>
      <c r="X408" s="28"/>
      <c r="Y408" s="28"/>
      <c r="Z408" s="28"/>
      <c r="AA408" s="28"/>
      <c r="AB408" s="28"/>
      <c r="AC408" s="28"/>
      <c r="AD408" s="28"/>
      <c r="AE408" s="28"/>
      <c r="AF408" s="28"/>
      <c r="AG408" s="28"/>
      <c r="AH408" s="28"/>
      <c r="AI408" s="28"/>
      <c r="AJ408" s="28"/>
      <c r="AK408" s="28"/>
      <c r="AL408" s="28"/>
      <c r="AM408" s="28"/>
      <c r="AN408" s="28"/>
      <c r="AO408" s="28"/>
      <c r="AP408" s="28"/>
      <c r="AQ408" s="28"/>
      <c r="AR408" s="28"/>
      <c r="AS408" s="28"/>
      <c r="AT408" s="28"/>
      <c r="AU408" s="28"/>
      <c r="AV408" s="28"/>
      <c r="AW408" s="28"/>
      <c r="AX408" s="28"/>
      <c r="AY408" s="28"/>
      <c r="AZ408" s="28"/>
      <c r="BA408" s="28"/>
      <c r="BB408" s="28"/>
      <c r="BC408" s="28"/>
      <c r="BD408" s="28"/>
      <c r="BE408" s="28"/>
      <c r="BF408" s="28"/>
      <c r="BG408" s="28"/>
      <c r="BH408" s="28"/>
      <c r="BI408" s="28"/>
      <c r="BJ408" s="28"/>
      <c r="BK408" s="28"/>
      <c r="BL408" s="28"/>
      <c r="BM408" s="28"/>
      <c r="BN408" s="28"/>
      <c r="BO408" s="28"/>
      <c r="BP408" s="28"/>
      <c r="BQ408" s="28"/>
      <c r="BR408" s="28"/>
      <c r="BS408" s="28"/>
      <c r="BT408" s="28"/>
      <c r="BU408" s="28"/>
      <c r="BV408" s="28"/>
      <c r="BW408" s="28"/>
      <c r="BX408" s="28"/>
      <c r="BY408" s="28"/>
      <c r="BZ408" s="28"/>
      <c r="CA408" s="28"/>
      <c r="CB408" s="28"/>
    </row>
    <row r="409" spans="1:80" hidden="1" x14ac:dyDescent="0.25">
      <c r="A409" s="31" t="s">
        <v>409</v>
      </c>
      <c r="B409" s="39" t="s">
        <v>408</v>
      </c>
      <c r="C409" s="30" t="s">
        <v>27</v>
      </c>
      <c r="D409" s="30" t="s">
        <v>10</v>
      </c>
      <c r="E409" s="20" t="s">
        <v>1912</v>
      </c>
      <c r="F409" s="26" t="s">
        <v>1950</v>
      </c>
      <c r="G409" s="30"/>
      <c r="H409" s="30"/>
      <c r="I409" s="29" t="e">
        <f>VLOOKUP(B409,#REF!,2,FALSE)</f>
        <v>#REF!</v>
      </c>
      <c r="J409" s="28"/>
      <c r="K409" s="28"/>
      <c r="L409" s="28"/>
      <c r="M409" s="28"/>
      <c r="N409" s="28"/>
      <c r="O409" s="28"/>
      <c r="P409" s="28"/>
      <c r="Q409" s="28"/>
      <c r="R409" s="28"/>
      <c r="S409" s="28"/>
      <c r="T409" s="28"/>
      <c r="U409" s="28"/>
      <c r="V409" s="28"/>
      <c r="W409" s="28"/>
      <c r="X409" s="28"/>
      <c r="Y409" s="28"/>
      <c r="Z409" s="28"/>
      <c r="AA409" s="28"/>
      <c r="AB409" s="28"/>
      <c r="AC409" s="28"/>
      <c r="AD409" s="28"/>
      <c r="AE409" s="28"/>
      <c r="AF409" s="28"/>
      <c r="AG409" s="28"/>
      <c r="AH409" s="28"/>
      <c r="AI409" s="28"/>
      <c r="AJ409" s="28"/>
      <c r="AK409" s="28"/>
      <c r="AL409" s="28"/>
      <c r="AM409" s="28"/>
      <c r="AN409" s="28"/>
      <c r="AO409" s="28"/>
      <c r="AP409" s="28"/>
      <c r="AQ409" s="28"/>
      <c r="AR409" s="28"/>
      <c r="AS409" s="28"/>
      <c r="AT409" s="28"/>
      <c r="AU409" s="28"/>
      <c r="AV409" s="28"/>
      <c r="AW409" s="28"/>
      <c r="AX409" s="28"/>
      <c r="AY409" s="28"/>
      <c r="AZ409" s="28"/>
      <c r="BA409" s="28"/>
      <c r="BB409" s="28"/>
      <c r="BC409" s="28"/>
      <c r="BD409" s="28"/>
      <c r="BE409" s="28"/>
      <c r="BF409" s="28"/>
      <c r="BG409" s="28"/>
      <c r="BH409" s="28"/>
      <c r="BI409" s="28"/>
      <c r="BJ409" s="28"/>
      <c r="BK409" s="28"/>
      <c r="BL409" s="28"/>
      <c r="BM409" s="28"/>
      <c r="BN409" s="28"/>
      <c r="BO409" s="28"/>
      <c r="BP409" s="28"/>
      <c r="BQ409" s="28"/>
      <c r="BR409" s="28"/>
      <c r="BS409" s="28"/>
      <c r="BT409" s="28"/>
      <c r="BU409" s="28"/>
      <c r="BV409" s="28"/>
      <c r="BW409" s="28"/>
      <c r="BX409" s="28"/>
      <c r="BY409" s="28"/>
      <c r="BZ409" s="28"/>
      <c r="CA409" s="28"/>
      <c r="CB409" s="28"/>
    </row>
    <row r="410" spans="1:80" hidden="1" x14ac:dyDescent="0.25">
      <c r="A410" s="31" t="s">
        <v>418</v>
      </c>
      <c r="B410" s="39" t="s">
        <v>1951</v>
      </c>
      <c r="C410" s="30" t="s">
        <v>43</v>
      </c>
      <c r="D410" s="30" t="s">
        <v>52</v>
      </c>
      <c r="E410" s="20" t="s">
        <v>1912</v>
      </c>
      <c r="F410" s="26" t="s">
        <v>1950</v>
      </c>
      <c r="G410" s="30"/>
      <c r="H410" s="30"/>
      <c r="I410" s="29" t="e">
        <f>VLOOKUP(B410,#REF!,2,FALSE)</f>
        <v>#REF!</v>
      </c>
      <c r="J410" s="28"/>
      <c r="K410" s="28"/>
      <c r="L410" s="28"/>
      <c r="M410" s="28"/>
      <c r="N410" s="28"/>
      <c r="O410" s="28"/>
      <c r="P410" s="28"/>
      <c r="Q410" s="28"/>
      <c r="R410" s="28"/>
      <c r="S410" s="28"/>
      <c r="T410" s="28"/>
      <c r="U410" s="28"/>
      <c r="V410" s="28"/>
      <c r="W410" s="28"/>
      <c r="X410" s="28"/>
      <c r="Y410" s="28"/>
      <c r="Z410" s="28"/>
      <c r="AA410" s="28"/>
      <c r="AB410" s="28"/>
      <c r="AC410" s="28"/>
      <c r="AD410" s="28"/>
      <c r="AE410" s="28"/>
      <c r="AF410" s="28"/>
      <c r="AG410" s="28"/>
      <c r="AH410" s="28"/>
      <c r="AI410" s="28"/>
      <c r="AJ410" s="28"/>
      <c r="AK410" s="28"/>
      <c r="AL410" s="28"/>
      <c r="AM410" s="28"/>
      <c r="AN410" s="28"/>
      <c r="AO410" s="28"/>
      <c r="AP410" s="28"/>
      <c r="AQ410" s="28"/>
      <c r="AR410" s="28"/>
      <c r="AS410" s="28"/>
      <c r="AT410" s="28"/>
      <c r="AU410" s="28"/>
      <c r="AV410" s="28"/>
      <c r="AW410" s="28"/>
      <c r="AX410" s="28"/>
      <c r="AY410" s="28"/>
      <c r="AZ410" s="28"/>
      <c r="BA410" s="28"/>
      <c r="BB410" s="28"/>
      <c r="BC410" s="28"/>
      <c r="BD410" s="28"/>
      <c r="BE410" s="28"/>
      <c r="BF410" s="28"/>
      <c r="BG410" s="28"/>
      <c r="BH410" s="28"/>
      <c r="BI410" s="28"/>
      <c r="BJ410" s="28"/>
      <c r="BK410" s="28"/>
      <c r="BL410" s="28"/>
      <c r="BM410" s="28"/>
      <c r="BN410" s="28"/>
      <c r="BO410" s="28"/>
      <c r="BP410" s="28"/>
      <c r="BQ410" s="28"/>
      <c r="BR410" s="28"/>
      <c r="BS410" s="28"/>
      <c r="BT410" s="28"/>
      <c r="BU410" s="28"/>
      <c r="BV410" s="28"/>
      <c r="BW410" s="28"/>
      <c r="BX410" s="28"/>
      <c r="BY410" s="28"/>
      <c r="BZ410" s="28"/>
      <c r="CA410" s="28"/>
      <c r="CB410" s="28"/>
    </row>
    <row r="411" spans="1:80" hidden="1" x14ac:dyDescent="0.25">
      <c r="A411" s="31" t="s">
        <v>424</v>
      </c>
      <c r="B411" s="39" t="s">
        <v>423</v>
      </c>
      <c r="C411" s="30" t="s">
        <v>27</v>
      </c>
      <c r="D411" s="30" t="s">
        <v>52</v>
      </c>
      <c r="E411" s="20" t="s">
        <v>1912</v>
      </c>
      <c r="F411" s="26" t="s">
        <v>1950</v>
      </c>
      <c r="G411" s="30"/>
      <c r="H411" s="30"/>
      <c r="I411" s="29" t="e">
        <f>VLOOKUP(B411,#REF!,2,FALSE)</f>
        <v>#REF!</v>
      </c>
      <c r="J411" s="28"/>
      <c r="K411" s="28"/>
      <c r="L411" s="28"/>
      <c r="M411" s="28"/>
      <c r="N411" s="28"/>
      <c r="O411" s="28"/>
      <c r="P411" s="28"/>
      <c r="Q411" s="28"/>
      <c r="R411" s="28"/>
      <c r="S411" s="28"/>
      <c r="T411" s="28"/>
      <c r="U411" s="28"/>
      <c r="V411" s="28"/>
      <c r="W411" s="28"/>
      <c r="X411" s="28"/>
      <c r="Y411" s="28"/>
      <c r="Z411" s="28"/>
      <c r="AA411" s="28"/>
      <c r="AB411" s="28"/>
      <c r="AC411" s="28"/>
      <c r="AD411" s="28"/>
      <c r="AE411" s="28"/>
      <c r="AF411" s="28"/>
      <c r="AG411" s="28"/>
      <c r="AH411" s="28"/>
      <c r="AI411" s="28"/>
      <c r="AJ411" s="28"/>
      <c r="AK411" s="28"/>
      <c r="AL411" s="28"/>
      <c r="AM411" s="28"/>
      <c r="AN411" s="28"/>
      <c r="AO411" s="28"/>
      <c r="AP411" s="28"/>
      <c r="AQ411" s="28"/>
      <c r="AR411" s="28"/>
      <c r="AS411" s="28"/>
      <c r="AT411" s="28"/>
      <c r="AU411" s="28"/>
      <c r="AV411" s="28"/>
      <c r="AW411" s="28"/>
      <c r="AX411" s="28"/>
      <c r="AY411" s="28"/>
      <c r="AZ411" s="28"/>
      <c r="BA411" s="28"/>
      <c r="BB411" s="28"/>
      <c r="BC411" s="28"/>
      <c r="BD411" s="28"/>
      <c r="BE411" s="28"/>
      <c r="BF411" s="28"/>
      <c r="BG411" s="28"/>
      <c r="BH411" s="28"/>
      <c r="BI411" s="28"/>
      <c r="BJ411" s="28"/>
      <c r="BK411" s="28"/>
      <c r="BL411" s="28"/>
      <c r="BM411" s="28"/>
      <c r="BN411" s="28"/>
      <c r="BO411" s="28"/>
      <c r="BP411" s="28"/>
      <c r="BQ411" s="28"/>
      <c r="BR411" s="28"/>
      <c r="BS411" s="28"/>
      <c r="BT411" s="28"/>
      <c r="BU411" s="28"/>
      <c r="BV411" s="28"/>
      <c r="BW411" s="28"/>
      <c r="BX411" s="28"/>
      <c r="BY411" s="28"/>
      <c r="BZ411" s="28"/>
      <c r="CA411" s="28"/>
      <c r="CB411" s="28"/>
    </row>
    <row r="412" spans="1:80" hidden="1" x14ac:dyDescent="0.25">
      <c r="A412" s="31" t="s">
        <v>1467</v>
      </c>
      <c r="B412" s="39" t="s">
        <v>1466</v>
      </c>
      <c r="C412" s="30" t="s">
        <v>1007</v>
      </c>
      <c r="D412" s="30" t="s">
        <v>52</v>
      </c>
      <c r="E412" s="20" t="s">
        <v>1912</v>
      </c>
      <c r="F412" s="26" t="s">
        <v>1950</v>
      </c>
      <c r="G412" s="30"/>
      <c r="H412" s="30"/>
      <c r="I412" s="29" t="e">
        <f>VLOOKUP(B412,#REF!,2,FALSE)</f>
        <v>#REF!</v>
      </c>
      <c r="J412" s="28"/>
      <c r="K412" s="28"/>
      <c r="L412" s="28"/>
      <c r="M412" s="28"/>
      <c r="N412" s="28"/>
      <c r="O412" s="28"/>
      <c r="P412" s="28"/>
      <c r="Q412" s="28"/>
      <c r="R412" s="28"/>
      <c r="S412" s="28"/>
      <c r="T412" s="28"/>
      <c r="U412" s="28"/>
      <c r="V412" s="28"/>
      <c r="W412" s="28"/>
      <c r="X412" s="28"/>
      <c r="Y412" s="28"/>
      <c r="Z412" s="28"/>
      <c r="AA412" s="28"/>
      <c r="AB412" s="28"/>
      <c r="AC412" s="28"/>
      <c r="AD412" s="28"/>
      <c r="AE412" s="28"/>
      <c r="AF412" s="28"/>
      <c r="AG412" s="28"/>
      <c r="AH412" s="28"/>
      <c r="AI412" s="28"/>
      <c r="AJ412" s="28"/>
      <c r="AK412" s="28"/>
      <c r="AL412" s="28"/>
      <c r="AM412" s="28"/>
      <c r="AN412" s="28"/>
      <c r="AO412" s="28"/>
      <c r="AP412" s="28"/>
      <c r="AQ412" s="28"/>
      <c r="AR412" s="28"/>
      <c r="AS412" s="28"/>
      <c r="AT412" s="28"/>
      <c r="AU412" s="28"/>
      <c r="AV412" s="28"/>
      <c r="AW412" s="28"/>
      <c r="AX412" s="28"/>
      <c r="AY412" s="28"/>
      <c r="AZ412" s="28"/>
      <c r="BA412" s="28"/>
      <c r="BB412" s="28"/>
      <c r="BC412" s="28"/>
      <c r="BD412" s="28"/>
      <c r="BE412" s="28"/>
      <c r="BF412" s="28"/>
      <c r="BG412" s="28"/>
      <c r="BH412" s="28"/>
      <c r="BI412" s="28"/>
      <c r="BJ412" s="28"/>
      <c r="BK412" s="28"/>
      <c r="BL412" s="28"/>
      <c r="BM412" s="28"/>
      <c r="BN412" s="28"/>
      <c r="BO412" s="28"/>
      <c r="BP412" s="28"/>
      <c r="BQ412" s="28"/>
      <c r="BR412" s="28"/>
      <c r="BS412" s="28"/>
      <c r="BT412" s="28"/>
      <c r="BU412" s="28"/>
      <c r="BV412" s="28"/>
      <c r="BW412" s="28"/>
      <c r="BX412" s="28"/>
      <c r="BY412" s="28"/>
      <c r="BZ412" s="28"/>
      <c r="CA412" s="28"/>
      <c r="CB412" s="28"/>
    </row>
    <row r="413" spans="1:80" hidden="1" x14ac:dyDescent="0.25">
      <c r="A413" s="31" t="s">
        <v>455</v>
      </c>
      <c r="B413" s="39" t="s">
        <v>454</v>
      </c>
      <c r="C413" s="30" t="s">
        <v>27</v>
      </c>
      <c r="D413" s="30" t="s">
        <v>52</v>
      </c>
      <c r="E413" s="20" t="s">
        <v>1912</v>
      </c>
      <c r="F413" s="26" t="s">
        <v>1950</v>
      </c>
      <c r="G413" s="30"/>
      <c r="H413" s="30"/>
      <c r="I413" s="29" t="e">
        <f>VLOOKUP(B413,#REF!,2,FALSE)</f>
        <v>#REF!</v>
      </c>
      <c r="J413" s="28"/>
      <c r="K413" s="28"/>
      <c r="L413" s="28"/>
      <c r="M413" s="28"/>
      <c r="N413" s="28"/>
      <c r="O413" s="28"/>
      <c r="P413" s="28"/>
      <c r="Q413" s="28"/>
      <c r="R413" s="28"/>
      <c r="S413" s="28"/>
      <c r="T413" s="28"/>
      <c r="U413" s="28"/>
      <c r="V413" s="28"/>
      <c r="W413" s="28"/>
      <c r="X413" s="28"/>
      <c r="Y413" s="28"/>
      <c r="Z413" s="28"/>
      <c r="AA413" s="28"/>
      <c r="AB413" s="28"/>
      <c r="AC413" s="28"/>
      <c r="AD413" s="28"/>
      <c r="AE413" s="28"/>
      <c r="AF413" s="28"/>
      <c r="AG413" s="28"/>
      <c r="AH413" s="28"/>
      <c r="AI413" s="28"/>
      <c r="AJ413" s="28"/>
      <c r="AK413" s="28"/>
      <c r="AL413" s="28"/>
      <c r="AM413" s="28"/>
      <c r="AN413" s="28"/>
      <c r="AO413" s="28"/>
      <c r="AP413" s="28"/>
      <c r="AQ413" s="28"/>
      <c r="AR413" s="28"/>
      <c r="AS413" s="28"/>
      <c r="AT413" s="28"/>
      <c r="AU413" s="28"/>
      <c r="AV413" s="28"/>
      <c r="AW413" s="28"/>
      <c r="AX413" s="28"/>
      <c r="AY413" s="28"/>
      <c r="AZ413" s="28"/>
      <c r="BA413" s="28"/>
      <c r="BB413" s="28"/>
      <c r="BC413" s="28"/>
      <c r="BD413" s="28"/>
      <c r="BE413" s="28"/>
      <c r="BF413" s="28"/>
      <c r="BG413" s="28"/>
      <c r="BH413" s="28"/>
      <c r="BI413" s="28"/>
      <c r="BJ413" s="28"/>
      <c r="BK413" s="28"/>
      <c r="BL413" s="28"/>
      <c r="BM413" s="28"/>
      <c r="BN413" s="28"/>
      <c r="BO413" s="28"/>
      <c r="BP413" s="28"/>
      <c r="BQ413" s="28"/>
      <c r="BR413" s="28"/>
      <c r="BS413" s="28"/>
      <c r="BT413" s="28"/>
      <c r="BU413" s="28"/>
      <c r="BV413" s="28"/>
      <c r="BW413" s="28"/>
      <c r="BX413" s="28"/>
      <c r="BY413" s="28"/>
      <c r="BZ413" s="28"/>
      <c r="CA413" s="28"/>
      <c r="CB413" s="28"/>
    </row>
    <row r="414" spans="1:80" hidden="1" x14ac:dyDescent="0.25">
      <c r="A414" s="31" t="s">
        <v>709</v>
      </c>
      <c r="B414" s="39" t="s">
        <v>707</v>
      </c>
      <c r="C414" s="30" t="s">
        <v>708</v>
      </c>
      <c r="D414" s="30" t="s">
        <v>52</v>
      </c>
      <c r="E414" s="20" t="s">
        <v>1912</v>
      </c>
      <c r="F414" s="26" t="s">
        <v>1950</v>
      </c>
      <c r="G414" s="30"/>
      <c r="H414" s="30"/>
      <c r="I414" s="29" t="e">
        <f>VLOOKUP(B414,#REF!,2,FALSE)</f>
        <v>#REF!</v>
      </c>
      <c r="J414" s="28"/>
      <c r="K414" s="28"/>
      <c r="L414" s="28"/>
      <c r="M414" s="28"/>
      <c r="N414" s="28"/>
      <c r="O414" s="28"/>
      <c r="P414" s="28"/>
      <c r="Q414" s="28"/>
      <c r="R414" s="28"/>
      <c r="S414" s="28"/>
      <c r="T414" s="28"/>
      <c r="U414" s="28"/>
      <c r="V414" s="28"/>
      <c r="W414" s="28"/>
      <c r="X414" s="28"/>
      <c r="Y414" s="28"/>
      <c r="Z414" s="28"/>
      <c r="AA414" s="28"/>
      <c r="AB414" s="28"/>
      <c r="AC414" s="28"/>
      <c r="AD414" s="28"/>
      <c r="AE414" s="28"/>
      <c r="AF414" s="28"/>
      <c r="AG414" s="28"/>
      <c r="AH414" s="28"/>
      <c r="AI414" s="28"/>
      <c r="AJ414" s="28"/>
      <c r="AK414" s="28"/>
      <c r="AL414" s="28"/>
      <c r="AM414" s="28"/>
      <c r="AN414" s="28"/>
      <c r="AO414" s="28"/>
      <c r="AP414" s="28"/>
      <c r="AQ414" s="28"/>
      <c r="AR414" s="28"/>
      <c r="AS414" s="28"/>
      <c r="AT414" s="28"/>
      <c r="AU414" s="28"/>
      <c r="AV414" s="28"/>
      <c r="AW414" s="28"/>
      <c r="AX414" s="28"/>
      <c r="AY414" s="28"/>
      <c r="AZ414" s="28"/>
      <c r="BA414" s="28"/>
      <c r="BB414" s="28"/>
      <c r="BC414" s="28"/>
      <c r="BD414" s="28"/>
      <c r="BE414" s="28"/>
      <c r="BF414" s="28"/>
      <c r="BG414" s="28"/>
      <c r="BH414" s="28"/>
      <c r="BI414" s="28"/>
      <c r="BJ414" s="28"/>
      <c r="BK414" s="28"/>
      <c r="BL414" s="28"/>
      <c r="BM414" s="28"/>
      <c r="BN414" s="28"/>
      <c r="BO414" s="28"/>
      <c r="BP414" s="28"/>
      <c r="BQ414" s="28"/>
      <c r="BR414" s="28"/>
      <c r="BS414" s="28"/>
      <c r="BT414" s="28"/>
      <c r="BU414" s="28"/>
      <c r="BV414" s="28"/>
      <c r="BW414" s="28"/>
      <c r="BX414" s="28"/>
      <c r="BY414" s="28"/>
      <c r="BZ414" s="28"/>
      <c r="CA414" s="28"/>
      <c r="CB414" s="28"/>
    </row>
    <row r="415" spans="1:80" hidden="1" x14ac:dyDescent="0.25">
      <c r="A415" s="31" t="s">
        <v>480</v>
      </c>
      <c r="B415" s="39" t="s">
        <v>478</v>
      </c>
      <c r="C415" s="30" t="s">
        <v>43</v>
      </c>
      <c r="D415" s="30" t="s">
        <v>52</v>
      </c>
      <c r="E415" s="20" t="s">
        <v>1912</v>
      </c>
      <c r="F415" s="26" t="s">
        <v>1950</v>
      </c>
      <c r="G415" s="30" t="s">
        <v>25</v>
      </c>
      <c r="H415" s="30"/>
      <c r="I415" s="29" t="e">
        <f>VLOOKUP(B415,#REF!,2,FALSE)</f>
        <v>#REF!</v>
      </c>
      <c r="J415" s="28"/>
      <c r="K415" s="28"/>
      <c r="L415" s="28"/>
      <c r="M415" s="28"/>
      <c r="N415" s="28"/>
      <c r="O415" s="28"/>
      <c r="P415" s="28"/>
      <c r="Q415" s="28"/>
      <c r="R415" s="28"/>
      <c r="S415" s="28"/>
      <c r="T415" s="28"/>
      <c r="U415" s="28"/>
      <c r="V415" s="28"/>
      <c r="W415" s="28"/>
      <c r="X415" s="28"/>
      <c r="Y415" s="28"/>
      <c r="Z415" s="28"/>
      <c r="AA415" s="28"/>
      <c r="AB415" s="28"/>
      <c r="AC415" s="28"/>
      <c r="AD415" s="28"/>
      <c r="AE415" s="28"/>
      <c r="AF415" s="28"/>
      <c r="AG415" s="28"/>
      <c r="AH415" s="28"/>
      <c r="AI415" s="28"/>
      <c r="AJ415" s="28"/>
      <c r="AK415" s="28"/>
      <c r="AL415" s="28"/>
      <c r="AM415" s="28"/>
      <c r="AN415" s="28"/>
      <c r="AO415" s="28"/>
      <c r="AP415" s="28"/>
      <c r="AQ415" s="28"/>
      <c r="AR415" s="28"/>
      <c r="AS415" s="28"/>
      <c r="AT415" s="28"/>
      <c r="AU415" s="28"/>
      <c r="AV415" s="28"/>
      <c r="AW415" s="28"/>
      <c r="AX415" s="28"/>
      <c r="AY415" s="28"/>
      <c r="AZ415" s="28"/>
      <c r="BA415" s="28"/>
      <c r="BB415" s="28"/>
      <c r="BC415" s="28"/>
      <c r="BD415" s="28"/>
      <c r="BE415" s="28"/>
      <c r="BF415" s="28"/>
      <c r="BG415" s="28"/>
      <c r="BH415" s="28"/>
      <c r="BI415" s="28"/>
      <c r="BJ415" s="28"/>
      <c r="BK415" s="28"/>
      <c r="BL415" s="28"/>
      <c r="BM415" s="28"/>
      <c r="BN415" s="28"/>
      <c r="BO415" s="28"/>
      <c r="BP415" s="28"/>
      <c r="BQ415" s="28"/>
      <c r="BR415" s="28"/>
      <c r="BS415" s="28"/>
      <c r="BT415" s="28"/>
      <c r="BU415" s="28"/>
      <c r="BV415" s="28"/>
      <c r="BW415" s="28"/>
      <c r="BX415" s="28"/>
      <c r="BY415" s="28"/>
      <c r="BZ415" s="28"/>
      <c r="CA415" s="28"/>
      <c r="CB415" s="28"/>
    </row>
    <row r="416" spans="1:80" hidden="1" x14ac:dyDescent="0.25">
      <c r="A416" s="31" t="s">
        <v>501</v>
      </c>
      <c r="B416" s="39" t="s">
        <v>500</v>
      </c>
      <c r="C416" s="30" t="s">
        <v>27</v>
      </c>
      <c r="D416" s="30" t="s">
        <v>52</v>
      </c>
      <c r="E416" s="20" t="s">
        <v>1912</v>
      </c>
      <c r="F416" s="26" t="s">
        <v>1950</v>
      </c>
      <c r="G416" s="30"/>
      <c r="H416" s="30"/>
      <c r="I416" s="29" t="e">
        <f>VLOOKUP(B416,#REF!,2,FALSE)</f>
        <v>#REF!</v>
      </c>
      <c r="J416" s="28"/>
      <c r="K416" s="28"/>
      <c r="L416" s="28"/>
      <c r="M416" s="28"/>
      <c r="N416" s="28"/>
      <c r="O416" s="28"/>
      <c r="P416" s="28"/>
      <c r="Q416" s="28"/>
      <c r="R416" s="28"/>
      <c r="S416" s="28"/>
      <c r="T416" s="28"/>
      <c r="U416" s="28"/>
      <c r="V416" s="28"/>
      <c r="W416" s="28"/>
      <c r="X416" s="28"/>
      <c r="Y416" s="28"/>
      <c r="Z416" s="28"/>
      <c r="AA416" s="28"/>
      <c r="AB416" s="28"/>
      <c r="AC416" s="28"/>
      <c r="AD416" s="28"/>
      <c r="AE416" s="28"/>
      <c r="AF416" s="28"/>
      <c r="AG416" s="28"/>
      <c r="AH416" s="28"/>
      <c r="AI416" s="28"/>
      <c r="AJ416" s="28"/>
      <c r="AK416" s="28"/>
      <c r="AL416" s="28"/>
      <c r="AM416" s="28"/>
      <c r="AN416" s="28"/>
      <c r="AO416" s="28"/>
      <c r="AP416" s="28"/>
      <c r="AQ416" s="28"/>
      <c r="AR416" s="28"/>
      <c r="AS416" s="28"/>
      <c r="AT416" s="28"/>
      <c r="AU416" s="28"/>
      <c r="AV416" s="28"/>
      <c r="AW416" s="28"/>
      <c r="AX416" s="28"/>
      <c r="AY416" s="28"/>
      <c r="AZ416" s="28"/>
      <c r="BA416" s="28"/>
      <c r="BB416" s="28"/>
      <c r="BC416" s="28"/>
      <c r="BD416" s="28"/>
      <c r="BE416" s="28"/>
      <c r="BF416" s="28"/>
      <c r="BG416" s="28"/>
      <c r="BH416" s="28"/>
      <c r="BI416" s="28"/>
      <c r="BJ416" s="28"/>
      <c r="BK416" s="28"/>
      <c r="BL416" s="28"/>
      <c r="BM416" s="28"/>
      <c r="BN416" s="28"/>
      <c r="BO416" s="28"/>
      <c r="BP416" s="28"/>
      <c r="BQ416" s="28"/>
      <c r="BR416" s="28"/>
      <c r="BS416" s="28"/>
      <c r="BT416" s="28"/>
      <c r="BU416" s="28"/>
      <c r="BV416" s="28"/>
      <c r="BW416" s="28"/>
      <c r="BX416" s="28"/>
      <c r="BY416" s="28"/>
      <c r="BZ416" s="28"/>
      <c r="CA416" s="28"/>
      <c r="CB416" s="28"/>
    </row>
    <row r="417" spans="1:80" hidden="1" x14ac:dyDescent="0.25">
      <c r="A417" s="31" t="s">
        <v>313</v>
      </c>
      <c r="B417" s="39" t="s">
        <v>1952</v>
      </c>
      <c r="C417" s="30" t="s">
        <v>1953</v>
      </c>
      <c r="D417" s="30" t="s">
        <v>52</v>
      </c>
      <c r="E417" s="20" t="s">
        <v>1912</v>
      </c>
      <c r="F417" s="26" t="s">
        <v>1950</v>
      </c>
      <c r="G417" s="30"/>
      <c r="H417" s="30"/>
      <c r="I417" s="29" t="e">
        <f>VLOOKUP(B417,#REF!,2,FALSE)</f>
        <v>#REF!</v>
      </c>
      <c r="J417" s="29"/>
      <c r="K417" s="29"/>
      <c r="L417" s="29"/>
      <c r="M417" s="29"/>
      <c r="N417" s="29"/>
      <c r="O417" s="29"/>
      <c r="P417" s="29"/>
      <c r="Q417" s="29"/>
      <c r="R417" s="29"/>
      <c r="S417" s="29"/>
      <c r="T417" s="29"/>
      <c r="U417" s="29"/>
      <c r="V417" s="29"/>
      <c r="W417" s="29"/>
      <c r="X417" s="29"/>
      <c r="Y417" s="29"/>
      <c r="Z417" s="29"/>
      <c r="AA417" s="29"/>
      <c r="AB417" s="29"/>
      <c r="AC417" s="29"/>
      <c r="AD417" s="29"/>
      <c r="AE417" s="29"/>
      <c r="AF417" s="29"/>
      <c r="AG417" s="29"/>
      <c r="AH417" s="29"/>
      <c r="AI417" s="29"/>
      <c r="AJ417" s="29"/>
      <c r="AK417" s="29"/>
      <c r="AL417" s="29"/>
      <c r="AM417" s="29"/>
      <c r="AN417" s="29"/>
      <c r="AO417" s="29"/>
      <c r="AP417" s="29"/>
      <c r="AQ417" s="29"/>
      <c r="AR417" s="29"/>
      <c r="AS417" s="29"/>
      <c r="AT417" s="29"/>
      <c r="AU417" s="29"/>
      <c r="AV417" s="29"/>
      <c r="AW417" s="29"/>
      <c r="AX417" s="29"/>
      <c r="AY417" s="29"/>
      <c r="AZ417" s="29"/>
      <c r="BA417" s="29"/>
      <c r="BB417" s="29"/>
      <c r="BC417" s="29"/>
      <c r="BD417" s="29"/>
      <c r="BE417" s="29"/>
      <c r="BF417" s="29"/>
      <c r="BG417" s="29"/>
      <c r="BH417" s="29"/>
      <c r="BI417" s="29"/>
      <c r="BJ417" s="29"/>
      <c r="BK417" s="29"/>
      <c r="BL417" s="29"/>
      <c r="BM417" s="29"/>
      <c r="BN417" s="29"/>
      <c r="BO417" s="29"/>
      <c r="BP417" s="29"/>
      <c r="BQ417" s="29"/>
      <c r="BR417" s="29"/>
      <c r="BS417" s="29"/>
      <c r="BT417" s="29"/>
      <c r="BU417" s="29"/>
      <c r="BV417" s="29"/>
      <c r="BW417" s="29"/>
      <c r="BX417" s="29"/>
      <c r="BY417" s="29"/>
      <c r="BZ417" s="29"/>
      <c r="CA417" s="29"/>
      <c r="CB417" s="29"/>
    </row>
    <row r="418" spans="1:80" hidden="1" x14ac:dyDescent="0.25">
      <c r="A418" s="31" t="s">
        <v>508</v>
      </c>
      <c r="B418" s="39" t="s">
        <v>506</v>
      </c>
      <c r="C418" s="30" t="s">
        <v>507</v>
      </c>
      <c r="D418" s="30" t="s">
        <v>52</v>
      </c>
      <c r="E418" s="20" t="s">
        <v>1912</v>
      </c>
      <c r="F418" s="26" t="s">
        <v>1950</v>
      </c>
      <c r="G418" s="30"/>
      <c r="H418" s="30"/>
      <c r="I418" s="29" t="e">
        <f>VLOOKUP(B418,#REF!,2,FALSE)</f>
        <v>#REF!</v>
      </c>
      <c r="J418" s="28"/>
      <c r="K418" s="28"/>
      <c r="L418" s="28"/>
      <c r="M418" s="28"/>
      <c r="N418" s="28"/>
      <c r="O418" s="28"/>
      <c r="P418" s="28"/>
      <c r="Q418" s="28"/>
      <c r="R418" s="28"/>
      <c r="S418" s="28"/>
      <c r="T418" s="28"/>
      <c r="U418" s="28"/>
      <c r="V418" s="28"/>
      <c r="W418" s="28"/>
      <c r="X418" s="28"/>
      <c r="Y418" s="28"/>
      <c r="Z418" s="28"/>
      <c r="AA418" s="28"/>
      <c r="AB418" s="28"/>
      <c r="AC418" s="28"/>
      <c r="AD418" s="28"/>
      <c r="AE418" s="28"/>
      <c r="AF418" s="28"/>
      <c r="AG418" s="28"/>
      <c r="AH418" s="28"/>
      <c r="AI418" s="28"/>
      <c r="AJ418" s="28"/>
      <c r="AK418" s="28"/>
      <c r="AL418" s="28"/>
      <c r="AM418" s="28"/>
      <c r="AN418" s="28"/>
      <c r="AO418" s="28"/>
      <c r="AP418" s="28"/>
      <c r="AQ418" s="28"/>
      <c r="AR418" s="28"/>
      <c r="AS418" s="28"/>
      <c r="AT418" s="28"/>
      <c r="AU418" s="28"/>
      <c r="AV418" s="28"/>
      <c r="AW418" s="28"/>
      <c r="AX418" s="28"/>
      <c r="AY418" s="28"/>
      <c r="AZ418" s="28"/>
      <c r="BA418" s="28"/>
      <c r="BB418" s="28"/>
      <c r="BC418" s="28"/>
      <c r="BD418" s="28"/>
      <c r="BE418" s="28"/>
      <c r="BF418" s="28"/>
      <c r="BG418" s="28"/>
      <c r="BH418" s="28"/>
      <c r="BI418" s="28"/>
      <c r="BJ418" s="28"/>
      <c r="BK418" s="28"/>
      <c r="BL418" s="28"/>
      <c r="BM418" s="28"/>
      <c r="BN418" s="28"/>
      <c r="BO418" s="28"/>
      <c r="BP418" s="28"/>
      <c r="BQ418" s="28"/>
      <c r="BR418" s="28"/>
      <c r="BS418" s="28"/>
      <c r="BT418" s="28"/>
      <c r="BU418" s="28"/>
      <c r="BV418" s="28"/>
      <c r="BW418" s="28"/>
      <c r="BX418" s="28"/>
      <c r="BY418" s="28"/>
      <c r="BZ418" s="28"/>
      <c r="CA418" s="28"/>
      <c r="CB418" s="28"/>
    </row>
    <row r="419" spans="1:80" hidden="1" x14ac:dyDescent="0.25">
      <c r="A419" s="31" t="s">
        <v>511</v>
      </c>
      <c r="B419" s="39" t="s">
        <v>509</v>
      </c>
      <c r="C419" s="30" t="s">
        <v>510</v>
      </c>
      <c r="D419" s="30" t="s">
        <v>52</v>
      </c>
      <c r="E419" s="20" t="s">
        <v>1912</v>
      </c>
      <c r="F419" s="26" t="s">
        <v>1950</v>
      </c>
      <c r="G419" s="30"/>
      <c r="H419" s="30"/>
      <c r="I419" s="29" t="e">
        <f>VLOOKUP(B419,#REF!,2,FALSE)</f>
        <v>#REF!</v>
      </c>
      <c r="J419" s="29"/>
      <c r="K419" s="29"/>
      <c r="L419" s="29"/>
      <c r="M419" s="29"/>
      <c r="N419" s="29"/>
      <c r="O419" s="29"/>
      <c r="P419" s="29"/>
      <c r="Q419" s="29"/>
      <c r="R419" s="29"/>
      <c r="S419" s="29"/>
      <c r="T419" s="29"/>
      <c r="U419" s="29"/>
      <c r="V419" s="29"/>
      <c r="W419" s="29"/>
      <c r="X419" s="29"/>
      <c r="Y419" s="29"/>
      <c r="Z419" s="29"/>
      <c r="AA419" s="29"/>
      <c r="AB419" s="29"/>
      <c r="AC419" s="29"/>
      <c r="AD419" s="29"/>
      <c r="AE419" s="29"/>
      <c r="AF419" s="29"/>
      <c r="AG419" s="29"/>
      <c r="AH419" s="29"/>
      <c r="AI419" s="29"/>
      <c r="AJ419" s="29"/>
      <c r="AK419" s="29"/>
      <c r="AL419" s="29"/>
      <c r="AM419" s="29"/>
      <c r="AN419" s="29"/>
      <c r="AO419" s="29"/>
      <c r="AP419" s="29"/>
      <c r="AQ419" s="29"/>
      <c r="AR419" s="29"/>
      <c r="AS419" s="29"/>
      <c r="AT419" s="29"/>
      <c r="AU419" s="29"/>
      <c r="AV419" s="29"/>
      <c r="AW419" s="29"/>
      <c r="AX419" s="29"/>
      <c r="AY419" s="29"/>
      <c r="AZ419" s="29"/>
      <c r="BA419" s="29"/>
      <c r="BB419" s="29"/>
      <c r="BC419" s="29"/>
      <c r="BD419" s="29"/>
      <c r="BE419" s="29"/>
      <c r="BF419" s="29"/>
      <c r="BG419" s="29"/>
      <c r="BH419" s="29"/>
      <c r="BI419" s="29"/>
      <c r="BJ419" s="29"/>
      <c r="BK419" s="29"/>
      <c r="BL419" s="29"/>
      <c r="BM419" s="29"/>
      <c r="BN419" s="29"/>
      <c r="BO419" s="29"/>
      <c r="BP419" s="29"/>
      <c r="BQ419" s="29"/>
      <c r="BR419" s="29"/>
      <c r="BS419" s="29"/>
      <c r="BT419" s="29"/>
      <c r="BU419" s="29"/>
      <c r="BV419" s="29"/>
      <c r="BW419" s="29"/>
      <c r="BX419" s="29"/>
      <c r="BY419" s="29"/>
      <c r="BZ419" s="29"/>
      <c r="CA419" s="29"/>
      <c r="CB419" s="29"/>
    </row>
    <row r="420" spans="1:80" hidden="1" x14ac:dyDescent="0.25">
      <c r="A420" s="31" t="s">
        <v>528</v>
      </c>
      <c r="B420" s="39" t="s">
        <v>527</v>
      </c>
      <c r="C420" s="30" t="s">
        <v>95</v>
      </c>
      <c r="D420" s="30" t="s">
        <v>52</v>
      </c>
      <c r="E420" s="20" t="s">
        <v>1912</v>
      </c>
      <c r="F420" s="26" t="s">
        <v>1950</v>
      </c>
      <c r="G420" s="30"/>
      <c r="H420" s="30"/>
      <c r="I420" s="29" t="e">
        <f>VLOOKUP(B420,#REF!,2,FALSE)</f>
        <v>#REF!</v>
      </c>
      <c r="J420" s="28"/>
      <c r="K420" s="28"/>
      <c r="L420" s="28"/>
      <c r="M420" s="28"/>
      <c r="N420" s="28"/>
      <c r="O420" s="28"/>
      <c r="P420" s="28"/>
      <c r="Q420" s="28"/>
      <c r="R420" s="28"/>
      <c r="S420" s="28"/>
      <c r="T420" s="28"/>
      <c r="U420" s="28"/>
      <c r="V420" s="28"/>
      <c r="W420" s="28"/>
      <c r="X420" s="28"/>
      <c r="Y420" s="28"/>
      <c r="Z420" s="28"/>
      <c r="AA420" s="28"/>
      <c r="AB420" s="28"/>
      <c r="AC420" s="28"/>
      <c r="AD420" s="28"/>
      <c r="AE420" s="28"/>
      <c r="AF420" s="28"/>
      <c r="AG420" s="28"/>
      <c r="AH420" s="28"/>
      <c r="AI420" s="28"/>
      <c r="AJ420" s="28"/>
      <c r="AK420" s="28"/>
      <c r="AL420" s="28"/>
      <c r="AM420" s="28"/>
      <c r="AN420" s="28"/>
      <c r="AO420" s="28"/>
      <c r="AP420" s="28"/>
      <c r="AQ420" s="28"/>
      <c r="AR420" s="28"/>
      <c r="AS420" s="28"/>
      <c r="AT420" s="28"/>
      <c r="AU420" s="28"/>
      <c r="AV420" s="28"/>
      <c r="AW420" s="28"/>
      <c r="AX420" s="28"/>
      <c r="AY420" s="28"/>
      <c r="AZ420" s="28"/>
      <c r="BA420" s="28"/>
      <c r="BB420" s="28"/>
      <c r="BC420" s="28"/>
      <c r="BD420" s="28"/>
      <c r="BE420" s="28"/>
      <c r="BF420" s="28"/>
      <c r="BG420" s="28"/>
      <c r="BH420" s="28"/>
      <c r="BI420" s="28"/>
      <c r="BJ420" s="28"/>
      <c r="BK420" s="28"/>
      <c r="BL420" s="28"/>
      <c r="BM420" s="28"/>
      <c r="BN420" s="28"/>
      <c r="BO420" s="28"/>
      <c r="BP420" s="28"/>
      <c r="BQ420" s="28"/>
      <c r="BR420" s="28"/>
      <c r="BS420" s="28"/>
      <c r="BT420" s="28"/>
      <c r="BU420" s="28"/>
      <c r="BV420" s="28"/>
      <c r="BW420" s="28"/>
      <c r="BX420" s="28"/>
      <c r="BY420" s="28"/>
      <c r="BZ420" s="28"/>
      <c r="CA420" s="28"/>
      <c r="CB420" s="28"/>
    </row>
    <row r="421" spans="1:80" hidden="1" x14ac:dyDescent="0.25">
      <c r="A421" s="31" t="s">
        <v>568</v>
      </c>
      <c r="B421" s="39" t="s">
        <v>567</v>
      </c>
      <c r="C421" s="30" t="s">
        <v>119</v>
      </c>
      <c r="D421" s="30" t="s">
        <v>52</v>
      </c>
      <c r="E421" s="20" t="s">
        <v>1912</v>
      </c>
      <c r="F421" s="26" t="s">
        <v>1950</v>
      </c>
      <c r="G421" s="30"/>
      <c r="H421" s="30"/>
      <c r="I421" s="29" t="e">
        <f>VLOOKUP(B421,#REF!,2,FALSE)</f>
        <v>#REF!</v>
      </c>
      <c r="J421" s="28"/>
      <c r="K421" s="28"/>
      <c r="L421" s="28"/>
      <c r="M421" s="28"/>
      <c r="N421" s="28"/>
      <c r="O421" s="28"/>
      <c r="P421" s="28"/>
      <c r="Q421" s="28"/>
      <c r="R421" s="28"/>
      <c r="S421" s="28"/>
      <c r="T421" s="28"/>
      <c r="U421" s="28"/>
      <c r="V421" s="28"/>
      <c r="W421" s="28"/>
      <c r="X421" s="28"/>
      <c r="Y421" s="28"/>
      <c r="Z421" s="28"/>
      <c r="AA421" s="28"/>
      <c r="AB421" s="28"/>
      <c r="AC421" s="28"/>
      <c r="AD421" s="28"/>
      <c r="AE421" s="28"/>
      <c r="AF421" s="28"/>
      <c r="AG421" s="28"/>
      <c r="AH421" s="28"/>
      <c r="AI421" s="28"/>
      <c r="AJ421" s="28"/>
      <c r="AK421" s="28"/>
      <c r="AL421" s="28"/>
      <c r="AM421" s="28"/>
      <c r="AN421" s="28"/>
      <c r="AO421" s="28"/>
      <c r="AP421" s="28"/>
      <c r="AQ421" s="28"/>
      <c r="AR421" s="28"/>
      <c r="AS421" s="28"/>
      <c r="AT421" s="28"/>
      <c r="AU421" s="28"/>
      <c r="AV421" s="28"/>
      <c r="AW421" s="28"/>
      <c r="AX421" s="28"/>
      <c r="AY421" s="28"/>
      <c r="AZ421" s="28"/>
      <c r="BA421" s="28"/>
      <c r="BB421" s="28"/>
      <c r="BC421" s="28"/>
      <c r="BD421" s="28"/>
      <c r="BE421" s="28"/>
      <c r="BF421" s="28"/>
      <c r="BG421" s="28"/>
      <c r="BH421" s="28"/>
      <c r="BI421" s="28"/>
      <c r="BJ421" s="28"/>
      <c r="BK421" s="28"/>
      <c r="BL421" s="28"/>
      <c r="BM421" s="28"/>
      <c r="BN421" s="28"/>
      <c r="BO421" s="28"/>
      <c r="BP421" s="28"/>
      <c r="BQ421" s="28"/>
      <c r="BR421" s="28"/>
      <c r="BS421" s="28"/>
      <c r="BT421" s="28"/>
      <c r="BU421" s="28"/>
      <c r="BV421" s="28"/>
      <c r="BW421" s="28"/>
      <c r="BX421" s="28"/>
      <c r="BY421" s="28"/>
      <c r="BZ421" s="28"/>
      <c r="CA421" s="28"/>
      <c r="CB421" s="28"/>
    </row>
    <row r="422" spans="1:80" hidden="1" x14ac:dyDescent="0.25">
      <c r="A422" s="33" t="s">
        <v>244</v>
      </c>
      <c r="B422" s="38" t="s">
        <v>243</v>
      </c>
      <c r="C422" s="32" t="s">
        <v>33</v>
      </c>
      <c r="D422" s="32" t="s">
        <v>78</v>
      </c>
      <c r="E422" s="21" t="s">
        <v>1954</v>
      </c>
      <c r="F422" s="25" t="s">
        <v>1665</v>
      </c>
      <c r="G422" s="32"/>
      <c r="H422" s="32"/>
      <c r="I422" s="29" t="e">
        <f>VLOOKUP(B422,#REF!,2,FALSE)</f>
        <v>#REF!</v>
      </c>
      <c r="J422" s="28"/>
      <c r="K422" s="28"/>
      <c r="L422" s="28"/>
      <c r="M422" s="28"/>
      <c r="N422" s="28"/>
      <c r="O422" s="28"/>
      <c r="P422" s="28"/>
      <c r="Q422" s="28"/>
      <c r="R422" s="28"/>
      <c r="S422" s="28"/>
      <c r="T422" s="28"/>
      <c r="U422" s="28"/>
      <c r="V422" s="28"/>
      <c r="W422" s="28"/>
      <c r="X422" s="28"/>
      <c r="Y422" s="28"/>
      <c r="Z422" s="28"/>
      <c r="AA422" s="28"/>
      <c r="AB422" s="28"/>
      <c r="AC422" s="28"/>
      <c r="AD422" s="28"/>
      <c r="AE422" s="28"/>
      <c r="AF422" s="28"/>
      <c r="AG422" s="28"/>
      <c r="AH422" s="28"/>
      <c r="AI422" s="28"/>
      <c r="AJ422" s="28"/>
      <c r="AK422" s="28"/>
      <c r="AL422" s="28"/>
      <c r="AM422" s="28"/>
      <c r="AN422" s="28"/>
      <c r="AO422" s="28"/>
      <c r="AP422" s="28"/>
      <c r="AQ422" s="28"/>
      <c r="AR422" s="28"/>
      <c r="AS422" s="28"/>
      <c r="AT422" s="28"/>
      <c r="AU422" s="28"/>
      <c r="AV422" s="28"/>
      <c r="AW422" s="28"/>
      <c r="AX422" s="28"/>
      <c r="AY422" s="28"/>
      <c r="AZ422" s="28"/>
      <c r="BA422" s="28"/>
      <c r="BB422" s="28"/>
      <c r="BC422" s="28"/>
      <c r="BD422" s="28"/>
      <c r="BE422" s="28"/>
      <c r="BF422" s="28"/>
      <c r="BG422" s="28"/>
      <c r="BH422" s="28"/>
      <c r="BI422" s="28"/>
      <c r="BJ422" s="28"/>
      <c r="BK422" s="28"/>
      <c r="BL422" s="28"/>
      <c r="BM422" s="28"/>
      <c r="BN422" s="28"/>
      <c r="BO422" s="28"/>
      <c r="BP422" s="28"/>
      <c r="BQ422" s="28"/>
      <c r="BR422" s="28"/>
      <c r="BS422" s="28"/>
      <c r="BT422" s="28"/>
      <c r="BU422" s="28"/>
      <c r="BV422" s="28"/>
      <c r="BW422" s="28"/>
      <c r="BX422" s="28"/>
      <c r="BY422" s="28"/>
      <c r="BZ422" s="28"/>
      <c r="CA422" s="28"/>
      <c r="CB422" s="28"/>
    </row>
    <row r="423" spans="1:80" hidden="1" x14ac:dyDescent="0.25">
      <c r="A423" s="31" t="s">
        <v>140</v>
      </c>
      <c r="B423" s="39" t="s">
        <v>1955</v>
      </c>
      <c r="C423" s="30" t="s">
        <v>1956</v>
      </c>
      <c r="D423" s="30" t="s">
        <v>52</v>
      </c>
      <c r="E423" s="20" t="s">
        <v>1954</v>
      </c>
      <c r="F423" s="26" t="s">
        <v>1957</v>
      </c>
      <c r="G423" s="30" t="s">
        <v>1958</v>
      </c>
      <c r="H423" s="30"/>
      <c r="I423" s="29" t="e">
        <f>VLOOKUP(B423,#REF!,2,FALSE)</f>
        <v>#REF!</v>
      </c>
      <c r="J423" s="28"/>
      <c r="K423" s="28"/>
      <c r="L423" s="28"/>
      <c r="M423" s="28"/>
      <c r="N423" s="28"/>
      <c r="O423" s="28"/>
      <c r="P423" s="28"/>
      <c r="Q423" s="28"/>
      <c r="R423" s="28"/>
      <c r="S423" s="28"/>
      <c r="T423" s="28"/>
      <c r="U423" s="28"/>
      <c r="V423" s="28"/>
      <c r="W423" s="28"/>
      <c r="X423" s="28"/>
      <c r="Y423" s="28"/>
      <c r="Z423" s="28"/>
      <c r="AA423" s="28"/>
      <c r="AB423" s="28"/>
      <c r="AC423" s="28"/>
      <c r="AD423" s="28"/>
      <c r="AE423" s="28"/>
      <c r="AF423" s="28"/>
      <c r="AG423" s="28"/>
      <c r="AH423" s="28"/>
      <c r="AI423" s="28"/>
      <c r="AJ423" s="28"/>
      <c r="AK423" s="28"/>
      <c r="AL423" s="28"/>
      <c r="AM423" s="28"/>
      <c r="AN423" s="28"/>
      <c r="AO423" s="28"/>
      <c r="AP423" s="28"/>
      <c r="AQ423" s="28"/>
      <c r="AR423" s="28"/>
      <c r="AS423" s="28"/>
      <c r="AT423" s="28"/>
      <c r="AU423" s="28"/>
      <c r="AV423" s="28"/>
      <c r="AW423" s="28"/>
      <c r="AX423" s="28"/>
      <c r="AY423" s="28"/>
      <c r="AZ423" s="28"/>
      <c r="BA423" s="28"/>
      <c r="BB423" s="28"/>
      <c r="BC423" s="28"/>
      <c r="BD423" s="28"/>
      <c r="BE423" s="28"/>
      <c r="BF423" s="28"/>
      <c r="BG423" s="28"/>
      <c r="BH423" s="28"/>
      <c r="BI423" s="28"/>
      <c r="BJ423" s="28"/>
      <c r="BK423" s="28"/>
      <c r="BL423" s="28"/>
      <c r="BM423" s="28"/>
      <c r="BN423" s="28"/>
      <c r="BO423" s="28"/>
      <c r="BP423" s="28"/>
      <c r="BQ423" s="28"/>
      <c r="BR423" s="28"/>
      <c r="BS423" s="28"/>
      <c r="BT423" s="28"/>
      <c r="BU423" s="28"/>
      <c r="BV423" s="28"/>
      <c r="BW423" s="28"/>
      <c r="BX423" s="28"/>
      <c r="BY423" s="28"/>
      <c r="BZ423" s="28"/>
      <c r="CA423" s="28"/>
      <c r="CB423" s="28"/>
    </row>
    <row r="424" spans="1:80" hidden="1" x14ac:dyDescent="0.25">
      <c r="A424" s="31" t="s">
        <v>160</v>
      </c>
      <c r="B424" s="39" t="s">
        <v>159</v>
      </c>
      <c r="C424" s="30" t="s">
        <v>73</v>
      </c>
      <c r="D424" s="30" t="s">
        <v>78</v>
      </c>
      <c r="E424" s="20" t="s">
        <v>1954</v>
      </c>
      <c r="F424" s="26" t="s">
        <v>1957</v>
      </c>
      <c r="G424" s="30"/>
      <c r="H424" s="30"/>
      <c r="I424" s="29" t="e">
        <f>VLOOKUP(B424,#REF!,2,FALSE)</f>
        <v>#REF!</v>
      </c>
      <c r="J424" s="28"/>
      <c r="K424" s="28"/>
      <c r="L424" s="28"/>
      <c r="M424" s="28"/>
      <c r="N424" s="28"/>
      <c r="O424" s="28"/>
      <c r="P424" s="28"/>
      <c r="Q424" s="28"/>
      <c r="R424" s="28"/>
      <c r="S424" s="28"/>
      <c r="T424" s="28"/>
      <c r="U424" s="28"/>
      <c r="V424" s="28"/>
      <c r="W424" s="28"/>
      <c r="X424" s="28"/>
      <c r="Y424" s="28"/>
      <c r="Z424" s="28"/>
      <c r="AA424" s="28"/>
      <c r="AB424" s="28"/>
      <c r="AC424" s="28"/>
      <c r="AD424" s="28"/>
      <c r="AE424" s="28"/>
      <c r="AF424" s="28"/>
      <c r="AG424" s="28"/>
      <c r="AH424" s="28"/>
      <c r="AI424" s="28"/>
      <c r="AJ424" s="28"/>
      <c r="AK424" s="28"/>
      <c r="AL424" s="28"/>
      <c r="AM424" s="28"/>
      <c r="AN424" s="28"/>
      <c r="AO424" s="28"/>
      <c r="AP424" s="28"/>
      <c r="AQ424" s="28"/>
      <c r="AR424" s="28"/>
      <c r="AS424" s="28"/>
      <c r="AT424" s="28"/>
      <c r="AU424" s="28"/>
      <c r="AV424" s="28"/>
      <c r="AW424" s="28"/>
      <c r="AX424" s="28"/>
      <c r="AY424" s="28"/>
      <c r="AZ424" s="28"/>
      <c r="BA424" s="28"/>
      <c r="BB424" s="28"/>
      <c r="BC424" s="28"/>
      <c r="BD424" s="28"/>
      <c r="BE424" s="28"/>
      <c r="BF424" s="28"/>
      <c r="BG424" s="28"/>
      <c r="BH424" s="28"/>
      <c r="BI424" s="28"/>
      <c r="BJ424" s="28"/>
      <c r="BK424" s="28"/>
      <c r="BL424" s="28"/>
      <c r="BM424" s="28"/>
      <c r="BN424" s="28"/>
      <c r="BO424" s="28"/>
      <c r="BP424" s="28"/>
      <c r="BQ424" s="28"/>
      <c r="BR424" s="28"/>
      <c r="BS424" s="28"/>
      <c r="BT424" s="28"/>
      <c r="BU424" s="28"/>
      <c r="BV424" s="28"/>
      <c r="BW424" s="28"/>
      <c r="BX424" s="28"/>
      <c r="BY424" s="28"/>
      <c r="BZ424" s="28"/>
      <c r="CA424" s="28"/>
      <c r="CB424" s="28"/>
    </row>
    <row r="425" spans="1:80" hidden="1" x14ac:dyDescent="0.25">
      <c r="A425" s="31" t="s">
        <v>48</v>
      </c>
      <c r="B425" s="39" t="s">
        <v>46</v>
      </c>
      <c r="C425" s="30" t="s">
        <v>47</v>
      </c>
      <c r="D425" s="30" t="s">
        <v>10</v>
      </c>
      <c r="E425" s="20" t="s">
        <v>1954</v>
      </c>
      <c r="F425" s="26" t="s">
        <v>1957</v>
      </c>
      <c r="G425" s="30"/>
      <c r="H425" s="30"/>
      <c r="I425" s="29" t="e">
        <f>VLOOKUP(B425,#REF!,2,FALSE)</f>
        <v>#REF!</v>
      </c>
      <c r="J425" s="28"/>
      <c r="K425" s="28"/>
      <c r="L425" s="28"/>
      <c r="M425" s="28"/>
      <c r="N425" s="28"/>
      <c r="O425" s="28"/>
      <c r="P425" s="28"/>
      <c r="Q425" s="28"/>
      <c r="R425" s="28"/>
      <c r="S425" s="28"/>
      <c r="T425" s="28"/>
      <c r="U425" s="28"/>
      <c r="V425" s="28"/>
      <c r="W425" s="28"/>
      <c r="X425" s="28"/>
      <c r="Y425" s="28"/>
      <c r="Z425" s="28"/>
      <c r="AA425" s="28"/>
      <c r="AB425" s="28"/>
      <c r="AC425" s="28"/>
      <c r="AD425" s="28"/>
      <c r="AE425" s="28"/>
      <c r="AF425" s="28"/>
      <c r="AG425" s="28"/>
      <c r="AH425" s="28"/>
      <c r="AI425" s="28"/>
      <c r="AJ425" s="28"/>
      <c r="AK425" s="28"/>
      <c r="AL425" s="28"/>
      <c r="AM425" s="28"/>
      <c r="AN425" s="28"/>
      <c r="AO425" s="28"/>
      <c r="AP425" s="28"/>
      <c r="AQ425" s="28"/>
      <c r="AR425" s="28"/>
      <c r="AS425" s="28"/>
      <c r="AT425" s="28"/>
      <c r="AU425" s="28"/>
      <c r="AV425" s="28"/>
      <c r="AW425" s="28"/>
      <c r="AX425" s="28"/>
      <c r="AY425" s="28"/>
      <c r="AZ425" s="28"/>
      <c r="BA425" s="28"/>
      <c r="BB425" s="28"/>
      <c r="BC425" s="28"/>
      <c r="BD425" s="28"/>
      <c r="BE425" s="28"/>
      <c r="BF425" s="28"/>
      <c r="BG425" s="28"/>
      <c r="BH425" s="28"/>
      <c r="BI425" s="28"/>
      <c r="BJ425" s="28"/>
      <c r="BK425" s="28"/>
      <c r="BL425" s="28"/>
      <c r="BM425" s="28"/>
      <c r="BN425" s="28"/>
      <c r="BO425" s="28"/>
      <c r="BP425" s="28"/>
      <c r="BQ425" s="28"/>
      <c r="BR425" s="28"/>
      <c r="BS425" s="28"/>
      <c r="BT425" s="28"/>
      <c r="BU425" s="28"/>
      <c r="BV425" s="28"/>
      <c r="BW425" s="28"/>
      <c r="BX425" s="28"/>
      <c r="BY425" s="28"/>
      <c r="BZ425" s="28"/>
      <c r="CA425" s="28"/>
      <c r="CB425" s="28"/>
    </row>
    <row r="426" spans="1:80" hidden="1" x14ac:dyDescent="0.25">
      <c r="A426" s="31" t="s">
        <v>206</v>
      </c>
      <c r="B426" s="39" t="s">
        <v>205</v>
      </c>
      <c r="C426" s="30" t="s">
        <v>25</v>
      </c>
      <c r="D426" s="30" t="s">
        <v>52</v>
      </c>
      <c r="E426" s="20" t="s">
        <v>1954</v>
      </c>
      <c r="F426" s="26" t="s">
        <v>1957</v>
      </c>
      <c r="G426" s="30"/>
      <c r="H426" s="30"/>
      <c r="I426" s="29" t="e">
        <f>VLOOKUP(B426,#REF!,2,FALSE)</f>
        <v>#REF!</v>
      </c>
      <c r="J426" s="28"/>
      <c r="K426" s="28"/>
      <c r="L426" s="28"/>
      <c r="M426" s="28"/>
      <c r="N426" s="28"/>
      <c r="O426" s="28"/>
      <c r="P426" s="28"/>
      <c r="Q426" s="28"/>
      <c r="R426" s="28"/>
      <c r="S426" s="28"/>
      <c r="T426" s="28"/>
      <c r="U426" s="28"/>
      <c r="V426" s="28"/>
      <c r="W426" s="28"/>
      <c r="X426" s="28"/>
      <c r="Y426" s="28"/>
      <c r="Z426" s="28"/>
      <c r="AA426" s="28"/>
      <c r="AB426" s="28"/>
      <c r="AC426" s="28"/>
      <c r="AD426" s="28"/>
      <c r="AE426" s="28"/>
      <c r="AF426" s="28"/>
      <c r="AG426" s="28"/>
      <c r="AH426" s="28"/>
      <c r="AI426" s="28"/>
      <c r="AJ426" s="28"/>
      <c r="AK426" s="28"/>
      <c r="AL426" s="28"/>
      <c r="AM426" s="28"/>
      <c r="AN426" s="28"/>
      <c r="AO426" s="28"/>
      <c r="AP426" s="28"/>
      <c r="AQ426" s="28"/>
      <c r="AR426" s="28"/>
      <c r="AS426" s="28"/>
      <c r="AT426" s="28"/>
      <c r="AU426" s="28"/>
      <c r="AV426" s="28"/>
      <c r="AW426" s="28"/>
      <c r="AX426" s="28"/>
      <c r="AY426" s="28"/>
      <c r="AZ426" s="28"/>
      <c r="BA426" s="28"/>
      <c r="BB426" s="28"/>
      <c r="BC426" s="28"/>
      <c r="BD426" s="28"/>
      <c r="BE426" s="28"/>
      <c r="BF426" s="28"/>
      <c r="BG426" s="28"/>
      <c r="BH426" s="28"/>
      <c r="BI426" s="28"/>
      <c r="BJ426" s="28"/>
      <c r="BK426" s="28"/>
      <c r="BL426" s="28"/>
      <c r="BM426" s="28"/>
      <c r="BN426" s="28"/>
      <c r="BO426" s="28"/>
      <c r="BP426" s="28"/>
      <c r="BQ426" s="28"/>
      <c r="BR426" s="28"/>
      <c r="BS426" s="28"/>
      <c r="BT426" s="28"/>
      <c r="BU426" s="28"/>
      <c r="BV426" s="28"/>
      <c r="BW426" s="28"/>
      <c r="BX426" s="28"/>
      <c r="BY426" s="28"/>
      <c r="BZ426" s="28"/>
      <c r="CA426" s="28"/>
      <c r="CB426" s="28"/>
    </row>
    <row r="427" spans="1:80" hidden="1" x14ac:dyDescent="0.25">
      <c r="A427" s="31" t="s">
        <v>232</v>
      </c>
      <c r="B427" s="39" t="s">
        <v>230</v>
      </c>
      <c r="C427" s="30" t="s">
        <v>231</v>
      </c>
      <c r="D427" s="30" t="s">
        <v>52</v>
      </c>
      <c r="E427" s="20" t="s">
        <v>1954</v>
      </c>
      <c r="F427" s="26" t="s">
        <v>1957</v>
      </c>
      <c r="G427" s="30"/>
      <c r="H427" s="30"/>
      <c r="I427" s="29" t="e">
        <f>VLOOKUP(B427,#REF!,2,FALSE)</f>
        <v>#REF!</v>
      </c>
      <c r="J427" s="28"/>
      <c r="K427" s="28"/>
      <c r="L427" s="28"/>
      <c r="M427" s="28"/>
      <c r="N427" s="28"/>
      <c r="O427" s="28"/>
      <c r="P427" s="28"/>
      <c r="Q427" s="28"/>
      <c r="R427" s="28"/>
      <c r="S427" s="28"/>
      <c r="T427" s="28"/>
      <c r="U427" s="28"/>
      <c r="V427" s="28"/>
      <c r="W427" s="28"/>
      <c r="X427" s="28"/>
      <c r="Y427" s="28"/>
      <c r="Z427" s="28"/>
      <c r="AA427" s="28"/>
      <c r="AB427" s="28"/>
      <c r="AC427" s="28"/>
      <c r="AD427" s="28"/>
      <c r="AE427" s="28"/>
      <c r="AF427" s="28"/>
      <c r="AG427" s="28"/>
      <c r="AH427" s="28"/>
      <c r="AI427" s="28"/>
      <c r="AJ427" s="28"/>
      <c r="AK427" s="28"/>
      <c r="AL427" s="28"/>
      <c r="AM427" s="28"/>
      <c r="AN427" s="28"/>
      <c r="AO427" s="28"/>
      <c r="AP427" s="28"/>
      <c r="AQ427" s="28"/>
      <c r="AR427" s="28"/>
      <c r="AS427" s="28"/>
      <c r="AT427" s="28"/>
      <c r="AU427" s="28"/>
      <c r="AV427" s="28"/>
      <c r="AW427" s="28"/>
      <c r="AX427" s="28"/>
      <c r="AY427" s="28"/>
      <c r="AZ427" s="28"/>
      <c r="BA427" s="28"/>
      <c r="BB427" s="28"/>
      <c r="BC427" s="28"/>
      <c r="BD427" s="28"/>
      <c r="BE427" s="28"/>
      <c r="BF427" s="28"/>
      <c r="BG427" s="28"/>
      <c r="BH427" s="28"/>
      <c r="BI427" s="28"/>
      <c r="BJ427" s="28"/>
      <c r="BK427" s="28"/>
      <c r="BL427" s="28"/>
      <c r="BM427" s="28"/>
      <c r="BN427" s="28"/>
      <c r="BO427" s="28"/>
      <c r="BP427" s="28"/>
      <c r="BQ427" s="28"/>
      <c r="BR427" s="28"/>
      <c r="BS427" s="28"/>
      <c r="BT427" s="28"/>
      <c r="BU427" s="28"/>
      <c r="BV427" s="28"/>
      <c r="BW427" s="28"/>
      <c r="BX427" s="28"/>
      <c r="BY427" s="28"/>
      <c r="BZ427" s="28"/>
      <c r="CA427" s="28"/>
      <c r="CB427" s="28"/>
    </row>
    <row r="428" spans="1:80" hidden="1" x14ac:dyDescent="0.25">
      <c r="A428" s="31" t="s">
        <v>59</v>
      </c>
      <c r="B428" s="39" t="s">
        <v>1959</v>
      </c>
      <c r="C428" s="30" t="s">
        <v>1960</v>
      </c>
      <c r="D428" s="30" t="s">
        <v>52</v>
      </c>
      <c r="E428" s="20" t="s">
        <v>1954</v>
      </c>
      <c r="F428" s="26" t="s">
        <v>1961</v>
      </c>
      <c r="G428" s="30"/>
      <c r="H428" s="30"/>
      <c r="I428" s="29" t="e">
        <f>VLOOKUP(B428,#REF!,2,FALSE)</f>
        <v>#REF!</v>
      </c>
      <c r="J428" s="28"/>
      <c r="K428" s="28"/>
      <c r="L428" s="28"/>
      <c r="M428" s="28"/>
      <c r="N428" s="28"/>
      <c r="O428" s="28"/>
      <c r="P428" s="28"/>
      <c r="Q428" s="28"/>
      <c r="R428" s="28"/>
      <c r="S428" s="28"/>
      <c r="T428" s="28"/>
      <c r="U428" s="28"/>
      <c r="V428" s="28"/>
      <c r="W428" s="28"/>
      <c r="X428" s="28"/>
      <c r="Y428" s="28"/>
      <c r="Z428" s="28"/>
      <c r="AA428" s="28"/>
      <c r="AB428" s="28"/>
      <c r="AC428" s="28"/>
      <c r="AD428" s="28"/>
      <c r="AE428" s="28"/>
      <c r="AF428" s="28"/>
      <c r="AG428" s="28"/>
      <c r="AH428" s="28"/>
      <c r="AI428" s="28"/>
      <c r="AJ428" s="28"/>
      <c r="AK428" s="28"/>
      <c r="AL428" s="28"/>
      <c r="AM428" s="28"/>
      <c r="AN428" s="28"/>
      <c r="AO428" s="28"/>
      <c r="AP428" s="28"/>
      <c r="AQ428" s="28"/>
      <c r="AR428" s="28"/>
      <c r="AS428" s="28"/>
      <c r="AT428" s="28"/>
      <c r="AU428" s="28"/>
      <c r="AV428" s="28"/>
      <c r="AW428" s="28"/>
      <c r="AX428" s="28"/>
      <c r="AY428" s="28"/>
      <c r="AZ428" s="28"/>
      <c r="BA428" s="28"/>
      <c r="BB428" s="28"/>
      <c r="BC428" s="28"/>
      <c r="BD428" s="28"/>
      <c r="BE428" s="28"/>
      <c r="BF428" s="28"/>
      <c r="BG428" s="28"/>
      <c r="BH428" s="28"/>
      <c r="BI428" s="28"/>
      <c r="BJ428" s="28"/>
      <c r="BK428" s="28"/>
      <c r="BL428" s="28"/>
      <c r="BM428" s="28"/>
      <c r="BN428" s="28"/>
      <c r="BO428" s="28"/>
      <c r="BP428" s="28"/>
      <c r="BQ428" s="28"/>
      <c r="BR428" s="28"/>
      <c r="BS428" s="28"/>
      <c r="BT428" s="28"/>
      <c r="BU428" s="28"/>
      <c r="BV428" s="28"/>
      <c r="BW428" s="28"/>
      <c r="BX428" s="28"/>
      <c r="BY428" s="28"/>
      <c r="BZ428" s="28"/>
      <c r="CA428" s="28"/>
      <c r="CB428" s="28"/>
    </row>
    <row r="429" spans="1:80" hidden="1" x14ac:dyDescent="0.25">
      <c r="A429" s="31" t="s">
        <v>62</v>
      </c>
      <c r="B429" s="39" t="s">
        <v>1962</v>
      </c>
      <c r="C429" s="30" t="s">
        <v>1963</v>
      </c>
      <c r="D429" s="30" t="s">
        <v>52</v>
      </c>
      <c r="E429" s="20" t="s">
        <v>1954</v>
      </c>
      <c r="F429" s="26" t="s">
        <v>1961</v>
      </c>
      <c r="G429" s="30"/>
      <c r="H429" s="30"/>
      <c r="I429" s="29" t="e">
        <f>VLOOKUP(B429,#REF!,2,FALSE)</f>
        <v>#REF!</v>
      </c>
      <c r="J429" s="28"/>
      <c r="K429" s="28"/>
      <c r="L429" s="28"/>
      <c r="M429" s="28"/>
      <c r="N429" s="28"/>
      <c r="O429" s="28"/>
      <c r="P429" s="28"/>
      <c r="Q429" s="28"/>
      <c r="R429" s="28"/>
      <c r="S429" s="28"/>
      <c r="T429" s="28"/>
      <c r="U429" s="28"/>
      <c r="V429" s="28"/>
      <c r="W429" s="28"/>
      <c r="X429" s="28"/>
      <c r="Y429" s="28"/>
      <c r="Z429" s="28"/>
      <c r="AA429" s="28"/>
      <c r="AB429" s="28"/>
      <c r="AC429" s="28"/>
      <c r="AD429" s="28"/>
      <c r="AE429" s="28"/>
      <c r="AF429" s="28"/>
      <c r="AG429" s="28"/>
      <c r="AH429" s="28"/>
      <c r="AI429" s="28"/>
      <c r="AJ429" s="28"/>
      <c r="AK429" s="28"/>
      <c r="AL429" s="28"/>
      <c r="AM429" s="28"/>
      <c r="AN429" s="28"/>
      <c r="AO429" s="28"/>
      <c r="AP429" s="28"/>
      <c r="AQ429" s="28"/>
      <c r="AR429" s="28"/>
      <c r="AS429" s="28"/>
      <c r="AT429" s="28"/>
      <c r="AU429" s="28"/>
      <c r="AV429" s="28"/>
      <c r="AW429" s="28"/>
      <c r="AX429" s="28"/>
      <c r="AY429" s="28"/>
      <c r="AZ429" s="28"/>
      <c r="BA429" s="28"/>
      <c r="BB429" s="28"/>
      <c r="BC429" s="28"/>
      <c r="BD429" s="28"/>
      <c r="BE429" s="28"/>
      <c r="BF429" s="28"/>
      <c r="BG429" s="28"/>
      <c r="BH429" s="28"/>
      <c r="BI429" s="28"/>
      <c r="BJ429" s="28"/>
      <c r="BK429" s="28"/>
      <c r="BL429" s="28"/>
      <c r="BM429" s="28"/>
      <c r="BN429" s="28"/>
      <c r="BO429" s="28"/>
      <c r="BP429" s="28"/>
      <c r="BQ429" s="28"/>
      <c r="BR429" s="28"/>
      <c r="BS429" s="28"/>
      <c r="BT429" s="28"/>
      <c r="BU429" s="28"/>
      <c r="BV429" s="28"/>
      <c r="BW429" s="28"/>
      <c r="BX429" s="28"/>
      <c r="BY429" s="28"/>
      <c r="BZ429" s="28"/>
      <c r="CA429" s="28"/>
      <c r="CB429" s="28"/>
    </row>
    <row r="430" spans="1:80" hidden="1" x14ac:dyDescent="0.25">
      <c r="A430" s="31" t="s">
        <v>84</v>
      </c>
      <c r="B430" s="39" t="s">
        <v>82</v>
      </c>
      <c r="C430" s="30" t="s">
        <v>83</v>
      </c>
      <c r="D430" s="30" t="s">
        <v>52</v>
      </c>
      <c r="E430" s="20" t="s">
        <v>1954</v>
      </c>
      <c r="F430" s="26" t="s">
        <v>1961</v>
      </c>
      <c r="G430" s="30"/>
      <c r="H430" s="30"/>
      <c r="I430" s="29" t="e">
        <f>VLOOKUP(B430,#REF!,2,FALSE)</f>
        <v>#REF!</v>
      </c>
      <c r="J430" s="28"/>
      <c r="K430" s="28"/>
      <c r="L430" s="28"/>
      <c r="M430" s="28"/>
      <c r="N430" s="28"/>
      <c r="O430" s="28"/>
      <c r="P430" s="28"/>
      <c r="Q430" s="28"/>
      <c r="R430" s="28"/>
      <c r="S430" s="28"/>
      <c r="T430" s="28"/>
      <c r="U430" s="28"/>
      <c r="V430" s="28"/>
      <c r="W430" s="28"/>
      <c r="X430" s="28"/>
      <c r="Y430" s="28"/>
      <c r="Z430" s="28"/>
      <c r="AA430" s="28"/>
      <c r="AB430" s="28"/>
      <c r="AC430" s="28"/>
      <c r="AD430" s="28"/>
      <c r="AE430" s="28"/>
      <c r="AF430" s="28"/>
      <c r="AG430" s="28"/>
      <c r="AH430" s="28"/>
      <c r="AI430" s="28"/>
      <c r="AJ430" s="28"/>
      <c r="AK430" s="28"/>
      <c r="AL430" s="28"/>
      <c r="AM430" s="28"/>
      <c r="AN430" s="28"/>
      <c r="AO430" s="28"/>
      <c r="AP430" s="28"/>
      <c r="AQ430" s="28"/>
      <c r="AR430" s="28"/>
      <c r="AS430" s="28"/>
      <c r="AT430" s="28"/>
      <c r="AU430" s="28"/>
      <c r="AV430" s="28"/>
      <c r="AW430" s="28"/>
      <c r="AX430" s="28"/>
      <c r="AY430" s="28"/>
      <c r="AZ430" s="28"/>
      <c r="BA430" s="28"/>
      <c r="BB430" s="28"/>
      <c r="BC430" s="28"/>
      <c r="BD430" s="28"/>
      <c r="BE430" s="28"/>
      <c r="BF430" s="28"/>
      <c r="BG430" s="28"/>
      <c r="BH430" s="28"/>
      <c r="BI430" s="28"/>
      <c r="BJ430" s="28"/>
      <c r="BK430" s="28"/>
      <c r="BL430" s="28"/>
      <c r="BM430" s="28"/>
      <c r="BN430" s="28"/>
      <c r="BO430" s="28"/>
      <c r="BP430" s="28"/>
      <c r="BQ430" s="28"/>
      <c r="BR430" s="28"/>
      <c r="BS430" s="28"/>
      <c r="BT430" s="28"/>
      <c r="BU430" s="28"/>
      <c r="BV430" s="28"/>
      <c r="BW430" s="28"/>
      <c r="BX430" s="28"/>
      <c r="BY430" s="28"/>
      <c r="BZ430" s="28"/>
      <c r="CA430" s="28"/>
      <c r="CB430" s="28"/>
    </row>
    <row r="431" spans="1:80" hidden="1" x14ac:dyDescent="0.25">
      <c r="A431" s="31" t="s">
        <v>108</v>
      </c>
      <c r="B431" s="39" t="s">
        <v>106</v>
      </c>
      <c r="C431" s="30" t="s">
        <v>107</v>
      </c>
      <c r="D431" s="30" t="s">
        <v>52</v>
      </c>
      <c r="E431" s="20" t="s">
        <v>1954</v>
      </c>
      <c r="F431" s="26" t="s">
        <v>1961</v>
      </c>
      <c r="G431" s="30"/>
      <c r="H431" s="30"/>
      <c r="I431" s="29" t="e">
        <f>VLOOKUP(B431,#REF!,2,FALSE)</f>
        <v>#REF!</v>
      </c>
      <c r="J431" s="28"/>
      <c r="K431" s="28"/>
      <c r="L431" s="28"/>
      <c r="M431" s="28"/>
      <c r="N431" s="28"/>
      <c r="O431" s="28"/>
      <c r="P431" s="28"/>
      <c r="Q431" s="28"/>
      <c r="R431" s="28"/>
      <c r="S431" s="28"/>
      <c r="T431" s="28"/>
      <c r="U431" s="28"/>
      <c r="V431" s="28"/>
      <c r="W431" s="28"/>
      <c r="X431" s="28"/>
      <c r="Y431" s="28"/>
      <c r="Z431" s="28"/>
      <c r="AA431" s="28"/>
      <c r="AB431" s="28"/>
      <c r="AC431" s="28"/>
      <c r="AD431" s="28"/>
      <c r="AE431" s="28"/>
      <c r="AF431" s="28"/>
      <c r="AG431" s="28"/>
      <c r="AH431" s="28"/>
      <c r="AI431" s="28"/>
      <c r="AJ431" s="28"/>
      <c r="AK431" s="28"/>
      <c r="AL431" s="28"/>
      <c r="AM431" s="28"/>
      <c r="AN431" s="28"/>
      <c r="AO431" s="28"/>
      <c r="AP431" s="28"/>
      <c r="AQ431" s="28"/>
      <c r="AR431" s="28"/>
      <c r="AS431" s="28"/>
      <c r="AT431" s="28"/>
      <c r="AU431" s="28"/>
      <c r="AV431" s="28"/>
      <c r="AW431" s="28"/>
      <c r="AX431" s="28"/>
      <c r="AY431" s="28"/>
      <c r="AZ431" s="28"/>
      <c r="BA431" s="28"/>
      <c r="BB431" s="28"/>
      <c r="BC431" s="28"/>
      <c r="BD431" s="28"/>
      <c r="BE431" s="28"/>
      <c r="BF431" s="28"/>
      <c r="BG431" s="28"/>
      <c r="BH431" s="28"/>
      <c r="BI431" s="28"/>
      <c r="BJ431" s="28"/>
      <c r="BK431" s="28"/>
      <c r="BL431" s="28"/>
      <c r="BM431" s="28"/>
      <c r="BN431" s="28"/>
      <c r="BO431" s="28"/>
      <c r="BP431" s="28"/>
      <c r="BQ431" s="28"/>
      <c r="BR431" s="28"/>
      <c r="BS431" s="28"/>
      <c r="BT431" s="28"/>
      <c r="BU431" s="28"/>
      <c r="BV431" s="28"/>
      <c r="BW431" s="28"/>
      <c r="BX431" s="28"/>
      <c r="BY431" s="28"/>
      <c r="BZ431" s="28"/>
      <c r="CA431" s="28"/>
      <c r="CB431" s="28"/>
    </row>
    <row r="432" spans="1:80" hidden="1" x14ac:dyDescent="0.25">
      <c r="A432" s="31" t="s">
        <v>109</v>
      </c>
      <c r="B432" s="39" t="s">
        <v>1964</v>
      </c>
      <c r="C432" s="30" t="s">
        <v>1965</v>
      </c>
      <c r="D432" s="30" t="s">
        <v>52</v>
      </c>
      <c r="E432" s="20" t="s">
        <v>1954</v>
      </c>
      <c r="F432" s="26" t="s">
        <v>1961</v>
      </c>
      <c r="G432" s="30"/>
      <c r="H432" s="30"/>
      <c r="I432" s="29" t="e">
        <f>VLOOKUP(B432,#REF!,2,FALSE)</f>
        <v>#REF!</v>
      </c>
      <c r="J432" s="28"/>
      <c r="K432" s="28"/>
      <c r="L432" s="28"/>
      <c r="M432" s="28"/>
      <c r="N432" s="28"/>
      <c r="O432" s="28"/>
      <c r="P432" s="28"/>
      <c r="Q432" s="28"/>
      <c r="R432" s="28"/>
      <c r="S432" s="28"/>
      <c r="T432" s="28"/>
      <c r="U432" s="28"/>
      <c r="V432" s="28"/>
      <c r="W432" s="28"/>
      <c r="X432" s="28"/>
      <c r="Y432" s="28"/>
      <c r="Z432" s="28"/>
      <c r="AA432" s="28"/>
      <c r="AB432" s="28"/>
      <c r="AC432" s="28"/>
      <c r="AD432" s="28"/>
      <c r="AE432" s="28"/>
      <c r="AF432" s="28"/>
      <c r="AG432" s="28"/>
      <c r="AH432" s="28"/>
      <c r="AI432" s="28"/>
      <c r="AJ432" s="28"/>
      <c r="AK432" s="28"/>
      <c r="AL432" s="28"/>
      <c r="AM432" s="28"/>
      <c r="AN432" s="28"/>
      <c r="AO432" s="28"/>
      <c r="AP432" s="28"/>
      <c r="AQ432" s="28"/>
      <c r="AR432" s="28"/>
      <c r="AS432" s="28"/>
      <c r="AT432" s="28"/>
      <c r="AU432" s="28"/>
      <c r="AV432" s="28"/>
      <c r="AW432" s="28"/>
      <c r="AX432" s="28"/>
      <c r="AY432" s="28"/>
      <c r="AZ432" s="28"/>
      <c r="BA432" s="28"/>
      <c r="BB432" s="28"/>
      <c r="BC432" s="28"/>
      <c r="BD432" s="28"/>
      <c r="BE432" s="28"/>
      <c r="BF432" s="28"/>
      <c r="BG432" s="28"/>
      <c r="BH432" s="28"/>
      <c r="BI432" s="28"/>
      <c r="BJ432" s="28"/>
      <c r="BK432" s="28"/>
      <c r="BL432" s="28"/>
      <c r="BM432" s="28"/>
      <c r="BN432" s="28"/>
      <c r="BO432" s="28"/>
      <c r="BP432" s="28"/>
      <c r="BQ432" s="28"/>
      <c r="BR432" s="28"/>
      <c r="BS432" s="28"/>
      <c r="BT432" s="28"/>
      <c r="BU432" s="28"/>
      <c r="BV432" s="28"/>
      <c r="BW432" s="28"/>
      <c r="BX432" s="28"/>
      <c r="BY432" s="28"/>
      <c r="BZ432" s="28"/>
      <c r="CA432" s="28"/>
      <c r="CB432" s="28"/>
    </row>
    <row r="433" spans="1:80" hidden="1" x14ac:dyDescent="0.25">
      <c r="A433" s="31" t="s">
        <v>111</v>
      </c>
      <c r="B433" s="39" t="s">
        <v>1966</v>
      </c>
      <c r="C433" s="30" t="s">
        <v>1672</v>
      </c>
      <c r="D433" s="30" t="s">
        <v>52</v>
      </c>
      <c r="E433" s="20" t="s">
        <v>1954</v>
      </c>
      <c r="F433" s="26" t="s">
        <v>1961</v>
      </c>
      <c r="G433" s="30"/>
      <c r="H433" s="30"/>
      <c r="I433" s="29" t="e">
        <f>VLOOKUP(B433,#REF!,2,FALSE)</f>
        <v>#REF!</v>
      </c>
      <c r="J433" s="28"/>
      <c r="K433" s="28"/>
      <c r="L433" s="28"/>
      <c r="M433" s="28"/>
      <c r="N433" s="28"/>
      <c r="O433" s="28"/>
      <c r="P433" s="28"/>
      <c r="Q433" s="28"/>
      <c r="R433" s="28"/>
      <c r="S433" s="28"/>
      <c r="T433" s="28"/>
      <c r="U433" s="28"/>
      <c r="V433" s="28"/>
      <c r="W433" s="28"/>
      <c r="X433" s="28"/>
      <c r="Y433" s="28"/>
      <c r="Z433" s="28"/>
      <c r="AA433" s="28"/>
      <c r="AB433" s="28"/>
      <c r="AC433" s="28"/>
      <c r="AD433" s="28"/>
      <c r="AE433" s="28"/>
      <c r="AF433" s="28"/>
      <c r="AG433" s="28"/>
      <c r="AH433" s="28"/>
      <c r="AI433" s="28"/>
      <c r="AJ433" s="28"/>
      <c r="AK433" s="28"/>
      <c r="AL433" s="28"/>
      <c r="AM433" s="28"/>
      <c r="AN433" s="28"/>
      <c r="AO433" s="28"/>
      <c r="AP433" s="28"/>
      <c r="AQ433" s="28"/>
      <c r="AR433" s="28"/>
      <c r="AS433" s="28"/>
      <c r="AT433" s="28"/>
      <c r="AU433" s="28"/>
      <c r="AV433" s="28"/>
      <c r="AW433" s="28"/>
      <c r="AX433" s="28"/>
      <c r="AY433" s="28"/>
      <c r="AZ433" s="28"/>
      <c r="BA433" s="28"/>
      <c r="BB433" s="28"/>
      <c r="BC433" s="28"/>
      <c r="BD433" s="28"/>
      <c r="BE433" s="28"/>
      <c r="BF433" s="28"/>
      <c r="BG433" s="28"/>
      <c r="BH433" s="28"/>
      <c r="BI433" s="28"/>
      <c r="BJ433" s="28"/>
      <c r="BK433" s="28"/>
      <c r="BL433" s="28"/>
      <c r="BM433" s="28"/>
      <c r="BN433" s="28"/>
      <c r="BO433" s="28"/>
      <c r="BP433" s="28"/>
      <c r="BQ433" s="28"/>
      <c r="BR433" s="28"/>
      <c r="BS433" s="28"/>
      <c r="BT433" s="28"/>
      <c r="BU433" s="28"/>
      <c r="BV433" s="28"/>
      <c r="BW433" s="28"/>
      <c r="BX433" s="28"/>
      <c r="BY433" s="28"/>
      <c r="BZ433" s="28"/>
      <c r="CA433" s="28"/>
      <c r="CB433" s="28"/>
    </row>
    <row r="434" spans="1:80" hidden="1" x14ac:dyDescent="0.25">
      <c r="A434" s="31" t="s">
        <v>127</v>
      </c>
      <c r="B434" s="39" t="s">
        <v>1967</v>
      </c>
      <c r="C434" s="30" t="s">
        <v>1968</v>
      </c>
      <c r="D434" s="30" t="s">
        <v>52</v>
      </c>
      <c r="E434" s="20" t="s">
        <v>1954</v>
      </c>
      <c r="F434" s="26" t="s">
        <v>1961</v>
      </c>
      <c r="G434" s="30"/>
      <c r="H434" s="30"/>
      <c r="I434" s="29" t="e">
        <f>VLOOKUP(B434,#REF!,2,FALSE)</f>
        <v>#REF!</v>
      </c>
      <c r="J434" s="29"/>
      <c r="K434" s="29"/>
      <c r="L434" s="29"/>
      <c r="M434" s="29"/>
      <c r="N434" s="29"/>
      <c r="O434" s="29"/>
      <c r="P434" s="29"/>
      <c r="Q434" s="29"/>
      <c r="R434" s="29"/>
      <c r="S434" s="29"/>
      <c r="T434" s="29"/>
      <c r="U434" s="29"/>
      <c r="V434" s="29"/>
      <c r="W434" s="29"/>
      <c r="X434" s="29"/>
      <c r="Y434" s="29"/>
      <c r="Z434" s="29"/>
      <c r="AA434" s="29"/>
      <c r="AB434" s="29"/>
      <c r="AC434" s="29"/>
      <c r="AD434" s="29"/>
      <c r="AE434" s="29"/>
      <c r="AF434" s="29"/>
      <c r="AG434" s="29"/>
      <c r="AH434" s="29"/>
      <c r="AI434" s="29"/>
      <c r="AJ434" s="29"/>
      <c r="AK434" s="29"/>
      <c r="AL434" s="29"/>
      <c r="AM434" s="29"/>
      <c r="AN434" s="29"/>
      <c r="AO434" s="29"/>
      <c r="AP434" s="29"/>
      <c r="AQ434" s="29"/>
      <c r="AR434" s="29"/>
      <c r="AS434" s="29"/>
      <c r="AT434" s="29"/>
      <c r="AU434" s="29"/>
      <c r="AV434" s="29"/>
      <c r="AW434" s="29"/>
      <c r="AX434" s="29"/>
      <c r="AY434" s="29"/>
      <c r="AZ434" s="29"/>
      <c r="BA434" s="29"/>
      <c r="BB434" s="29"/>
      <c r="BC434" s="29"/>
      <c r="BD434" s="29"/>
      <c r="BE434" s="29"/>
      <c r="BF434" s="29"/>
      <c r="BG434" s="29"/>
      <c r="BH434" s="29"/>
      <c r="BI434" s="29"/>
      <c r="BJ434" s="29"/>
      <c r="BK434" s="29"/>
      <c r="BL434" s="29"/>
      <c r="BM434" s="29"/>
      <c r="BN434" s="29"/>
      <c r="BO434" s="29"/>
      <c r="BP434" s="29"/>
      <c r="BQ434" s="29"/>
      <c r="BR434" s="29"/>
      <c r="BS434" s="29"/>
      <c r="BT434" s="29"/>
      <c r="BU434" s="29"/>
      <c r="BV434" s="29"/>
      <c r="BW434" s="29"/>
      <c r="BX434" s="29"/>
      <c r="BY434" s="29"/>
      <c r="BZ434" s="29"/>
      <c r="CA434" s="29"/>
      <c r="CB434" s="29"/>
    </row>
    <row r="435" spans="1:80" hidden="1" x14ac:dyDescent="0.25">
      <c r="A435" s="31" t="s">
        <v>136</v>
      </c>
      <c r="B435" s="39" t="s">
        <v>134</v>
      </c>
      <c r="C435" s="30" t="s">
        <v>135</v>
      </c>
      <c r="D435" s="30" t="s">
        <v>97</v>
      </c>
      <c r="E435" s="20" t="s">
        <v>1954</v>
      </c>
      <c r="F435" s="26" t="s">
        <v>1961</v>
      </c>
      <c r="G435" s="30"/>
      <c r="H435" s="30"/>
      <c r="I435" s="29" t="e">
        <f>VLOOKUP(B435,#REF!,2,FALSE)</f>
        <v>#REF!</v>
      </c>
      <c r="J435" s="28"/>
      <c r="K435" s="28"/>
      <c r="L435" s="28"/>
      <c r="M435" s="28"/>
      <c r="N435" s="28"/>
      <c r="O435" s="28"/>
      <c r="P435" s="28"/>
      <c r="Q435" s="28"/>
      <c r="R435" s="28"/>
      <c r="S435" s="28"/>
      <c r="T435" s="28"/>
      <c r="U435" s="28"/>
      <c r="V435" s="28"/>
      <c r="W435" s="28"/>
      <c r="X435" s="28"/>
      <c r="Y435" s="28"/>
      <c r="Z435" s="28"/>
      <c r="AA435" s="28"/>
      <c r="AB435" s="28"/>
      <c r="AC435" s="28"/>
      <c r="AD435" s="28"/>
      <c r="AE435" s="28"/>
      <c r="AF435" s="28"/>
      <c r="AG435" s="28"/>
      <c r="AH435" s="28"/>
      <c r="AI435" s="28"/>
      <c r="AJ435" s="28"/>
      <c r="AK435" s="28"/>
      <c r="AL435" s="28"/>
      <c r="AM435" s="28"/>
      <c r="AN435" s="28"/>
      <c r="AO435" s="28"/>
      <c r="AP435" s="28"/>
      <c r="AQ435" s="28"/>
      <c r="AR435" s="28"/>
      <c r="AS435" s="28"/>
      <c r="AT435" s="28"/>
      <c r="AU435" s="28"/>
      <c r="AV435" s="28"/>
      <c r="AW435" s="28"/>
      <c r="AX435" s="28"/>
      <c r="AY435" s="28"/>
      <c r="AZ435" s="28"/>
      <c r="BA435" s="28"/>
      <c r="BB435" s="28"/>
      <c r="BC435" s="28"/>
      <c r="BD435" s="28"/>
      <c r="BE435" s="28"/>
      <c r="BF435" s="28"/>
      <c r="BG435" s="28"/>
      <c r="BH435" s="28"/>
      <c r="BI435" s="28"/>
      <c r="BJ435" s="28"/>
      <c r="BK435" s="28"/>
      <c r="BL435" s="28"/>
      <c r="BM435" s="28"/>
      <c r="BN435" s="28"/>
      <c r="BO435" s="28"/>
      <c r="BP435" s="28"/>
      <c r="BQ435" s="28"/>
      <c r="BR435" s="28"/>
      <c r="BS435" s="28"/>
      <c r="BT435" s="28"/>
      <c r="BU435" s="28"/>
      <c r="BV435" s="28"/>
      <c r="BW435" s="28"/>
      <c r="BX435" s="28"/>
      <c r="BY435" s="28"/>
      <c r="BZ435" s="28"/>
      <c r="CA435" s="28"/>
      <c r="CB435" s="28"/>
    </row>
    <row r="436" spans="1:80" hidden="1" x14ac:dyDescent="0.25">
      <c r="A436" s="31" t="s">
        <v>145</v>
      </c>
      <c r="B436" s="39" t="s">
        <v>1969</v>
      </c>
      <c r="C436" s="30" t="s">
        <v>144</v>
      </c>
      <c r="D436" s="30" t="s">
        <v>97</v>
      </c>
      <c r="E436" s="20" t="s">
        <v>1954</v>
      </c>
      <c r="F436" s="26" t="s">
        <v>1961</v>
      </c>
      <c r="G436" s="30"/>
      <c r="H436" s="30"/>
      <c r="I436" s="29" t="e">
        <f>VLOOKUP(B436,#REF!,2,FALSE)</f>
        <v>#REF!</v>
      </c>
      <c r="J436" s="28"/>
      <c r="K436" s="28"/>
      <c r="L436" s="28"/>
      <c r="M436" s="28"/>
      <c r="N436" s="28"/>
      <c r="O436" s="28"/>
      <c r="P436" s="28"/>
      <c r="Q436" s="28"/>
      <c r="R436" s="28"/>
      <c r="S436" s="28"/>
      <c r="T436" s="28"/>
      <c r="U436" s="28"/>
      <c r="V436" s="28"/>
      <c r="W436" s="28"/>
      <c r="X436" s="28"/>
      <c r="Y436" s="28"/>
      <c r="Z436" s="28"/>
      <c r="AA436" s="28"/>
      <c r="AB436" s="28"/>
      <c r="AC436" s="28"/>
      <c r="AD436" s="28"/>
      <c r="AE436" s="28"/>
      <c r="AF436" s="28"/>
      <c r="AG436" s="28"/>
      <c r="AH436" s="28"/>
      <c r="AI436" s="28"/>
      <c r="AJ436" s="28"/>
      <c r="AK436" s="28"/>
      <c r="AL436" s="28"/>
      <c r="AM436" s="28"/>
      <c r="AN436" s="28"/>
      <c r="AO436" s="28"/>
      <c r="AP436" s="28"/>
      <c r="AQ436" s="28"/>
      <c r="AR436" s="28"/>
      <c r="AS436" s="28"/>
      <c r="AT436" s="28"/>
      <c r="AU436" s="28"/>
      <c r="AV436" s="28"/>
      <c r="AW436" s="28"/>
      <c r="AX436" s="28"/>
      <c r="AY436" s="28"/>
      <c r="AZ436" s="28"/>
      <c r="BA436" s="28"/>
      <c r="BB436" s="28"/>
      <c r="BC436" s="28"/>
      <c r="BD436" s="28"/>
      <c r="BE436" s="28"/>
      <c r="BF436" s="28"/>
      <c r="BG436" s="28"/>
      <c r="BH436" s="28"/>
      <c r="BI436" s="28"/>
      <c r="BJ436" s="28"/>
      <c r="BK436" s="28"/>
      <c r="BL436" s="28"/>
      <c r="BM436" s="28"/>
      <c r="BN436" s="28"/>
      <c r="BO436" s="28"/>
      <c r="BP436" s="28"/>
      <c r="BQ436" s="28"/>
      <c r="BR436" s="28"/>
      <c r="BS436" s="28"/>
      <c r="BT436" s="28"/>
      <c r="BU436" s="28"/>
      <c r="BV436" s="28"/>
      <c r="BW436" s="28"/>
      <c r="BX436" s="28"/>
      <c r="BY436" s="28"/>
      <c r="BZ436" s="28"/>
      <c r="CA436" s="28"/>
      <c r="CB436" s="28"/>
    </row>
    <row r="437" spans="1:80" hidden="1" x14ac:dyDescent="0.25">
      <c r="A437" s="33" t="s">
        <v>164</v>
      </c>
      <c r="B437" s="38" t="s">
        <v>162</v>
      </c>
      <c r="C437" s="32" t="s">
        <v>163</v>
      </c>
      <c r="D437" s="32" t="s">
        <v>52</v>
      </c>
      <c r="E437" s="21" t="s">
        <v>1954</v>
      </c>
      <c r="F437" s="25" t="s">
        <v>1961</v>
      </c>
      <c r="G437" s="32"/>
      <c r="H437" s="32"/>
      <c r="I437" s="29" t="e">
        <f>VLOOKUP(B437,#REF!,2,FALSE)</f>
        <v>#REF!</v>
      </c>
      <c r="J437" s="28"/>
      <c r="K437" s="28"/>
      <c r="L437" s="28"/>
      <c r="M437" s="28"/>
      <c r="N437" s="28"/>
      <c r="O437" s="28"/>
      <c r="P437" s="28"/>
      <c r="Q437" s="28"/>
      <c r="R437" s="28"/>
      <c r="S437" s="28"/>
      <c r="T437" s="28"/>
      <c r="U437" s="28"/>
      <c r="V437" s="28"/>
      <c r="W437" s="28"/>
      <c r="X437" s="28"/>
      <c r="Y437" s="28"/>
      <c r="Z437" s="28"/>
      <c r="AA437" s="28"/>
      <c r="AB437" s="28"/>
      <c r="AC437" s="28"/>
      <c r="AD437" s="28"/>
      <c r="AE437" s="28"/>
      <c r="AF437" s="28"/>
      <c r="AG437" s="28"/>
      <c r="AH437" s="28"/>
      <c r="AI437" s="28"/>
      <c r="AJ437" s="28"/>
      <c r="AK437" s="28"/>
      <c r="AL437" s="28"/>
      <c r="AM437" s="28"/>
      <c r="AN437" s="28"/>
      <c r="AO437" s="28"/>
      <c r="AP437" s="28"/>
      <c r="AQ437" s="28"/>
      <c r="AR437" s="28"/>
      <c r="AS437" s="28"/>
      <c r="AT437" s="28"/>
      <c r="AU437" s="28"/>
      <c r="AV437" s="28"/>
      <c r="AW437" s="28"/>
      <c r="AX437" s="28"/>
      <c r="AY437" s="28"/>
      <c r="AZ437" s="28"/>
      <c r="BA437" s="28"/>
      <c r="BB437" s="28"/>
      <c r="BC437" s="28"/>
      <c r="BD437" s="28"/>
      <c r="BE437" s="28"/>
      <c r="BF437" s="28"/>
      <c r="BG437" s="28"/>
      <c r="BH437" s="28"/>
      <c r="BI437" s="28"/>
      <c r="BJ437" s="28"/>
      <c r="BK437" s="28"/>
      <c r="BL437" s="28"/>
      <c r="BM437" s="28"/>
      <c r="BN437" s="28"/>
      <c r="BO437" s="28"/>
      <c r="BP437" s="28"/>
      <c r="BQ437" s="28"/>
      <c r="BR437" s="28"/>
      <c r="BS437" s="28"/>
      <c r="BT437" s="28"/>
      <c r="BU437" s="28"/>
      <c r="BV437" s="28"/>
      <c r="BW437" s="28"/>
      <c r="BX437" s="28"/>
      <c r="BY437" s="28"/>
      <c r="BZ437" s="28"/>
      <c r="CA437" s="28"/>
      <c r="CB437" s="28"/>
    </row>
    <row r="438" spans="1:80" hidden="1" x14ac:dyDescent="0.25">
      <c r="A438" s="31" t="s">
        <v>174</v>
      </c>
      <c r="B438" s="39" t="s">
        <v>172</v>
      </c>
      <c r="C438" s="30" t="s">
        <v>173</v>
      </c>
      <c r="D438" s="30" t="s">
        <v>97</v>
      </c>
      <c r="E438" s="20" t="s">
        <v>1954</v>
      </c>
      <c r="F438" s="26" t="s">
        <v>1961</v>
      </c>
      <c r="G438" s="30"/>
      <c r="H438" s="30"/>
      <c r="I438" s="29" t="e">
        <f>VLOOKUP(B438,#REF!,2,FALSE)</f>
        <v>#REF!</v>
      </c>
      <c r="J438" s="28"/>
      <c r="K438" s="28"/>
      <c r="L438" s="28"/>
      <c r="M438" s="28"/>
      <c r="N438" s="28"/>
      <c r="O438" s="28"/>
      <c r="P438" s="28"/>
      <c r="Q438" s="28"/>
      <c r="R438" s="28"/>
      <c r="S438" s="28"/>
      <c r="T438" s="28"/>
      <c r="U438" s="28"/>
      <c r="V438" s="28"/>
      <c r="W438" s="28"/>
      <c r="X438" s="28"/>
      <c r="Y438" s="28"/>
      <c r="Z438" s="28"/>
      <c r="AA438" s="28"/>
      <c r="AB438" s="28"/>
      <c r="AC438" s="28"/>
      <c r="AD438" s="28"/>
      <c r="AE438" s="28"/>
      <c r="AF438" s="28"/>
      <c r="AG438" s="28"/>
      <c r="AH438" s="28"/>
      <c r="AI438" s="28"/>
      <c r="AJ438" s="28"/>
      <c r="AK438" s="28"/>
      <c r="AL438" s="28"/>
      <c r="AM438" s="28"/>
      <c r="AN438" s="28"/>
      <c r="AO438" s="28"/>
      <c r="AP438" s="28"/>
      <c r="AQ438" s="28"/>
      <c r="AR438" s="28"/>
      <c r="AS438" s="28"/>
      <c r="AT438" s="28"/>
      <c r="AU438" s="28"/>
      <c r="AV438" s="28"/>
      <c r="AW438" s="28"/>
      <c r="AX438" s="28"/>
      <c r="AY438" s="28"/>
      <c r="AZ438" s="28"/>
      <c r="BA438" s="28"/>
      <c r="BB438" s="28"/>
      <c r="BC438" s="28"/>
      <c r="BD438" s="28"/>
      <c r="BE438" s="28"/>
      <c r="BF438" s="28"/>
      <c r="BG438" s="28"/>
      <c r="BH438" s="28"/>
      <c r="BI438" s="28"/>
      <c r="BJ438" s="28"/>
      <c r="BK438" s="28"/>
      <c r="BL438" s="28"/>
      <c r="BM438" s="28"/>
      <c r="BN438" s="28"/>
      <c r="BO438" s="28"/>
      <c r="BP438" s="28"/>
      <c r="BQ438" s="28"/>
      <c r="BR438" s="28"/>
      <c r="BS438" s="28"/>
      <c r="BT438" s="28"/>
      <c r="BU438" s="28"/>
      <c r="BV438" s="28"/>
      <c r="BW438" s="28"/>
      <c r="BX438" s="28"/>
      <c r="BY438" s="28"/>
      <c r="BZ438" s="28"/>
      <c r="CA438" s="28"/>
      <c r="CB438" s="28"/>
    </row>
    <row r="439" spans="1:80" hidden="1" x14ac:dyDescent="0.25">
      <c r="A439" s="31" t="s">
        <v>176</v>
      </c>
      <c r="B439" s="39" t="s">
        <v>163</v>
      </c>
      <c r="C439" s="30" t="s">
        <v>175</v>
      </c>
      <c r="D439" s="30" t="s">
        <v>52</v>
      </c>
      <c r="E439" s="20" t="s">
        <v>1954</v>
      </c>
      <c r="F439" s="26" t="s">
        <v>1961</v>
      </c>
      <c r="G439" s="30"/>
      <c r="H439" s="30"/>
      <c r="I439" s="29" t="e">
        <f>VLOOKUP(B439,#REF!,2,FALSE)</f>
        <v>#REF!</v>
      </c>
      <c r="J439" s="28"/>
      <c r="K439" s="28"/>
      <c r="L439" s="28"/>
      <c r="M439" s="28"/>
      <c r="N439" s="28"/>
      <c r="O439" s="28"/>
      <c r="P439" s="28"/>
      <c r="Q439" s="28"/>
      <c r="R439" s="28"/>
      <c r="S439" s="28"/>
      <c r="T439" s="28"/>
      <c r="U439" s="28"/>
      <c r="V439" s="28"/>
      <c r="W439" s="28"/>
      <c r="X439" s="28"/>
      <c r="Y439" s="28"/>
      <c r="Z439" s="28"/>
      <c r="AA439" s="28"/>
      <c r="AB439" s="28"/>
      <c r="AC439" s="28"/>
      <c r="AD439" s="28"/>
      <c r="AE439" s="28"/>
      <c r="AF439" s="28"/>
      <c r="AG439" s="28"/>
      <c r="AH439" s="28"/>
      <c r="AI439" s="28"/>
      <c r="AJ439" s="28"/>
      <c r="AK439" s="28"/>
      <c r="AL439" s="28"/>
      <c r="AM439" s="28"/>
      <c r="AN439" s="28"/>
      <c r="AO439" s="28"/>
      <c r="AP439" s="28"/>
      <c r="AQ439" s="28"/>
      <c r="AR439" s="28"/>
      <c r="AS439" s="28"/>
      <c r="AT439" s="28"/>
      <c r="AU439" s="28"/>
      <c r="AV439" s="28"/>
      <c r="AW439" s="28"/>
      <c r="AX439" s="28"/>
      <c r="AY439" s="28"/>
      <c r="AZ439" s="28"/>
      <c r="BA439" s="28"/>
      <c r="BB439" s="28"/>
      <c r="BC439" s="28"/>
      <c r="BD439" s="28"/>
      <c r="BE439" s="28"/>
      <c r="BF439" s="28"/>
      <c r="BG439" s="28"/>
      <c r="BH439" s="28"/>
      <c r="BI439" s="28"/>
      <c r="BJ439" s="28"/>
      <c r="BK439" s="28"/>
      <c r="BL439" s="28"/>
      <c r="BM439" s="28"/>
      <c r="BN439" s="28"/>
      <c r="BO439" s="28"/>
      <c r="BP439" s="28"/>
      <c r="BQ439" s="28"/>
      <c r="BR439" s="28"/>
      <c r="BS439" s="28"/>
      <c r="BT439" s="28"/>
      <c r="BU439" s="28"/>
      <c r="BV439" s="28"/>
      <c r="BW439" s="28"/>
      <c r="BX439" s="28"/>
      <c r="BY439" s="28"/>
      <c r="BZ439" s="28"/>
      <c r="CA439" s="28"/>
      <c r="CB439" s="28"/>
    </row>
    <row r="440" spans="1:80" hidden="1" x14ac:dyDescent="0.25">
      <c r="A440" s="31" t="s">
        <v>208</v>
      </c>
      <c r="B440" s="39" t="s">
        <v>1970</v>
      </c>
      <c r="C440" s="30" t="s">
        <v>1971</v>
      </c>
      <c r="D440" s="30" t="s">
        <v>52</v>
      </c>
      <c r="E440" s="20" t="s">
        <v>1954</v>
      </c>
      <c r="F440" s="26" t="s">
        <v>1961</v>
      </c>
      <c r="G440" s="30"/>
      <c r="H440" s="30"/>
      <c r="I440" s="29" t="e">
        <f>VLOOKUP(B440,#REF!,2,FALSE)</f>
        <v>#REF!</v>
      </c>
      <c r="J440" s="28"/>
      <c r="K440" s="28"/>
      <c r="L440" s="28"/>
      <c r="M440" s="28"/>
      <c r="N440" s="28"/>
      <c r="O440" s="28"/>
      <c r="P440" s="28"/>
      <c r="Q440" s="28"/>
      <c r="R440" s="28"/>
      <c r="S440" s="28"/>
      <c r="T440" s="28"/>
      <c r="U440" s="28"/>
      <c r="V440" s="28"/>
      <c r="W440" s="28"/>
      <c r="X440" s="28"/>
      <c r="Y440" s="28"/>
      <c r="Z440" s="28"/>
      <c r="AA440" s="28"/>
      <c r="AB440" s="28"/>
      <c r="AC440" s="28"/>
      <c r="AD440" s="28"/>
      <c r="AE440" s="28"/>
      <c r="AF440" s="28"/>
      <c r="AG440" s="28"/>
      <c r="AH440" s="28"/>
      <c r="AI440" s="28"/>
      <c r="AJ440" s="28"/>
      <c r="AK440" s="28"/>
      <c r="AL440" s="28"/>
      <c r="AM440" s="28"/>
      <c r="AN440" s="28"/>
      <c r="AO440" s="28"/>
      <c r="AP440" s="28"/>
      <c r="AQ440" s="28"/>
      <c r="AR440" s="28"/>
      <c r="AS440" s="28"/>
      <c r="AT440" s="28"/>
      <c r="AU440" s="28"/>
      <c r="AV440" s="28"/>
      <c r="AW440" s="28"/>
      <c r="AX440" s="28"/>
      <c r="AY440" s="28"/>
      <c r="AZ440" s="28"/>
      <c r="BA440" s="28"/>
      <c r="BB440" s="28"/>
      <c r="BC440" s="28"/>
      <c r="BD440" s="28"/>
      <c r="BE440" s="28"/>
      <c r="BF440" s="28"/>
      <c r="BG440" s="28"/>
      <c r="BH440" s="28"/>
      <c r="BI440" s="28"/>
      <c r="BJ440" s="28"/>
      <c r="BK440" s="28"/>
      <c r="BL440" s="28"/>
      <c r="BM440" s="28"/>
      <c r="BN440" s="28"/>
      <c r="BO440" s="28"/>
      <c r="BP440" s="28"/>
      <c r="BQ440" s="28"/>
      <c r="BR440" s="28"/>
      <c r="BS440" s="28"/>
      <c r="BT440" s="28"/>
      <c r="BU440" s="28"/>
      <c r="BV440" s="28"/>
      <c r="BW440" s="28"/>
      <c r="BX440" s="28"/>
      <c r="BY440" s="28"/>
      <c r="BZ440" s="28"/>
      <c r="CA440" s="28"/>
      <c r="CB440" s="28"/>
    </row>
    <row r="441" spans="1:80" hidden="1" x14ac:dyDescent="0.25">
      <c r="A441" s="31" t="s">
        <v>1032</v>
      </c>
      <c r="B441" s="39" t="s">
        <v>1972</v>
      </c>
      <c r="C441" s="30" t="s">
        <v>1701</v>
      </c>
      <c r="D441" s="30" t="s">
        <v>52</v>
      </c>
      <c r="E441" s="20" t="s">
        <v>1954</v>
      </c>
      <c r="F441" s="26" t="s">
        <v>1961</v>
      </c>
      <c r="G441" s="30"/>
      <c r="H441" s="30"/>
      <c r="I441" s="29" t="e">
        <f>VLOOKUP(B441,#REF!,2,FALSE)</f>
        <v>#REF!</v>
      </c>
      <c r="J441" s="28"/>
      <c r="K441" s="28"/>
      <c r="L441" s="28"/>
      <c r="M441" s="28"/>
      <c r="N441" s="28"/>
      <c r="O441" s="28"/>
      <c r="P441" s="28"/>
      <c r="Q441" s="28"/>
      <c r="R441" s="28"/>
      <c r="S441" s="28"/>
      <c r="T441" s="28"/>
      <c r="U441" s="28"/>
      <c r="V441" s="28"/>
      <c r="W441" s="28"/>
      <c r="X441" s="28"/>
      <c r="Y441" s="28"/>
      <c r="Z441" s="28"/>
      <c r="AA441" s="28"/>
      <c r="AB441" s="28"/>
      <c r="AC441" s="28"/>
      <c r="AD441" s="28"/>
      <c r="AE441" s="28"/>
      <c r="AF441" s="28"/>
      <c r="AG441" s="28"/>
      <c r="AH441" s="28"/>
      <c r="AI441" s="28"/>
      <c r="AJ441" s="28"/>
      <c r="AK441" s="28"/>
      <c r="AL441" s="28"/>
      <c r="AM441" s="28"/>
      <c r="AN441" s="28"/>
      <c r="AO441" s="28"/>
      <c r="AP441" s="28"/>
      <c r="AQ441" s="28"/>
      <c r="AR441" s="28"/>
      <c r="AS441" s="28"/>
      <c r="AT441" s="28"/>
      <c r="AU441" s="28"/>
      <c r="AV441" s="28"/>
      <c r="AW441" s="28"/>
      <c r="AX441" s="28"/>
      <c r="AY441" s="28"/>
      <c r="AZ441" s="28"/>
      <c r="BA441" s="28"/>
      <c r="BB441" s="28"/>
      <c r="BC441" s="28"/>
      <c r="BD441" s="28"/>
      <c r="BE441" s="28"/>
      <c r="BF441" s="28"/>
      <c r="BG441" s="28"/>
      <c r="BH441" s="28"/>
      <c r="BI441" s="28"/>
      <c r="BJ441" s="28"/>
      <c r="BK441" s="28"/>
      <c r="BL441" s="28"/>
      <c r="BM441" s="28"/>
      <c r="BN441" s="28"/>
      <c r="BO441" s="28"/>
      <c r="BP441" s="28"/>
      <c r="BQ441" s="28"/>
      <c r="BR441" s="28"/>
      <c r="BS441" s="28"/>
      <c r="BT441" s="28"/>
      <c r="BU441" s="28"/>
      <c r="BV441" s="28"/>
      <c r="BW441" s="28"/>
      <c r="BX441" s="28"/>
      <c r="BY441" s="28"/>
      <c r="BZ441" s="28"/>
      <c r="CA441" s="28"/>
      <c r="CB441" s="28"/>
    </row>
    <row r="442" spans="1:80" hidden="1" x14ac:dyDescent="0.25">
      <c r="A442" s="31" t="s">
        <v>218</v>
      </c>
      <c r="B442" s="39" t="s">
        <v>1973</v>
      </c>
      <c r="C442" s="30" t="s">
        <v>1974</v>
      </c>
      <c r="D442" s="30" t="s">
        <v>78</v>
      </c>
      <c r="E442" s="20" t="s">
        <v>1954</v>
      </c>
      <c r="F442" s="26" t="s">
        <v>1961</v>
      </c>
      <c r="G442" s="30" t="s">
        <v>1668</v>
      </c>
      <c r="H442" s="30"/>
      <c r="I442" s="29" t="e">
        <f>VLOOKUP(B442,#REF!,2,FALSE)</f>
        <v>#REF!</v>
      </c>
      <c r="J442" s="28"/>
      <c r="K442" s="28"/>
      <c r="L442" s="28"/>
      <c r="M442" s="28"/>
      <c r="N442" s="28"/>
      <c r="O442" s="28"/>
      <c r="P442" s="28"/>
      <c r="Q442" s="28"/>
      <c r="R442" s="28"/>
      <c r="S442" s="28"/>
      <c r="T442" s="28"/>
      <c r="U442" s="28"/>
      <c r="V442" s="28"/>
      <c r="W442" s="28"/>
      <c r="X442" s="28"/>
      <c r="Y442" s="28"/>
      <c r="Z442" s="28"/>
      <c r="AA442" s="28"/>
      <c r="AB442" s="28"/>
      <c r="AC442" s="28"/>
      <c r="AD442" s="28"/>
      <c r="AE442" s="28"/>
      <c r="AF442" s="28"/>
      <c r="AG442" s="28"/>
      <c r="AH442" s="28"/>
      <c r="AI442" s="28"/>
      <c r="AJ442" s="28"/>
      <c r="AK442" s="28"/>
      <c r="AL442" s="28"/>
      <c r="AM442" s="28"/>
      <c r="AN442" s="28"/>
      <c r="AO442" s="28"/>
      <c r="AP442" s="28"/>
      <c r="AQ442" s="28"/>
      <c r="AR442" s="28"/>
      <c r="AS442" s="28"/>
      <c r="AT442" s="28"/>
      <c r="AU442" s="28"/>
      <c r="AV442" s="28"/>
      <c r="AW442" s="28"/>
      <c r="AX442" s="28"/>
      <c r="AY442" s="28"/>
      <c r="AZ442" s="28"/>
      <c r="BA442" s="28"/>
      <c r="BB442" s="28"/>
      <c r="BC442" s="28"/>
      <c r="BD442" s="28"/>
      <c r="BE442" s="28"/>
      <c r="BF442" s="28"/>
      <c r="BG442" s="28"/>
      <c r="BH442" s="28"/>
      <c r="BI442" s="28"/>
      <c r="BJ442" s="28"/>
      <c r="BK442" s="28"/>
      <c r="BL442" s="28"/>
      <c r="BM442" s="28"/>
      <c r="BN442" s="28"/>
      <c r="BO442" s="28"/>
      <c r="BP442" s="28"/>
      <c r="BQ442" s="28"/>
      <c r="BR442" s="28"/>
      <c r="BS442" s="28"/>
      <c r="BT442" s="28"/>
      <c r="BU442" s="28"/>
      <c r="BV442" s="28"/>
      <c r="BW442" s="28"/>
      <c r="BX442" s="28"/>
      <c r="BY442" s="28"/>
      <c r="BZ442" s="28"/>
      <c r="CA442" s="28"/>
      <c r="CB442" s="28"/>
    </row>
    <row r="443" spans="1:80" hidden="1" x14ac:dyDescent="0.25">
      <c r="A443" s="31" t="s">
        <v>220</v>
      </c>
      <c r="B443" s="39" t="s">
        <v>219</v>
      </c>
      <c r="C443" s="30" t="s">
        <v>116</v>
      </c>
      <c r="D443" s="30" t="s">
        <v>52</v>
      </c>
      <c r="E443" s="20" t="s">
        <v>1954</v>
      </c>
      <c r="F443" s="26" t="s">
        <v>1961</v>
      </c>
      <c r="G443" s="30"/>
      <c r="H443" s="30"/>
      <c r="I443" s="29" t="e">
        <f>VLOOKUP(B443,#REF!,2,FALSE)</f>
        <v>#REF!</v>
      </c>
      <c r="J443" s="28"/>
      <c r="K443" s="28"/>
      <c r="L443" s="28"/>
      <c r="M443" s="28"/>
      <c r="N443" s="28"/>
      <c r="O443" s="28"/>
      <c r="P443" s="28"/>
      <c r="Q443" s="28"/>
      <c r="R443" s="28"/>
      <c r="S443" s="28"/>
      <c r="T443" s="28"/>
      <c r="U443" s="28"/>
      <c r="V443" s="28"/>
      <c r="W443" s="28"/>
      <c r="X443" s="28"/>
      <c r="Y443" s="28"/>
      <c r="Z443" s="28"/>
      <c r="AA443" s="28"/>
      <c r="AB443" s="28"/>
      <c r="AC443" s="28"/>
      <c r="AD443" s="28"/>
      <c r="AE443" s="28"/>
      <c r="AF443" s="28"/>
      <c r="AG443" s="28"/>
      <c r="AH443" s="28"/>
      <c r="AI443" s="28"/>
      <c r="AJ443" s="28"/>
      <c r="AK443" s="28"/>
      <c r="AL443" s="28"/>
      <c r="AM443" s="28"/>
      <c r="AN443" s="28"/>
      <c r="AO443" s="28"/>
      <c r="AP443" s="28"/>
      <c r="AQ443" s="28"/>
      <c r="AR443" s="28"/>
      <c r="AS443" s="28"/>
      <c r="AT443" s="28"/>
      <c r="AU443" s="28"/>
      <c r="AV443" s="28"/>
      <c r="AW443" s="28"/>
      <c r="AX443" s="28"/>
      <c r="AY443" s="28"/>
      <c r="AZ443" s="28"/>
      <c r="BA443" s="28"/>
      <c r="BB443" s="28"/>
      <c r="BC443" s="28"/>
      <c r="BD443" s="28"/>
      <c r="BE443" s="28"/>
      <c r="BF443" s="28"/>
      <c r="BG443" s="28"/>
      <c r="BH443" s="28"/>
      <c r="BI443" s="28"/>
      <c r="BJ443" s="28"/>
      <c r="BK443" s="28"/>
      <c r="BL443" s="28"/>
      <c r="BM443" s="28"/>
      <c r="BN443" s="28"/>
      <c r="BO443" s="28"/>
      <c r="BP443" s="28"/>
      <c r="BQ443" s="28"/>
      <c r="BR443" s="28"/>
      <c r="BS443" s="28"/>
      <c r="BT443" s="28"/>
      <c r="BU443" s="28"/>
      <c r="BV443" s="28"/>
      <c r="BW443" s="28"/>
      <c r="BX443" s="28"/>
      <c r="BY443" s="28"/>
      <c r="BZ443" s="28"/>
      <c r="CA443" s="28"/>
      <c r="CB443" s="28"/>
    </row>
    <row r="444" spans="1:80" hidden="1" x14ac:dyDescent="0.25">
      <c r="A444" s="31" t="s">
        <v>229</v>
      </c>
      <c r="B444" s="39" t="s">
        <v>227</v>
      </c>
      <c r="C444" s="30" t="s">
        <v>228</v>
      </c>
      <c r="D444" s="30" t="s">
        <v>52</v>
      </c>
      <c r="E444" s="20" t="s">
        <v>1954</v>
      </c>
      <c r="F444" s="26" t="s">
        <v>1961</v>
      </c>
      <c r="G444" s="30"/>
      <c r="H444" s="30"/>
      <c r="I444" s="29" t="e">
        <f>VLOOKUP(B444,#REF!,2,FALSE)</f>
        <v>#REF!</v>
      </c>
      <c r="J444" s="28"/>
      <c r="K444" s="28"/>
      <c r="L444" s="28"/>
      <c r="M444" s="28"/>
      <c r="N444" s="28"/>
      <c r="O444" s="28"/>
      <c r="P444" s="28"/>
      <c r="Q444" s="28"/>
      <c r="R444" s="28"/>
      <c r="S444" s="28"/>
      <c r="T444" s="28"/>
      <c r="U444" s="28"/>
      <c r="V444" s="28"/>
      <c r="W444" s="28"/>
      <c r="X444" s="28"/>
      <c r="Y444" s="28"/>
      <c r="Z444" s="28"/>
      <c r="AA444" s="28"/>
      <c r="AB444" s="28"/>
      <c r="AC444" s="28"/>
      <c r="AD444" s="28"/>
      <c r="AE444" s="28"/>
      <c r="AF444" s="28"/>
      <c r="AG444" s="28"/>
      <c r="AH444" s="28"/>
      <c r="AI444" s="28"/>
      <c r="AJ444" s="28"/>
      <c r="AK444" s="28"/>
      <c r="AL444" s="28"/>
      <c r="AM444" s="28"/>
      <c r="AN444" s="28"/>
      <c r="AO444" s="28"/>
      <c r="AP444" s="28"/>
      <c r="AQ444" s="28"/>
      <c r="AR444" s="28"/>
      <c r="AS444" s="28"/>
      <c r="AT444" s="28"/>
      <c r="AU444" s="28"/>
      <c r="AV444" s="28"/>
      <c r="AW444" s="28"/>
      <c r="AX444" s="28"/>
      <c r="AY444" s="28"/>
      <c r="AZ444" s="28"/>
      <c r="BA444" s="28"/>
      <c r="BB444" s="28"/>
      <c r="BC444" s="28"/>
      <c r="BD444" s="28"/>
      <c r="BE444" s="28"/>
      <c r="BF444" s="28"/>
      <c r="BG444" s="28"/>
      <c r="BH444" s="28"/>
      <c r="BI444" s="28"/>
      <c r="BJ444" s="28"/>
      <c r="BK444" s="28"/>
      <c r="BL444" s="28"/>
      <c r="BM444" s="28"/>
      <c r="BN444" s="28"/>
      <c r="BO444" s="28"/>
      <c r="BP444" s="28"/>
      <c r="BQ444" s="28"/>
      <c r="BR444" s="28"/>
      <c r="BS444" s="28"/>
      <c r="BT444" s="28"/>
      <c r="BU444" s="28"/>
      <c r="BV444" s="28"/>
      <c r="BW444" s="28"/>
      <c r="BX444" s="28"/>
      <c r="BY444" s="28"/>
      <c r="BZ444" s="28"/>
      <c r="CA444" s="28"/>
      <c r="CB444" s="28"/>
    </row>
    <row r="445" spans="1:80" hidden="1" x14ac:dyDescent="0.25">
      <c r="A445" s="33" t="s">
        <v>240</v>
      </c>
      <c r="B445" s="38" t="s">
        <v>238</v>
      </c>
      <c r="C445" s="32" t="s">
        <v>239</v>
      </c>
      <c r="D445" s="32" t="s">
        <v>78</v>
      </c>
      <c r="E445" s="21" t="s">
        <v>1954</v>
      </c>
      <c r="F445" s="25" t="s">
        <v>1961</v>
      </c>
      <c r="G445" s="32"/>
      <c r="H445" s="32"/>
      <c r="I445" s="29" t="e">
        <f>VLOOKUP(B445,#REF!,2,FALSE)</f>
        <v>#REF!</v>
      </c>
      <c r="J445" s="28"/>
      <c r="K445" s="28"/>
      <c r="L445" s="28"/>
      <c r="M445" s="28"/>
      <c r="N445" s="28"/>
      <c r="O445" s="28"/>
      <c r="P445" s="28"/>
      <c r="Q445" s="28"/>
      <c r="R445" s="28"/>
      <c r="S445" s="28"/>
      <c r="T445" s="28"/>
      <c r="U445" s="28"/>
      <c r="V445" s="28"/>
      <c r="W445" s="28"/>
      <c r="X445" s="28"/>
      <c r="Y445" s="28"/>
      <c r="Z445" s="28"/>
      <c r="AA445" s="28"/>
      <c r="AB445" s="28"/>
      <c r="AC445" s="28"/>
      <c r="AD445" s="28"/>
      <c r="AE445" s="28"/>
      <c r="AF445" s="28"/>
      <c r="AG445" s="28"/>
      <c r="AH445" s="28"/>
      <c r="AI445" s="28"/>
      <c r="AJ445" s="28"/>
      <c r="AK445" s="28"/>
      <c r="AL445" s="28"/>
      <c r="AM445" s="28"/>
      <c r="AN445" s="28"/>
      <c r="AO445" s="28"/>
      <c r="AP445" s="28"/>
      <c r="AQ445" s="28"/>
      <c r="AR445" s="28"/>
      <c r="AS445" s="28"/>
      <c r="AT445" s="28"/>
      <c r="AU445" s="28"/>
      <c r="AV445" s="28"/>
      <c r="AW445" s="28"/>
      <c r="AX445" s="28"/>
      <c r="AY445" s="28"/>
      <c r="AZ445" s="28"/>
      <c r="BA445" s="28"/>
      <c r="BB445" s="28"/>
      <c r="BC445" s="28"/>
      <c r="BD445" s="28"/>
      <c r="BE445" s="28"/>
      <c r="BF445" s="28"/>
      <c r="BG445" s="28"/>
      <c r="BH445" s="28"/>
      <c r="BI445" s="28"/>
      <c r="BJ445" s="28"/>
      <c r="BK445" s="28"/>
      <c r="BL445" s="28"/>
      <c r="BM445" s="28"/>
      <c r="BN445" s="28"/>
      <c r="BO445" s="28"/>
      <c r="BP445" s="28"/>
      <c r="BQ445" s="28"/>
      <c r="BR445" s="28"/>
      <c r="BS445" s="28"/>
      <c r="BT445" s="28"/>
      <c r="BU445" s="28"/>
      <c r="BV445" s="28"/>
      <c r="BW445" s="28"/>
      <c r="BX445" s="28"/>
      <c r="BY445" s="28"/>
      <c r="BZ445" s="28"/>
      <c r="CA445" s="28"/>
      <c r="CB445" s="28"/>
    </row>
    <row r="446" spans="1:80" hidden="1" x14ac:dyDescent="0.25">
      <c r="A446" s="31" t="s">
        <v>1975</v>
      </c>
      <c r="B446" s="39" t="s">
        <v>311</v>
      </c>
      <c r="C446" s="30" t="s">
        <v>1976</v>
      </c>
      <c r="D446" s="30" t="s">
        <v>10</v>
      </c>
      <c r="E446" s="20" t="s">
        <v>1954</v>
      </c>
      <c r="F446" s="26" t="s">
        <v>1961</v>
      </c>
      <c r="G446" s="30"/>
      <c r="H446" s="30"/>
      <c r="I446" s="29" t="e">
        <f>VLOOKUP(B446,#REF!,2,FALSE)</f>
        <v>#REF!</v>
      </c>
      <c r="J446" s="28"/>
      <c r="K446" s="28"/>
      <c r="L446" s="28"/>
      <c r="M446" s="28"/>
      <c r="N446" s="28"/>
      <c r="O446" s="28"/>
      <c r="P446" s="28"/>
      <c r="Q446" s="28"/>
      <c r="R446" s="28"/>
      <c r="S446" s="28"/>
      <c r="T446" s="28"/>
      <c r="U446" s="28"/>
      <c r="V446" s="28"/>
      <c r="W446" s="28"/>
      <c r="X446" s="28"/>
      <c r="Y446" s="28"/>
      <c r="Z446" s="28"/>
      <c r="AA446" s="28"/>
      <c r="AB446" s="28"/>
      <c r="AC446" s="28"/>
      <c r="AD446" s="28"/>
      <c r="AE446" s="28"/>
      <c r="AF446" s="28"/>
      <c r="AG446" s="28"/>
      <c r="AH446" s="28"/>
      <c r="AI446" s="28"/>
      <c r="AJ446" s="28"/>
      <c r="AK446" s="28"/>
      <c r="AL446" s="28"/>
      <c r="AM446" s="28"/>
      <c r="AN446" s="28"/>
      <c r="AO446" s="28"/>
      <c r="AP446" s="28"/>
      <c r="AQ446" s="28"/>
      <c r="AR446" s="28"/>
      <c r="AS446" s="28"/>
      <c r="AT446" s="28"/>
      <c r="AU446" s="28"/>
      <c r="AV446" s="28"/>
      <c r="AW446" s="28"/>
      <c r="AX446" s="28"/>
      <c r="AY446" s="28"/>
      <c r="AZ446" s="28"/>
      <c r="BA446" s="28"/>
      <c r="BB446" s="28"/>
      <c r="BC446" s="28"/>
      <c r="BD446" s="28"/>
      <c r="BE446" s="28"/>
      <c r="BF446" s="28"/>
      <c r="BG446" s="28"/>
      <c r="BH446" s="28"/>
      <c r="BI446" s="28"/>
      <c r="BJ446" s="28"/>
      <c r="BK446" s="28"/>
      <c r="BL446" s="28"/>
      <c r="BM446" s="28"/>
      <c r="BN446" s="28"/>
      <c r="BO446" s="28"/>
      <c r="BP446" s="28"/>
      <c r="BQ446" s="28"/>
      <c r="BR446" s="28"/>
      <c r="BS446" s="28"/>
      <c r="BT446" s="28"/>
      <c r="BU446" s="28"/>
      <c r="BV446" s="28"/>
      <c r="BW446" s="28"/>
      <c r="BX446" s="28"/>
      <c r="BY446" s="28"/>
      <c r="BZ446" s="28"/>
      <c r="CA446" s="28"/>
      <c r="CB446" s="28"/>
    </row>
    <row r="447" spans="1:80" hidden="1" x14ac:dyDescent="0.25">
      <c r="A447" s="31" t="s">
        <v>250</v>
      </c>
      <c r="B447" s="39" t="s">
        <v>248</v>
      </c>
      <c r="C447" s="30" t="s">
        <v>249</v>
      </c>
      <c r="D447" s="30" t="s">
        <v>52</v>
      </c>
      <c r="E447" s="20" t="s">
        <v>1954</v>
      </c>
      <c r="F447" s="26" t="s">
        <v>1961</v>
      </c>
      <c r="G447" s="30"/>
      <c r="H447" s="30"/>
      <c r="I447" s="29" t="e">
        <f>VLOOKUP(B447,#REF!,2,FALSE)</f>
        <v>#REF!</v>
      </c>
      <c r="J447" s="28"/>
      <c r="K447" s="28"/>
      <c r="L447" s="28"/>
      <c r="M447" s="28"/>
      <c r="N447" s="28"/>
      <c r="O447" s="28"/>
      <c r="P447" s="28"/>
      <c r="Q447" s="28"/>
      <c r="R447" s="28"/>
      <c r="S447" s="28"/>
      <c r="T447" s="28"/>
      <c r="U447" s="28"/>
      <c r="V447" s="28"/>
      <c r="W447" s="28"/>
      <c r="X447" s="28"/>
      <c r="Y447" s="28"/>
      <c r="Z447" s="28"/>
      <c r="AA447" s="28"/>
      <c r="AB447" s="28"/>
      <c r="AC447" s="28"/>
      <c r="AD447" s="28"/>
      <c r="AE447" s="28"/>
      <c r="AF447" s="28"/>
      <c r="AG447" s="28"/>
      <c r="AH447" s="28"/>
      <c r="AI447" s="28"/>
      <c r="AJ447" s="28"/>
      <c r="AK447" s="28"/>
      <c r="AL447" s="28"/>
      <c r="AM447" s="28"/>
      <c r="AN447" s="28"/>
      <c r="AO447" s="28"/>
      <c r="AP447" s="28"/>
      <c r="AQ447" s="28"/>
      <c r="AR447" s="28"/>
      <c r="AS447" s="28"/>
      <c r="AT447" s="28"/>
      <c r="AU447" s="28"/>
      <c r="AV447" s="28"/>
      <c r="AW447" s="28"/>
      <c r="AX447" s="28"/>
      <c r="AY447" s="28"/>
      <c r="AZ447" s="28"/>
      <c r="BA447" s="28"/>
      <c r="BB447" s="28"/>
      <c r="BC447" s="28"/>
      <c r="BD447" s="28"/>
      <c r="BE447" s="28"/>
      <c r="BF447" s="28"/>
      <c r="BG447" s="28"/>
      <c r="BH447" s="28"/>
      <c r="BI447" s="28"/>
      <c r="BJ447" s="28"/>
      <c r="BK447" s="28"/>
      <c r="BL447" s="28"/>
      <c r="BM447" s="28"/>
      <c r="BN447" s="28"/>
      <c r="BO447" s="28"/>
      <c r="BP447" s="28"/>
      <c r="BQ447" s="28"/>
      <c r="BR447" s="28"/>
      <c r="BS447" s="28"/>
      <c r="BT447" s="28"/>
      <c r="BU447" s="28"/>
      <c r="BV447" s="28"/>
      <c r="BW447" s="28"/>
      <c r="BX447" s="28"/>
      <c r="BY447" s="28"/>
      <c r="BZ447" s="28"/>
      <c r="CA447" s="28"/>
      <c r="CB447" s="28"/>
    </row>
    <row r="448" spans="1:80" hidden="1" x14ac:dyDescent="0.25">
      <c r="A448" s="31" t="s">
        <v>254</v>
      </c>
      <c r="B448" s="39" t="s">
        <v>253</v>
      </c>
      <c r="C448" s="30" t="s">
        <v>107</v>
      </c>
      <c r="D448" s="30" t="s">
        <v>97</v>
      </c>
      <c r="E448" s="20" t="s">
        <v>1954</v>
      </c>
      <c r="F448" s="26" t="s">
        <v>1961</v>
      </c>
      <c r="G448" s="30"/>
      <c r="H448" s="30"/>
      <c r="I448" s="29" t="e">
        <f>VLOOKUP(B448,#REF!,2,FALSE)</f>
        <v>#REF!</v>
      </c>
      <c r="J448" s="28"/>
      <c r="K448" s="28"/>
      <c r="L448" s="28"/>
      <c r="M448" s="28"/>
      <c r="N448" s="28"/>
      <c r="O448" s="28"/>
      <c r="P448" s="28"/>
      <c r="Q448" s="28"/>
      <c r="R448" s="28"/>
      <c r="S448" s="28"/>
      <c r="T448" s="28"/>
      <c r="U448" s="28"/>
      <c r="V448" s="28"/>
      <c r="W448" s="28"/>
      <c r="X448" s="28"/>
      <c r="Y448" s="28"/>
      <c r="Z448" s="28"/>
      <c r="AA448" s="28"/>
      <c r="AB448" s="28"/>
      <c r="AC448" s="28"/>
      <c r="AD448" s="28"/>
      <c r="AE448" s="28"/>
      <c r="AF448" s="28"/>
      <c r="AG448" s="28"/>
      <c r="AH448" s="28"/>
      <c r="AI448" s="28"/>
      <c r="AJ448" s="28"/>
      <c r="AK448" s="28"/>
      <c r="AL448" s="28"/>
      <c r="AM448" s="28"/>
      <c r="AN448" s="28"/>
      <c r="AO448" s="28"/>
      <c r="AP448" s="28"/>
      <c r="AQ448" s="28"/>
      <c r="AR448" s="28"/>
      <c r="AS448" s="28"/>
      <c r="AT448" s="28"/>
      <c r="AU448" s="28"/>
      <c r="AV448" s="28"/>
      <c r="AW448" s="28"/>
      <c r="AX448" s="28"/>
      <c r="AY448" s="28"/>
      <c r="AZ448" s="28"/>
      <c r="BA448" s="28"/>
      <c r="BB448" s="28"/>
      <c r="BC448" s="28"/>
      <c r="BD448" s="28"/>
      <c r="BE448" s="28"/>
      <c r="BF448" s="28"/>
      <c r="BG448" s="28"/>
      <c r="BH448" s="28"/>
      <c r="BI448" s="28"/>
      <c r="BJ448" s="28"/>
      <c r="BK448" s="28"/>
      <c r="BL448" s="28"/>
      <c r="BM448" s="28"/>
      <c r="BN448" s="28"/>
      <c r="BO448" s="28"/>
      <c r="BP448" s="28"/>
      <c r="BQ448" s="28"/>
      <c r="BR448" s="28"/>
      <c r="BS448" s="28"/>
      <c r="BT448" s="28"/>
      <c r="BU448" s="28"/>
      <c r="BV448" s="28"/>
      <c r="BW448" s="28"/>
      <c r="BX448" s="28"/>
      <c r="BY448" s="28"/>
      <c r="BZ448" s="28"/>
      <c r="CA448" s="28"/>
      <c r="CB448" s="28"/>
    </row>
    <row r="449" spans="1:80" hidden="1" x14ac:dyDescent="0.25">
      <c r="A449" s="31" t="s">
        <v>51</v>
      </c>
      <c r="B449" s="39" t="s">
        <v>50</v>
      </c>
      <c r="C449" s="30" t="s">
        <v>747</v>
      </c>
      <c r="D449" s="30" t="s">
        <v>52</v>
      </c>
      <c r="E449" s="20" t="s">
        <v>1954</v>
      </c>
      <c r="F449" s="26" t="s">
        <v>1961</v>
      </c>
      <c r="G449" s="30" t="s">
        <v>1694</v>
      </c>
      <c r="H449" s="30"/>
      <c r="I449" s="29" t="e">
        <f>VLOOKUP(B449,#REF!,2,FALSE)</f>
        <v>#REF!</v>
      </c>
      <c r="J449" s="29"/>
      <c r="K449" s="29"/>
      <c r="L449" s="29"/>
      <c r="M449" s="29"/>
      <c r="N449" s="29"/>
      <c r="O449" s="29"/>
      <c r="P449" s="29"/>
      <c r="Q449" s="29"/>
      <c r="R449" s="29"/>
      <c r="S449" s="29"/>
      <c r="T449" s="29"/>
      <c r="U449" s="29"/>
      <c r="V449" s="29"/>
      <c r="W449" s="29"/>
      <c r="X449" s="29"/>
      <c r="Y449" s="29"/>
      <c r="Z449" s="29"/>
      <c r="AA449" s="29"/>
      <c r="AB449" s="29"/>
      <c r="AC449" s="29"/>
      <c r="AD449" s="29"/>
      <c r="AE449" s="29"/>
      <c r="AF449" s="29"/>
      <c r="AG449" s="29"/>
      <c r="AH449" s="29"/>
      <c r="AI449" s="29"/>
      <c r="AJ449" s="29"/>
      <c r="AK449" s="29"/>
      <c r="AL449" s="29"/>
      <c r="AM449" s="29"/>
      <c r="AN449" s="29"/>
      <c r="AO449" s="29"/>
      <c r="AP449" s="29"/>
      <c r="AQ449" s="29"/>
      <c r="AR449" s="29"/>
      <c r="AS449" s="29"/>
      <c r="AT449" s="29"/>
      <c r="AU449" s="29"/>
      <c r="AV449" s="29"/>
      <c r="AW449" s="29"/>
      <c r="AX449" s="29"/>
      <c r="AY449" s="29"/>
      <c r="AZ449" s="29"/>
      <c r="BA449" s="29"/>
      <c r="BB449" s="29"/>
      <c r="BC449" s="29"/>
      <c r="BD449" s="29"/>
      <c r="BE449" s="29"/>
      <c r="BF449" s="29"/>
      <c r="BG449" s="29"/>
      <c r="BH449" s="29"/>
      <c r="BI449" s="29"/>
      <c r="BJ449" s="29"/>
      <c r="BK449" s="29"/>
      <c r="BL449" s="29"/>
      <c r="BM449" s="29"/>
      <c r="BN449" s="29"/>
      <c r="BO449" s="29"/>
      <c r="BP449" s="29"/>
      <c r="BQ449" s="29"/>
      <c r="BR449" s="29"/>
      <c r="BS449" s="29"/>
      <c r="BT449" s="29"/>
      <c r="BU449" s="29"/>
      <c r="BV449" s="29"/>
      <c r="BW449" s="29"/>
      <c r="BX449" s="29"/>
      <c r="BY449" s="29"/>
      <c r="BZ449" s="29"/>
      <c r="CA449" s="29"/>
      <c r="CB449" s="29"/>
    </row>
    <row r="450" spans="1:80" hidden="1" x14ac:dyDescent="0.25">
      <c r="A450" s="31" t="s">
        <v>262</v>
      </c>
      <c r="B450" s="39" t="s">
        <v>260</v>
      </c>
      <c r="C450" s="30" t="s">
        <v>261</v>
      </c>
      <c r="D450" s="30" t="s">
        <v>97</v>
      </c>
      <c r="E450" s="20" t="s">
        <v>1954</v>
      </c>
      <c r="F450" s="26" t="s">
        <v>1961</v>
      </c>
      <c r="G450" s="30"/>
      <c r="H450" s="30"/>
      <c r="I450" s="29" t="e">
        <f>VLOOKUP(B450,#REF!,2,FALSE)</f>
        <v>#REF!</v>
      </c>
      <c r="J450" s="28"/>
      <c r="K450" s="28"/>
      <c r="L450" s="28"/>
      <c r="M450" s="28"/>
      <c r="N450" s="28"/>
      <c r="O450" s="28"/>
      <c r="P450" s="28"/>
      <c r="Q450" s="28"/>
      <c r="R450" s="28"/>
      <c r="S450" s="28"/>
      <c r="T450" s="28"/>
      <c r="U450" s="28"/>
      <c r="V450" s="28"/>
      <c r="W450" s="28"/>
      <c r="X450" s="28"/>
      <c r="Y450" s="28"/>
      <c r="Z450" s="28"/>
      <c r="AA450" s="28"/>
      <c r="AB450" s="28"/>
      <c r="AC450" s="28"/>
      <c r="AD450" s="28"/>
      <c r="AE450" s="28"/>
      <c r="AF450" s="28"/>
      <c r="AG450" s="28"/>
      <c r="AH450" s="28"/>
      <c r="AI450" s="28"/>
      <c r="AJ450" s="28"/>
      <c r="AK450" s="28"/>
      <c r="AL450" s="28"/>
      <c r="AM450" s="28"/>
      <c r="AN450" s="28"/>
      <c r="AO450" s="28"/>
      <c r="AP450" s="28"/>
      <c r="AQ450" s="28"/>
      <c r="AR450" s="28"/>
      <c r="AS450" s="28"/>
      <c r="AT450" s="28"/>
      <c r="AU450" s="28"/>
      <c r="AV450" s="28"/>
      <c r="AW450" s="28"/>
      <c r="AX450" s="28"/>
      <c r="AY450" s="28"/>
      <c r="AZ450" s="28"/>
      <c r="BA450" s="28"/>
      <c r="BB450" s="28"/>
      <c r="BC450" s="28"/>
      <c r="BD450" s="28"/>
      <c r="BE450" s="28"/>
      <c r="BF450" s="28"/>
      <c r="BG450" s="28"/>
      <c r="BH450" s="28"/>
      <c r="BI450" s="28"/>
      <c r="BJ450" s="28"/>
      <c r="BK450" s="28"/>
      <c r="BL450" s="28"/>
      <c r="BM450" s="28"/>
      <c r="BN450" s="28"/>
      <c r="BO450" s="28"/>
      <c r="BP450" s="28"/>
      <c r="BQ450" s="28"/>
      <c r="BR450" s="28"/>
      <c r="BS450" s="28"/>
      <c r="BT450" s="28"/>
      <c r="BU450" s="28"/>
      <c r="BV450" s="28"/>
      <c r="BW450" s="28"/>
      <c r="BX450" s="28"/>
      <c r="BY450" s="28"/>
      <c r="BZ450" s="28"/>
      <c r="CA450" s="28"/>
      <c r="CB450" s="28"/>
    </row>
    <row r="451" spans="1:80" hidden="1" x14ac:dyDescent="0.25">
      <c r="A451" s="31" t="s">
        <v>265</v>
      </c>
      <c r="B451" s="39" t="s">
        <v>263</v>
      </c>
      <c r="C451" s="30" t="s">
        <v>264</v>
      </c>
      <c r="D451" s="30" t="s">
        <v>52</v>
      </c>
      <c r="E451" s="20" t="s">
        <v>1954</v>
      </c>
      <c r="F451" s="26" t="s">
        <v>1961</v>
      </c>
      <c r="G451" s="30"/>
      <c r="H451" s="30"/>
      <c r="I451" s="29" t="e">
        <f>VLOOKUP(B451,#REF!,2,FALSE)</f>
        <v>#REF!</v>
      </c>
      <c r="J451" s="28"/>
      <c r="K451" s="28"/>
      <c r="L451" s="28"/>
      <c r="M451" s="28"/>
      <c r="N451" s="28"/>
      <c r="O451" s="28"/>
      <c r="P451" s="28"/>
      <c r="Q451" s="28"/>
      <c r="R451" s="28"/>
      <c r="S451" s="28"/>
      <c r="T451" s="28"/>
      <c r="U451" s="28"/>
      <c r="V451" s="28"/>
      <c r="W451" s="28"/>
      <c r="X451" s="28"/>
      <c r="Y451" s="28"/>
      <c r="Z451" s="28"/>
      <c r="AA451" s="28"/>
      <c r="AB451" s="28"/>
      <c r="AC451" s="28"/>
      <c r="AD451" s="28"/>
      <c r="AE451" s="28"/>
      <c r="AF451" s="28"/>
      <c r="AG451" s="28"/>
      <c r="AH451" s="28"/>
      <c r="AI451" s="28"/>
      <c r="AJ451" s="28"/>
      <c r="AK451" s="28"/>
      <c r="AL451" s="28"/>
      <c r="AM451" s="28"/>
      <c r="AN451" s="28"/>
      <c r="AO451" s="28"/>
      <c r="AP451" s="28"/>
      <c r="AQ451" s="28"/>
      <c r="AR451" s="28"/>
      <c r="AS451" s="28"/>
      <c r="AT451" s="28"/>
      <c r="AU451" s="28"/>
      <c r="AV451" s="28"/>
      <c r="AW451" s="28"/>
      <c r="AX451" s="28"/>
      <c r="AY451" s="28"/>
      <c r="AZ451" s="28"/>
      <c r="BA451" s="28"/>
      <c r="BB451" s="28"/>
      <c r="BC451" s="28"/>
      <c r="BD451" s="28"/>
      <c r="BE451" s="28"/>
      <c r="BF451" s="28"/>
      <c r="BG451" s="28"/>
      <c r="BH451" s="28"/>
      <c r="BI451" s="28"/>
      <c r="BJ451" s="28"/>
      <c r="BK451" s="28"/>
      <c r="BL451" s="28"/>
      <c r="BM451" s="28"/>
      <c r="BN451" s="28"/>
      <c r="BO451" s="28"/>
      <c r="BP451" s="28"/>
      <c r="BQ451" s="28"/>
      <c r="BR451" s="28"/>
      <c r="BS451" s="28"/>
      <c r="BT451" s="28"/>
      <c r="BU451" s="28"/>
      <c r="BV451" s="28"/>
      <c r="BW451" s="28"/>
      <c r="BX451" s="28"/>
      <c r="BY451" s="28"/>
      <c r="BZ451" s="28"/>
      <c r="CA451" s="28"/>
      <c r="CB451" s="28"/>
    </row>
    <row r="452" spans="1:80" hidden="1" x14ac:dyDescent="0.25">
      <c r="A452" s="31" t="s">
        <v>267</v>
      </c>
      <c r="B452" s="39" t="s">
        <v>266</v>
      </c>
      <c r="C452" s="30" t="s">
        <v>173</v>
      </c>
      <c r="D452" s="30" t="s">
        <v>52</v>
      </c>
      <c r="E452" s="20" t="s">
        <v>1954</v>
      </c>
      <c r="F452" s="26" t="s">
        <v>1961</v>
      </c>
      <c r="G452" s="30"/>
      <c r="H452" s="30"/>
      <c r="I452" s="29" t="e">
        <f>VLOOKUP(B452,#REF!,2,FALSE)</f>
        <v>#REF!</v>
      </c>
      <c r="J452" s="28"/>
      <c r="K452" s="28"/>
      <c r="L452" s="28"/>
      <c r="M452" s="28"/>
      <c r="N452" s="28"/>
      <c r="O452" s="28"/>
      <c r="P452" s="28"/>
      <c r="Q452" s="28"/>
      <c r="R452" s="28"/>
      <c r="S452" s="28"/>
      <c r="T452" s="28"/>
      <c r="U452" s="28"/>
      <c r="V452" s="28"/>
      <c r="W452" s="28"/>
      <c r="X452" s="28"/>
      <c r="Y452" s="28"/>
      <c r="Z452" s="28"/>
      <c r="AA452" s="28"/>
      <c r="AB452" s="28"/>
      <c r="AC452" s="28"/>
      <c r="AD452" s="28"/>
      <c r="AE452" s="28"/>
      <c r="AF452" s="28"/>
      <c r="AG452" s="28"/>
      <c r="AH452" s="28"/>
      <c r="AI452" s="28"/>
      <c r="AJ452" s="28"/>
      <c r="AK452" s="28"/>
      <c r="AL452" s="28"/>
      <c r="AM452" s="28"/>
      <c r="AN452" s="28"/>
      <c r="AO452" s="28"/>
      <c r="AP452" s="28"/>
      <c r="AQ452" s="28"/>
      <c r="AR452" s="28"/>
      <c r="AS452" s="28"/>
      <c r="AT452" s="28"/>
      <c r="AU452" s="28"/>
      <c r="AV452" s="28"/>
      <c r="AW452" s="28"/>
      <c r="AX452" s="28"/>
      <c r="AY452" s="28"/>
      <c r="AZ452" s="28"/>
      <c r="BA452" s="28"/>
      <c r="BB452" s="28"/>
      <c r="BC452" s="28"/>
      <c r="BD452" s="28"/>
      <c r="BE452" s="28"/>
      <c r="BF452" s="28"/>
      <c r="BG452" s="28"/>
      <c r="BH452" s="28"/>
      <c r="BI452" s="28"/>
      <c r="BJ452" s="28"/>
      <c r="BK452" s="28"/>
      <c r="BL452" s="28"/>
      <c r="BM452" s="28"/>
      <c r="BN452" s="28"/>
      <c r="BO452" s="28"/>
      <c r="BP452" s="28"/>
      <c r="BQ452" s="28"/>
      <c r="BR452" s="28"/>
      <c r="BS452" s="28"/>
      <c r="BT452" s="28"/>
      <c r="BU452" s="28"/>
      <c r="BV452" s="28"/>
      <c r="BW452" s="28"/>
      <c r="BX452" s="28"/>
      <c r="BY452" s="28"/>
      <c r="BZ452" s="28"/>
      <c r="CA452" s="28"/>
      <c r="CB452" s="28"/>
    </row>
    <row r="453" spans="1:80" hidden="1" x14ac:dyDescent="0.25">
      <c r="A453" s="33" t="s">
        <v>283</v>
      </c>
      <c r="B453" s="38" t="s">
        <v>281</v>
      </c>
      <c r="C453" s="32" t="s">
        <v>282</v>
      </c>
      <c r="D453" s="32" t="s">
        <v>52</v>
      </c>
      <c r="E453" s="21" t="s">
        <v>1954</v>
      </c>
      <c r="F453" s="25" t="s">
        <v>1961</v>
      </c>
      <c r="G453" s="32"/>
      <c r="H453" s="32"/>
      <c r="I453" s="29" t="e">
        <f>VLOOKUP(B453,#REF!,2,FALSE)</f>
        <v>#REF!</v>
      </c>
      <c r="J453" s="28"/>
      <c r="K453" s="28"/>
      <c r="L453" s="28"/>
      <c r="M453" s="28"/>
      <c r="N453" s="28"/>
      <c r="O453" s="28"/>
      <c r="P453" s="28"/>
      <c r="Q453" s="28"/>
      <c r="R453" s="28"/>
      <c r="S453" s="28"/>
      <c r="T453" s="28"/>
      <c r="U453" s="28"/>
      <c r="V453" s="28"/>
      <c r="W453" s="28"/>
      <c r="X453" s="28"/>
      <c r="Y453" s="28"/>
      <c r="Z453" s="28"/>
      <c r="AA453" s="28"/>
      <c r="AB453" s="28"/>
      <c r="AC453" s="28"/>
      <c r="AD453" s="28"/>
      <c r="AE453" s="28"/>
      <c r="AF453" s="28"/>
      <c r="AG453" s="28"/>
      <c r="AH453" s="28"/>
      <c r="AI453" s="28"/>
      <c r="AJ453" s="28"/>
      <c r="AK453" s="28"/>
      <c r="AL453" s="28"/>
      <c r="AM453" s="28"/>
      <c r="AN453" s="28"/>
      <c r="AO453" s="28"/>
      <c r="AP453" s="28"/>
      <c r="AQ453" s="28"/>
      <c r="AR453" s="28"/>
      <c r="AS453" s="28"/>
      <c r="AT453" s="28"/>
      <c r="AU453" s="28"/>
      <c r="AV453" s="28"/>
      <c r="AW453" s="28"/>
      <c r="AX453" s="28"/>
      <c r="AY453" s="28"/>
      <c r="AZ453" s="28"/>
      <c r="BA453" s="28"/>
      <c r="BB453" s="28"/>
      <c r="BC453" s="28"/>
      <c r="BD453" s="28"/>
      <c r="BE453" s="28"/>
      <c r="BF453" s="28"/>
      <c r="BG453" s="28"/>
      <c r="BH453" s="28"/>
      <c r="BI453" s="28"/>
      <c r="BJ453" s="28"/>
      <c r="BK453" s="28"/>
      <c r="BL453" s="28"/>
      <c r="BM453" s="28"/>
      <c r="BN453" s="28"/>
      <c r="BO453" s="28"/>
      <c r="BP453" s="28"/>
      <c r="BQ453" s="28"/>
      <c r="BR453" s="28"/>
      <c r="BS453" s="28"/>
      <c r="BT453" s="28"/>
      <c r="BU453" s="28"/>
      <c r="BV453" s="28"/>
      <c r="BW453" s="28"/>
      <c r="BX453" s="28"/>
      <c r="BY453" s="28"/>
      <c r="BZ453" s="28"/>
      <c r="CA453" s="28"/>
      <c r="CB453" s="28"/>
    </row>
    <row r="454" spans="1:80" hidden="1" x14ac:dyDescent="0.25">
      <c r="A454" s="31" t="s">
        <v>71</v>
      </c>
      <c r="B454" s="39" t="s">
        <v>69</v>
      </c>
      <c r="C454" s="30" t="s">
        <v>70</v>
      </c>
      <c r="D454" s="30" t="s">
        <v>14</v>
      </c>
      <c r="E454" s="20" t="s">
        <v>1954</v>
      </c>
      <c r="F454" s="26" t="s">
        <v>1977</v>
      </c>
      <c r="G454" s="30"/>
      <c r="H454" s="30"/>
      <c r="I454" s="29" t="e">
        <f>VLOOKUP(B454,#REF!,2,FALSE)</f>
        <v>#REF!</v>
      </c>
      <c r="J454" s="28"/>
      <c r="K454" s="28"/>
      <c r="L454" s="28"/>
      <c r="M454" s="28"/>
      <c r="N454" s="28"/>
      <c r="O454" s="28"/>
      <c r="P454" s="28"/>
      <c r="Q454" s="28"/>
      <c r="R454" s="28"/>
      <c r="S454" s="28"/>
      <c r="T454" s="28"/>
      <c r="U454" s="28"/>
      <c r="V454" s="28"/>
      <c r="W454" s="28"/>
      <c r="X454" s="28"/>
      <c r="Y454" s="28"/>
      <c r="Z454" s="28"/>
      <c r="AA454" s="28"/>
      <c r="AB454" s="28"/>
      <c r="AC454" s="28"/>
      <c r="AD454" s="28"/>
      <c r="AE454" s="28"/>
      <c r="AF454" s="28"/>
      <c r="AG454" s="28"/>
      <c r="AH454" s="28"/>
      <c r="AI454" s="28"/>
      <c r="AJ454" s="28"/>
      <c r="AK454" s="28"/>
      <c r="AL454" s="28"/>
      <c r="AM454" s="28"/>
      <c r="AN454" s="28"/>
      <c r="AO454" s="28"/>
      <c r="AP454" s="28"/>
      <c r="AQ454" s="28"/>
      <c r="AR454" s="28"/>
      <c r="AS454" s="28"/>
      <c r="AT454" s="28"/>
      <c r="AU454" s="28"/>
      <c r="AV454" s="28"/>
      <c r="AW454" s="28"/>
      <c r="AX454" s="28"/>
      <c r="AY454" s="28"/>
      <c r="AZ454" s="28"/>
      <c r="BA454" s="28"/>
      <c r="BB454" s="28"/>
      <c r="BC454" s="28"/>
      <c r="BD454" s="28"/>
      <c r="BE454" s="28"/>
      <c r="BF454" s="28"/>
      <c r="BG454" s="28"/>
      <c r="BH454" s="28"/>
      <c r="BI454" s="28"/>
      <c r="BJ454" s="28"/>
      <c r="BK454" s="28"/>
      <c r="BL454" s="28"/>
      <c r="BM454" s="28"/>
      <c r="BN454" s="28"/>
      <c r="BO454" s="28"/>
      <c r="BP454" s="28"/>
      <c r="BQ454" s="28"/>
      <c r="BR454" s="28"/>
      <c r="BS454" s="28"/>
      <c r="BT454" s="28"/>
      <c r="BU454" s="28"/>
      <c r="BV454" s="28"/>
      <c r="BW454" s="28"/>
      <c r="BX454" s="28"/>
      <c r="BY454" s="28"/>
      <c r="BZ454" s="28"/>
      <c r="CA454" s="28"/>
      <c r="CB454" s="28"/>
    </row>
    <row r="455" spans="1:80" hidden="1" x14ac:dyDescent="0.25">
      <c r="A455" s="31" t="s">
        <v>1147</v>
      </c>
      <c r="B455" s="39" t="s">
        <v>1146</v>
      </c>
      <c r="C455" s="30" t="s">
        <v>202</v>
      </c>
      <c r="D455" s="30" t="s">
        <v>10</v>
      </c>
      <c r="E455" s="20" t="s">
        <v>1954</v>
      </c>
      <c r="F455" s="26" t="s">
        <v>1977</v>
      </c>
      <c r="G455" s="30"/>
      <c r="H455" s="30"/>
      <c r="I455" s="29" t="e">
        <f>VLOOKUP(B455,#REF!,2,FALSE)</f>
        <v>#REF!</v>
      </c>
      <c r="J455" s="29"/>
      <c r="K455" s="29"/>
      <c r="L455" s="29"/>
      <c r="M455" s="29"/>
      <c r="N455" s="29"/>
      <c r="O455" s="29"/>
      <c r="P455" s="29"/>
      <c r="Q455" s="29"/>
      <c r="R455" s="29"/>
      <c r="S455" s="29"/>
      <c r="T455" s="29"/>
      <c r="U455" s="29"/>
      <c r="V455" s="29"/>
      <c r="W455" s="29"/>
      <c r="X455" s="29"/>
      <c r="Y455" s="29"/>
      <c r="Z455" s="29"/>
      <c r="AA455" s="29"/>
      <c r="AB455" s="29"/>
      <c r="AC455" s="29"/>
      <c r="AD455" s="29"/>
      <c r="AE455" s="29"/>
      <c r="AF455" s="29"/>
      <c r="AG455" s="29"/>
      <c r="AH455" s="29"/>
      <c r="AI455" s="29"/>
      <c r="AJ455" s="29"/>
      <c r="AK455" s="29"/>
      <c r="AL455" s="29"/>
      <c r="AM455" s="29"/>
      <c r="AN455" s="29"/>
      <c r="AO455" s="29"/>
      <c r="AP455" s="29"/>
      <c r="AQ455" s="29"/>
      <c r="AR455" s="29"/>
      <c r="AS455" s="29"/>
      <c r="AT455" s="29"/>
      <c r="AU455" s="29"/>
      <c r="AV455" s="29"/>
      <c r="AW455" s="29"/>
      <c r="AX455" s="29"/>
      <c r="AY455" s="29"/>
      <c r="AZ455" s="29"/>
      <c r="BA455" s="29"/>
      <c r="BB455" s="29"/>
      <c r="BC455" s="29"/>
      <c r="BD455" s="29"/>
      <c r="BE455" s="29"/>
      <c r="BF455" s="29"/>
      <c r="BG455" s="29"/>
      <c r="BH455" s="29"/>
      <c r="BI455" s="29"/>
      <c r="BJ455" s="29"/>
      <c r="BK455" s="29"/>
      <c r="BL455" s="29"/>
      <c r="BM455" s="29"/>
      <c r="BN455" s="29"/>
      <c r="BO455" s="29"/>
      <c r="BP455" s="29"/>
      <c r="BQ455" s="29"/>
      <c r="BR455" s="29"/>
      <c r="BS455" s="29"/>
      <c r="BT455" s="29"/>
      <c r="BU455" s="29"/>
      <c r="BV455" s="29"/>
      <c r="BW455" s="29"/>
      <c r="BX455" s="29"/>
      <c r="BY455" s="29"/>
      <c r="BZ455" s="29"/>
      <c r="CA455" s="29"/>
      <c r="CB455" s="29"/>
    </row>
    <row r="456" spans="1:80" hidden="1" x14ac:dyDescent="0.25">
      <c r="A456" s="31" t="s">
        <v>193</v>
      </c>
      <c r="B456" s="39" t="s">
        <v>191</v>
      </c>
      <c r="C456" s="30" t="s">
        <v>192</v>
      </c>
      <c r="D456" s="30" t="s">
        <v>14</v>
      </c>
      <c r="E456" s="20" t="s">
        <v>1954</v>
      </c>
      <c r="F456" s="26" t="s">
        <v>1977</v>
      </c>
      <c r="G456" s="30"/>
      <c r="H456" s="30"/>
      <c r="I456" s="29" t="e">
        <f>VLOOKUP(B456,#REF!,2,FALSE)</f>
        <v>#REF!</v>
      </c>
      <c r="J456" s="28"/>
      <c r="K456" s="28"/>
      <c r="L456" s="28"/>
      <c r="M456" s="28"/>
      <c r="N456" s="28"/>
      <c r="O456" s="28"/>
      <c r="P456" s="28"/>
      <c r="Q456" s="28"/>
      <c r="R456" s="28"/>
      <c r="S456" s="28"/>
      <c r="T456" s="28"/>
      <c r="U456" s="28"/>
      <c r="V456" s="28"/>
      <c r="W456" s="28"/>
      <c r="X456" s="28"/>
      <c r="Y456" s="28"/>
      <c r="Z456" s="28"/>
      <c r="AA456" s="28"/>
      <c r="AB456" s="28"/>
      <c r="AC456" s="28"/>
      <c r="AD456" s="28"/>
      <c r="AE456" s="28"/>
      <c r="AF456" s="28"/>
      <c r="AG456" s="28"/>
      <c r="AH456" s="28"/>
      <c r="AI456" s="28"/>
      <c r="AJ456" s="28"/>
      <c r="AK456" s="28"/>
      <c r="AL456" s="28"/>
      <c r="AM456" s="28"/>
      <c r="AN456" s="28"/>
      <c r="AO456" s="28"/>
      <c r="AP456" s="28"/>
      <c r="AQ456" s="28"/>
      <c r="AR456" s="28"/>
      <c r="AS456" s="28"/>
      <c r="AT456" s="28"/>
      <c r="AU456" s="28"/>
      <c r="AV456" s="28"/>
      <c r="AW456" s="28"/>
      <c r="AX456" s="28"/>
      <c r="AY456" s="28"/>
      <c r="AZ456" s="28"/>
      <c r="BA456" s="28"/>
      <c r="BB456" s="28"/>
      <c r="BC456" s="28"/>
      <c r="BD456" s="28"/>
      <c r="BE456" s="28"/>
      <c r="BF456" s="28"/>
      <c r="BG456" s="28"/>
      <c r="BH456" s="28"/>
      <c r="BI456" s="28"/>
      <c r="BJ456" s="28"/>
      <c r="BK456" s="28"/>
      <c r="BL456" s="28"/>
      <c r="BM456" s="28"/>
      <c r="BN456" s="28"/>
      <c r="BO456" s="28"/>
      <c r="BP456" s="28"/>
      <c r="BQ456" s="28"/>
      <c r="BR456" s="28"/>
      <c r="BS456" s="28"/>
      <c r="BT456" s="28"/>
      <c r="BU456" s="28"/>
      <c r="BV456" s="28"/>
      <c r="BW456" s="28"/>
      <c r="BX456" s="28"/>
      <c r="BY456" s="28"/>
      <c r="BZ456" s="28"/>
      <c r="CA456" s="28"/>
      <c r="CB456" s="28"/>
    </row>
    <row r="457" spans="1:80" hidden="1" x14ac:dyDescent="0.25">
      <c r="A457" s="31" t="s">
        <v>212</v>
      </c>
      <c r="B457" s="39" t="s">
        <v>1978</v>
      </c>
      <c r="C457" s="30" t="s">
        <v>1746</v>
      </c>
      <c r="D457" s="30" t="s">
        <v>14</v>
      </c>
      <c r="E457" s="20" t="s">
        <v>1954</v>
      </c>
      <c r="F457" s="26" t="s">
        <v>1977</v>
      </c>
      <c r="G457" s="30"/>
      <c r="H457" s="30"/>
      <c r="I457" s="29" t="e">
        <f>VLOOKUP(B457,#REF!,2,FALSE)</f>
        <v>#REF!</v>
      </c>
      <c r="J457" s="28"/>
      <c r="K457" s="28"/>
      <c r="L457" s="28"/>
      <c r="M457" s="28"/>
      <c r="N457" s="28"/>
      <c r="O457" s="28"/>
      <c r="P457" s="28"/>
      <c r="Q457" s="28"/>
      <c r="R457" s="28"/>
      <c r="S457" s="28"/>
      <c r="T457" s="28"/>
      <c r="U457" s="28"/>
      <c r="V457" s="28"/>
      <c r="W457" s="28"/>
      <c r="X457" s="28"/>
      <c r="Y457" s="28"/>
      <c r="Z457" s="28"/>
      <c r="AA457" s="28"/>
      <c r="AB457" s="28"/>
      <c r="AC457" s="28"/>
      <c r="AD457" s="28"/>
      <c r="AE457" s="28"/>
      <c r="AF457" s="28"/>
      <c r="AG457" s="28"/>
      <c r="AH457" s="28"/>
      <c r="AI457" s="28"/>
      <c r="AJ457" s="28"/>
      <c r="AK457" s="28"/>
      <c r="AL457" s="28"/>
      <c r="AM457" s="28"/>
      <c r="AN457" s="28"/>
      <c r="AO457" s="28"/>
      <c r="AP457" s="28"/>
      <c r="AQ457" s="28"/>
      <c r="AR457" s="28"/>
      <c r="AS457" s="28"/>
      <c r="AT457" s="28"/>
      <c r="AU457" s="28"/>
      <c r="AV457" s="28"/>
      <c r="AW457" s="28"/>
      <c r="AX457" s="28"/>
      <c r="AY457" s="28"/>
      <c r="AZ457" s="28"/>
      <c r="BA457" s="28"/>
      <c r="BB457" s="28"/>
      <c r="BC457" s="28"/>
      <c r="BD457" s="28"/>
      <c r="BE457" s="28"/>
      <c r="BF457" s="28"/>
      <c r="BG457" s="28"/>
      <c r="BH457" s="28"/>
      <c r="BI457" s="28"/>
      <c r="BJ457" s="28"/>
      <c r="BK457" s="28"/>
      <c r="BL457" s="28"/>
      <c r="BM457" s="28"/>
      <c r="BN457" s="28"/>
      <c r="BO457" s="28"/>
      <c r="BP457" s="28"/>
      <c r="BQ457" s="28"/>
      <c r="BR457" s="28"/>
      <c r="BS457" s="28"/>
      <c r="BT457" s="28"/>
      <c r="BU457" s="28"/>
      <c r="BV457" s="28"/>
      <c r="BW457" s="28"/>
      <c r="BX457" s="28"/>
      <c r="BY457" s="28"/>
      <c r="BZ457" s="28"/>
      <c r="CA457" s="28"/>
      <c r="CB457" s="28"/>
    </row>
    <row r="458" spans="1:80" hidden="1" x14ac:dyDescent="0.25">
      <c r="A458" s="31" t="s">
        <v>247</v>
      </c>
      <c r="B458" s="39" t="s">
        <v>245</v>
      </c>
      <c r="C458" s="30" t="s">
        <v>246</v>
      </c>
      <c r="D458" s="30" t="s">
        <v>14</v>
      </c>
      <c r="E458" s="20" t="s">
        <v>1954</v>
      </c>
      <c r="F458" s="26" t="s">
        <v>1977</v>
      </c>
      <c r="G458" s="30"/>
      <c r="H458" s="30"/>
      <c r="I458" s="29" t="e">
        <f>VLOOKUP(B458,#REF!,2,FALSE)</f>
        <v>#REF!</v>
      </c>
      <c r="J458" s="28"/>
      <c r="K458" s="28"/>
      <c r="L458" s="28"/>
      <c r="M458" s="28"/>
      <c r="N458" s="28"/>
      <c r="O458" s="28"/>
      <c r="P458" s="28"/>
      <c r="Q458" s="28"/>
      <c r="R458" s="28"/>
      <c r="S458" s="28"/>
      <c r="T458" s="28"/>
      <c r="U458" s="28"/>
      <c r="V458" s="28"/>
      <c r="W458" s="28"/>
      <c r="X458" s="28"/>
      <c r="Y458" s="28"/>
      <c r="Z458" s="28"/>
      <c r="AA458" s="28"/>
      <c r="AB458" s="28"/>
      <c r="AC458" s="28"/>
      <c r="AD458" s="28"/>
      <c r="AE458" s="28"/>
      <c r="AF458" s="28"/>
      <c r="AG458" s="28"/>
      <c r="AH458" s="28"/>
      <c r="AI458" s="28"/>
      <c r="AJ458" s="28"/>
      <c r="AK458" s="28"/>
      <c r="AL458" s="28"/>
      <c r="AM458" s="28"/>
      <c r="AN458" s="28"/>
      <c r="AO458" s="28"/>
      <c r="AP458" s="28"/>
      <c r="AQ458" s="28"/>
      <c r="AR458" s="28"/>
      <c r="AS458" s="28"/>
      <c r="AT458" s="28"/>
      <c r="AU458" s="28"/>
      <c r="AV458" s="28"/>
      <c r="AW458" s="28"/>
      <c r="AX458" s="28"/>
      <c r="AY458" s="28"/>
      <c r="AZ458" s="28"/>
      <c r="BA458" s="28"/>
      <c r="BB458" s="28"/>
      <c r="BC458" s="28"/>
      <c r="BD458" s="28"/>
      <c r="BE458" s="28"/>
      <c r="BF458" s="28"/>
      <c r="BG458" s="28"/>
      <c r="BH458" s="28"/>
      <c r="BI458" s="28"/>
      <c r="BJ458" s="28"/>
      <c r="BK458" s="28"/>
      <c r="BL458" s="28"/>
      <c r="BM458" s="28"/>
      <c r="BN458" s="28"/>
      <c r="BO458" s="28"/>
      <c r="BP458" s="28"/>
      <c r="BQ458" s="28"/>
      <c r="BR458" s="28"/>
      <c r="BS458" s="28"/>
      <c r="BT458" s="28"/>
      <c r="BU458" s="28"/>
      <c r="BV458" s="28"/>
      <c r="BW458" s="28"/>
      <c r="BX458" s="28"/>
      <c r="BY458" s="28"/>
      <c r="BZ458" s="28"/>
      <c r="CA458" s="28"/>
      <c r="CB458" s="28"/>
    </row>
    <row r="459" spans="1:80" hidden="1" x14ac:dyDescent="0.25">
      <c r="A459" s="31" t="s">
        <v>256</v>
      </c>
      <c r="B459" s="39" t="s">
        <v>255</v>
      </c>
      <c r="C459" s="30" t="s">
        <v>27</v>
      </c>
      <c r="D459" s="30" t="s">
        <v>14</v>
      </c>
      <c r="E459" s="20" t="s">
        <v>1954</v>
      </c>
      <c r="F459" s="26" t="s">
        <v>1977</v>
      </c>
      <c r="G459" s="30"/>
      <c r="H459" s="30"/>
      <c r="I459" s="29" t="e">
        <f>VLOOKUP(B459,#REF!,2,FALSE)</f>
        <v>#REF!</v>
      </c>
      <c r="J459" s="28"/>
      <c r="K459" s="28"/>
      <c r="L459" s="28"/>
      <c r="M459" s="28"/>
      <c r="N459" s="28"/>
      <c r="O459" s="28"/>
      <c r="P459" s="28"/>
      <c r="Q459" s="28"/>
      <c r="R459" s="28"/>
      <c r="S459" s="28"/>
      <c r="T459" s="28"/>
      <c r="U459" s="28"/>
      <c r="V459" s="28"/>
      <c r="W459" s="28"/>
      <c r="X459" s="28"/>
      <c r="Y459" s="28"/>
      <c r="Z459" s="28"/>
      <c r="AA459" s="28"/>
      <c r="AB459" s="28"/>
      <c r="AC459" s="28"/>
      <c r="AD459" s="28"/>
      <c r="AE459" s="28"/>
      <c r="AF459" s="28"/>
      <c r="AG459" s="28"/>
      <c r="AH459" s="28"/>
      <c r="AI459" s="28"/>
      <c r="AJ459" s="28"/>
      <c r="AK459" s="28"/>
      <c r="AL459" s="28"/>
      <c r="AM459" s="28"/>
      <c r="AN459" s="28"/>
      <c r="AO459" s="28"/>
      <c r="AP459" s="28"/>
      <c r="AQ459" s="28"/>
      <c r="AR459" s="28"/>
      <c r="AS459" s="28"/>
      <c r="AT459" s="28"/>
      <c r="AU459" s="28"/>
      <c r="AV459" s="28"/>
      <c r="AW459" s="28"/>
      <c r="AX459" s="28"/>
      <c r="AY459" s="28"/>
      <c r="AZ459" s="28"/>
      <c r="BA459" s="28"/>
      <c r="BB459" s="28"/>
      <c r="BC459" s="28"/>
      <c r="BD459" s="28"/>
      <c r="BE459" s="28"/>
      <c r="BF459" s="28"/>
      <c r="BG459" s="28"/>
      <c r="BH459" s="28"/>
      <c r="BI459" s="28"/>
      <c r="BJ459" s="28"/>
      <c r="BK459" s="28"/>
      <c r="BL459" s="28"/>
      <c r="BM459" s="28"/>
      <c r="BN459" s="28"/>
      <c r="BO459" s="28"/>
      <c r="BP459" s="28"/>
      <c r="BQ459" s="28"/>
      <c r="BR459" s="28"/>
      <c r="BS459" s="28"/>
      <c r="BT459" s="28"/>
      <c r="BU459" s="28"/>
      <c r="BV459" s="28"/>
      <c r="BW459" s="28"/>
      <c r="BX459" s="28"/>
      <c r="BY459" s="28"/>
      <c r="BZ459" s="28"/>
      <c r="CA459" s="28"/>
      <c r="CB459" s="28"/>
    </row>
    <row r="460" spans="1:80" hidden="1" x14ac:dyDescent="0.25">
      <c r="A460" s="31" t="s">
        <v>274</v>
      </c>
      <c r="B460" s="39" t="s">
        <v>272</v>
      </c>
      <c r="C460" s="30" t="s">
        <v>273</v>
      </c>
      <c r="D460" s="30" t="s">
        <v>14</v>
      </c>
      <c r="E460" s="20" t="s">
        <v>1954</v>
      </c>
      <c r="F460" s="26" t="s">
        <v>1977</v>
      </c>
      <c r="G460" s="30"/>
      <c r="H460" s="30"/>
      <c r="I460" s="29" t="e">
        <f>VLOOKUP(B460,#REF!,2,FALSE)</f>
        <v>#REF!</v>
      </c>
      <c r="J460" s="28"/>
      <c r="K460" s="28"/>
      <c r="L460" s="28"/>
      <c r="M460" s="28"/>
      <c r="N460" s="28"/>
      <c r="O460" s="28"/>
      <c r="P460" s="28"/>
      <c r="Q460" s="28"/>
      <c r="R460" s="28"/>
      <c r="S460" s="28"/>
      <c r="T460" s="28"/>
      <c r="U460" s="28"/>
      <c r="V460" s="28"/>
      <c r="W460" s="28"/>
      <c r="X460" s="28"/>
      <c r="Y460" s="28"/>
      <c r="Z460" s="28"/>
      <c r="AA460" s="28"/>
      <c r="AB460" s="28"/>
      <c r="AC460" s="28"/>
      <c r="AD460" s="28"/>
      <c r="AE460" s="28"/>
      <c r="AF460" s="28"/>
      <c r="AG460" s="28"/>
      <c r="AH460" s="28"/>
      <c r="AI460" s="28"/>
      <c r="AJ460" s="28"/>
      <c r="AK460" s="28"/>
      <c r="AL460" s="28"/>
      <c r="AM460" s="28"/>
      <c r="AN460" s="28"/>
      <c r="AO460" s="28"/>
      <c r="AP460" s="28"/>
      <c r="AQ460" s="28"/>
      <c r="AR460" s="28"/>
      <c r="AS460" s="28"/>
      <c r="AT460" s="28"/>
      <c r="AU460" s="28"/>
      <c r="AV460" s="28"/>
      <c r="AW460" s="28"/>
      <c r="AX460" s="28"/>
      <c r="AY460" s="28"/>
      <c r="AZ460" s="28"/>
      <c r="BA460" s="28"/>
      <c r="BB460" s="28"/>
      <c r="BC460" s="28"/>
      <c r="BD460" s="28"/>
      <c r="BE460" s="28"/>
      <c r="BF460" s="28"/>
      <c r="BG460" s="28"/>
      <c r="BH460" s="28"/>
      <c r="BI460" s="28"/>
      <c r="BJ460" s="28"/>
      <c r="BK460" s="28"/>
      <c r="BL460" s="28"/>
      <c r="BM460" s="28"/>
      <c r="BN460" s="28"/>
      <c r="BO460" s="28"/>
      <c r="BP460" s="28"/>
      <c r="BQ460" s="28"/>
      <c r="BR460" s="28"/>
      <c r="BS460" s="28"/>
      <c r="BT460" s="28"/>
      <c r="BU460" s="28"/>
      <c r="BV460" s="28"/>
      <c r="BW460" s="28"/>
      <c r="BX460" s="28"/>
      <c r="BY460" s="28"/>
      <c r="BZ460" s="28"/>
      <c r="CA460" s="28"/>
      <c r="CB460" s="28"/>
    </row>
    <row r="461" spans="1:80" x14ac:dyDescent="0.25">
      <c r="A461" s="31" t="s">
        <v>1979</v>
      </c>
      <c r="B461" s="39" t="s">
        <v>1980</v>
      </c>
      <c r="C461" s="30" t="s">
        <v>1767</v>
      </c>
      <c r="D461" s="30" t="s">
        <v>78</v>
      </c>
      <c r="E461" s="20" t="s">
        <v>1954</v>
      </c>
      <c r="F461" s="26" t="s">
        <v>1981</v>
      </c>
      <c r="G461" s="30"/>
      <c r="H461" s="30"/>
      <c r="I461" s="29" t="e">
        <f>VLOOKUP(B461,#REF!,2,FALSE)</f>
        <v>#REF!</v>
      </c>
      <c r="J461" s="29"/>
      <c r="K461" s="29"/>
      <c r="L461" s="29"/>
      <c r="M461" s="29"/>
      <c r="N461" s="29"/>
      <c r="O461" s="29"/>
      <c r="P461" s="29"/>
      <c r="Q461" s="29"/>
      <c r="R461" s="29"/>
      <c r="S461" s="29"/>
      <c r="T461" s="29"/>
      <c r="U461" s="29"/>
      <c r="V461" s="29"/>
      <c r="W461" s="29"/>
      <c r="X461" s="29"/>
      <c r="Y461" s="29"/>
      <c r="Z461" s="29"/>
      <c r="AA461" s="29"/>
      <c r="AB461" s="29"/>
      <c r="AC461" s="29"/>
      <c r="AD461" s="29"/>
      <c r="AE461" s="29"/>
      <c r="AF461" s="29"/>
      <c r="AG461" s="29"/>
      <c r="AH461" s="29"/>
      <c r="AI461" s="29"/>
      <c r="AJ461" s="29"/>
      <c r="AK461" s="29"/>
      <c r="AL461" s="29"/>
      <c r="AM461" s="29"/>
      <c r="AN461" s="29"/>
      <c r="AO461" s="29"/>
      <c r="AP461" s="29"/>
      <c r="AQ461" s="29"/>
      <c r="AR461" s="29"/>
      <c r="AS461" s="29"/>
      <c r="AT461" s="29"/>
      <c r="AU461" s="29"/>
      <c r="AV461" s="29"/>
      <c r="AW461" s="29"/>
      <c r="AX461" s="29"/>
      <c r="AY461" s="29"/>
      <c r="AZ461" s="29"/>
      <c r="BA461" s="29"/>
      <c r="BB461" s="29"/>
      <c r="BC461" s="29"/>
      <c r="BD461" s="29"/>
      <c r="BE461" s="29"/>
      <c r="BF461" s="29"/>
      <c r="BG461" s="29"/>
      <c r="BH461" s="29"/>
      <c r="BI461" s="29"/>
      <c r="BJ461" s="29"/>
      <c r="BK461" s="29"/>
      <c r="BL461" s="29"/>
      <c r="BM461" s="29"/>
      <c r="BN461" s="29"/>
      <c r="BO461" s="29"/>
      <c r="BP461" s="29"/>
      <c r="BQ461" s="29"/>
      <c r="BR461" s="29"/>
      <c r="BS461" s="29"/>
      <c r="BT461" s="29"/>
      <c r="BU461" s="29"/>
      <c r="BV461" s="29"/>
      <c r="BW461" s="29"/>
      <c r="BX461" s="29"/>
      <c r="BY461" s="29"/>
      <c r="BZ461" s="29"/>
      <c r="CA461" s="29"/>
      <c r="CB461" s="29"/>
    </row>
    <row r="462" spans="1:80" hidden="1" x14ac:dyDescent="0.25">
      <c r="A462" s="31" t="s">
        <v>68</v>
      </c>
      <c r="B462" s="39" t="s">
        <v>1982</v>
      </c>
      <c r="C462" s="30" t="s">
        <v>1690</v>
      </c>
      <c r="D462" s="30" t="s">
        <v>52</v>
      </c>
      <c r="E462" s="20" t="s">
        <v>1954</v>
      </c>
      <c r="F462" s="26" t="s">
        <v>1981</v>
      </c>
      <c r="G462" s="30"/>
      <c r="H462" s="30"/>
      <c r="I462" s="29" t="e">
        <f>VLOOKUP(B462,#REF!,2,FALSE)</f>
        <v>#REF!</v>
      </c>
      <c r="J462" s="28"/>
      <c r="K462" s="28"/>
      <c r="L462" s="28"/>
      <c r="M462" s="28"/>
      <c r="N462" s="28"/>
      <c r="O462" s="28"/>
      <c r="P462" s="28"/>
      <c r="Q462" s="28"/>
      <c r="R462" s="28"/>
      <c r="S462" s="28"/>
      <c r="T462" s="28"/>
      <c r="U462" s="28"/>
      <c r="V462" s="28"/>
      <c r="W462" s="28"/>
      <c r="X462" s="28"/>
      <c r="Y462" s="28"/>
      <c r="Z462" s="28"/>
      <c r="AA462" s="28"/>
      <c r="AB462" s="28"/>
      <c r="AC462" s="28"/>
      <c r="AD462" s="28"/>
      <c r="AE462" s="28"/>
      <c r="AF462" s="28"/>
      <c r="AG462" s="28"/>
      <c r="AH462" s="28"/>
      <c r="AI462" s="28"/>
      <c r="AJ462" s="28"/>
      <c r="AK462" s="28"/>
      <c r="AL462" s="28"/>
      <c r="AM462" s="28"/>
      <c r="AN462" s="28"/>
      <c r="AO462" s="28"/>
      <c r="AP462" s="28"/>
      <c r="AQ462" s="28"/>
      <c r="AR462" s="28"/>
      <c r="AS462" s="28"/>
      <c r="AT462" s="28"/>
      <c r="AU462" s="28"/>
      <c r="AV462" s="28"/>
      <c r="AW462" s="28"/>
      <c r="AX462" s="28"/>
      <c r="AY462" s="28"/>
      <c r="AZ462" s="28"/>
      <c r="BA462" s="28"/>
      <c r="BB462" s="28"/>
      <c r="BC462" s="28"/>
      <c r="BD462" s="28"/>
      <c r="BE462" s="28"/>
      <c r="BF462" s="28"/>
      <c r="BG462" s="28"/>
      <c r="BH462" s="28"/>
      <c r="BI462" s="28"/>
      <c r="BJ462" s="28"/>
      <c r="BK462" s="28"/>
      <c r="BL462" s="28"/>
      <c r="BM462" s="28"/>
      <c r="BN462" s="28"/>
      <c r="BO462" s="28"/>
      <c r="BP462" s="28"/>
      <c r="BQ462" s="28"/>
      <c r="BR462" s="28"/>
      <c r="BS462" s="28"/>
      <c r="BT462" s="28"/>
      <c r="BU462" s="28"/>
      <c r="BV462" s="28"/>
      <c r="BW462" s="28"/>
      <c r="BX462" s="28"/>
      <c r="BY462" s="28"/>
      <c r="BZ462" s="28"/>
      <c r="CA462" s="28"/>
      <c r="CB462" s="28"/>
    </row>
    <row r="463" spans="1:80" hidden="1" x14ac:dyDescent="0.25">
      <c r="A463" s="31" t="s">
        <v>74</v>
      </c>
      <c r="B463" s="39" t="s">
        <v>72</v>
      </c>
      <c r="C463" s="30" t="s">
        <v>73</v>
      </c>
      <c r="D463" s="30" t="s">
        <v>14</v>
      </c>
      <c r="E463" s="20" t="s">
        <v>1954</v>
      </c>
      <c r="F463" s="26" t="s">
        <v>1981</v>
      </c>
      <c r="G463" s="30"/>
      <c r="H463" s="30"/>
      <c r="I463" s="29" t="e">
        <f>VLOOKUP(B463,#REF!,2,FALSE)</f>
        <v>#REF!</v>
      </c>
      <c r="J463" s="29"/>
      <c r="K463" s="29"/>
      <c r="L463" s="29"/>
      <c r="M463" s="29"/>
      <c r="N463" s="29"/>
      <c r="O463" s="29"/>
      <c r="P463" s="29"/>
      <c r="Q463" s="29"/>
      <c r="R463" s="29"/>
      <c r="S463" s="29"/>
      <c r="T463" s="29"/>
      <c r="U463" s="29"/>
      <c r="V463" s="29"/>
      <c r="W463" s="29"/>
      <c r="X463" s="29"/>
      <c r="Y463" s="29"/>
      <c r="Z463" s="29"/>
      <c r="AA463" s="29"/>
      <c r="AB463" s="29"/>
      <c r="AC463" s="29"/>
      <c r="AD463" s="29"/>
      <c r="AE463" s="29"/>
      <c r="AF463" s="29"/>
      <c r="AG463" s="29"/>
      <c r="AH463" s="29"/>
      <c r="AI463" s="29"/>
      <c r="AJ463" s="29"/>
      <c r="AK463" s="29"/>
      <c r="AL463" s="29"/>
      <c r="AM463" s="29"/>
      <c r="AN463" s="29"/>
      <c r="AO463" s="29"/>
      <c r="AP463" s="29"/>
      <c r="AQ463" s="29"/>
      <c r="AR463" s="29"/>
      <c r="AS463" s="29"/>
      <c r="AT463" s="29"/>
      <c r="AU463" s="29"/>
      <c r="AV463" s="29"/>
      <c r="AW463" s="29"/>
      <c r="AX463" s="29"/>
      <c r="AY463" s="29"/>
      <c r="AZ463" s="29"/>
      <c r="BA463" s="29"/>
      <c r="BB463" s="29"/>
      <c r="BC463" s="29"/>
      <c r="BD463" s="29"/>
      <c r="BE463" s="29"/>
      <c r="BF463" s="29"/>
      <c r="BG463" s="29"/>
      <c r="BH463" s="29"/>
      <c r="BI463" s="29"/>
      <c r="BJ463" s="29"/>
      <c r="BK463" s="29"/>
      <c r="BL463" s="29"/>
      <c r="BM463" s="29"/>
      <c r="BN463" s="29"/>
      <c r="BO463" s="29"/>
      <c r="BP463" s="29"/>
      <c r="BQ463" s="29"/>
      <c r="BR463" s="29"/>
      <c r="BS463" s="29"/>
      <c r="BT463" s="29"/>
      <c r="BU463" s="29"/>
      <c r="BV463" s="29"/>
      <c r="BW463" s="29"/>
      <c r="BX463" s="29"/>
      <c r="BY463" s="29"/>
      <c r="BZ463" s="29"/>
      <c r="CA463" s="29"/>
      <c r="CB463" s="29"/>
    </row>
    <row r="464" spans="1:80" hidden="1" x14ac:dyDescent="0.25">
      <c r="A464" s="31" t="s">
        <v>81</v>
      </c>
      <c r="B464" s="39" t="s">
        <v>1983</v>
      </c>
      <c r="C464" s="30" t="s">
        <v>1984</v>
      </c>
      <c r="D464" s="30" t="s">
        <v>78</v>
      </c>
      <c r="E464" s="20" t="s">
        <v>1954</v>
      </c>
      <c r="F464" s="26" t="s">
        <v>1981</v>
      </c>
      <c r="G464" s="30"/>
      <c r="H464" s="30"/>
      <c r="I464" s="29" t="e">
        <f>VLOOKUP(B464,#REF!,2,FALSE)</f>
        <v>#REF!</v>
      </c>
      <c r="J464" s="28"/>
      <c r="K464" s="28"/>
      <c r="L464" s="28"/>
      <c r="M464" s="28"/>
      <c r="N464" s="28"/>
      <c r="O464" s="28"/>
      <c r="P464" s="28"/>
      <c r="Q464" s="28"/>
      <c r="R464" s="28"/>
      <c r="S464" s="28"/>
      <c r="T464" s="28"/>
      <c r="U464" s="28"/>
      <c r="V464" s="28"/>
      <c r="W464" s="28"/>
      <c r="X464" s="28"/>
      <c r="Y464" s="28"/>
      <c r="Z464" s="28"/>
      <c r="AA464" s="28"/>
      <c r="AB464" s="28"/>
      <c r="AC464" s="28"/>
      <c r="AD464" s="28"/>
      <c r="AE464" s="28"/>
      <c r="AF464" s="28"/>
      <c r="AG464" s="28"/>
      <c r="AH464" s="28"/>
      <c r="AI464" s="28"/>
      <c r="AJ464" s="28"/>
      <c r="AK464" s="28"/>
      <c r="AL464" s="28"/>
      <c r="AM464" s="28"/>
      <c r="AN464" s="28"/>
      <c r="AO464" s="28"/>
      <c r="AP464" s="28"/>
      <c r="AQ464" s="28"/>
      <c r="AR464" s="28"/>
      <c r="AS464" s="28"/>
      <c r="AT464" s="28"/>
      <c r="AU464" s="28"/>
      <c r="AV464" s="28"/>
      <c r="AW464" s="28"/>
      <c r="AX464" s="28"/>
      <c r="AY464" s="28"/>
      <c r="AZ464" s="28"/>
      <c r="BA464" s="28"/>
      <c r="BB464" s="28"/>
      <c r="BC464" s="28"/>
      <c r="BD464" s="28"/>
      <c r="BE464" s="28"/>
      <c r="BF464" s="28"/>
      <c r="BG464" s="28"/>
      <c r="BH464" s="28"/>
      <c r="BI464" s="28"/>
      <c r="BJ464" s="28"/>
      <c r="BK464" s="28"/>
      <c r="BL464" s="28"/>
      <c r="BM464" s="28"/>
      <c r="BN464" s="28"/>
      <c r="BO464" s="28"/>
      <c r="BP464" s="28"/>
      <c r="BQ464" s="28"/>
      <c r="BR464" s="28"/>
      <c r="BS464" s="28"/>
      <c r="BT464" s="28"/>
      <c r="BU464" s="28"/>
      <c r="BV464" s="28"/>
      <c r="BW464" s="28"/>
      <c r="BX464" s="28"/>
      <c r="BY464" s="28"/>
      <c r="BZ464" s="28"/>
      <c r="CA464" s="28"/>
      <c r="CB464" s="28"/>
    </row>
    <row r="465" spans="1:80" hidden="1" x14ac:dyDescent="0.25">
      <c r="A465" s="31" t="s">
        <v>87</v>
      </c>
      <c r="B465" s="39" t="s">
        <v>1985</v>
      </c>
      <c r="C465" s="30" t="s">
        <v>1704</v>
      </c>
      <c r="D465" s="30" t="s">
        <v>78</v>
      </c>
      <c r="E465" s="20" t="s">
        <v>1954</v>
      </c>
      <c r="F465" s="26" t="s">
        <v>1981</v>
      </c>
      <c r="G465" s="30"/>
      <c r="H465" s="30"/>
      <c r="I465" s="29" t="e">
        <f>VLOOKUP(B465,#REF!,2,FALSE)</f>
        <v>#REF!</v>
      </c>
      <c r="J465" s="28"/>
      <c r="K465" s="28"/>
      <c r="L465" s="28"/>
      <c r="M465" s="28"/>
      <c r="N465" s="28"/>
      <c r="O465" s="28"/>
      <c r="P465" s="28"/>
      <c r="Q465" s="28"/>
      <c r="R465" s="28"/>
      <c r="S465" s="28"/>
      <c r="T465" s="28"/>
      <c r="U465" s="28"/>
      <c r="V465" s="28"/>
      <c r="W465" s="28"/>
      <c r="X465" s="28"/>
      <c r="Y465" s="28"/>
      <c r="Z465" s="28"/>
      <c r="AA465" s="28"/>
      <c r="AB465" s="28"/>
      <c r="AC465" s="28"/>
      <c r="AD465" s="28"/>
      <c r="AE465" s="28"/>
      <c r="AF465" s="28"/>
      <c r="AG465" s="28"/>
      <c r="AH465" s="28"/>
      <c r="AI465" s="28"/>
      <c r="AJ465" s="28"/>
      <c r="AK465" s="28"/>
      <c r="AL465" s="28"/>
      <c r="AM465" s="28"/>
      <c r="AN465" s="28"/>
      <c r="AO465" s="28"/>
      <c r="AP465" s="28"/>
      <c r="AQ465" s="28"/>
      <c r="AR465" s="28"/>
      <c r="AS465" s="28"/>
      <c r="AT465" s="28"/>
      <c r="AU465" s="28"/>
      <c r="AV465" s="28"/>
      <c r="AW465" s="28"/>
      <c r="AX465" s="28"/>
      <c r="AY465" s="28"/>
      <c r="AZ465" s="28"/>
      <c r="BA465" s="28"/>
      <c r="BB465" s="28"/>
      <c r="BC465" s="28"/>
      <c r="BD465" s="28"/>
      <c r="BE465" s="28"/>
      <c r="BF465" s="28"/>
      <c r="BG465" s="28"/>
      <c r="BH465" s="28"/>
      <c r="BI465" s="28"/>
      <c r="BJ465" s="28"/>
      <c r="BK465" s="28"/>
      <c r="BL465" s="28"/>
      <c r="BM465" s="28"/>
      <c r="BN465" s="28"/>
      <c r="BO465" s="28"/>
      <c r="BP465" s="28"/>
      <c r="BQ465" s="28"/>
      <c r="BR465" s="28"/>
      <c r="BS465" s="28"/>
      <c r="BT465" s="28"/>
      <c r="BU465" s="28"/>
      <c r="BV465" s="28"/>
      <c r="BW465" s="28"/>
      <c r="BX465" s="28"/>
      <c r="BY465" s="28"/>
      <c r="BZ465" s="28"/>
      <c r="CA465" s="28"/>
      <c r="CB465" s="28"/>
    </row>
    <row r="466" spans="1:80" hidden="1" x14ac:dyDescent="0.25">
      <c r="A466" s="31" t="s">
        <v>143</v>
      </c>
      <c r="B466" s="39" t="s">
        <v>141</v>
      </c>
      <c r="C466" s="30" t="s">
        <v>142</v>
      </c>
      <c r="D466" s="30" t="s">
        <v>10</v>
      </c>
      <c r="E466" s="20" t="s">
        <v>1954</v>
      </c>
      <c r="F466" s="26" t="s">
        <v>1981</v>
      </c>
      <c r="G466" s="30"/>
      <c r="H466" s="30"/>
      <c r="I466" s="29" t="e">
        <f>VLOOKUP(B466,#REF!,2,FALSE)</f>
        <v>#REF!</v>
      </c>
      <c r="J466" s="28"/>
      <c r="K466" s="28"/>
      <c r="L466" s="28"/>
      <c r="M466" s="28"/>
      <c r="N466" s="28"/>
      <c r="O466" s="28"/>
      <c r="P466" s="28"/>
      <c r="Q466" s="28"/>
      <c r="R466" s="28"/>
      <c r="S466" s="28"/>
      <c r="T466" s="28"/>
      <c r="U466" s="28"/>
      <c r="V466" s="28"/>
      <c r="W466" s="28"/>
      <c r="X466" s="28"/>
      <c r="Y466" s="28"/>
      <c r="Z466" s="28"/>
      <c r="AA466" s="28"/>
      <c r="AB466" s="28"/>
      <c r="AC466" s="28"/>
      <c r="AD466" s="28"/>
      <c r="AE466" s="28"/>
      <c r="AF466" s="28"/>
      <c r="AG466" s="28"/>
      <c r="AH466" s="28"/>
      <c r="AI466" s="28"/>
      <c r="AJ466" s="28"/>
      <c r="AK466" s="28"/>
      <c r="AL466" s="28"/>
      <c r="AM466" s="28"/>
      <c r="AN466" s="28"/>
      <c r="AO466" s="28"/>
      <c r="AP466" s="28"/>
      <c r="AQ466" s="28"/>
      <c r="AR466" s="28"/>
      <c r="AS466" s="28"/>
      <c r="AT466" s="28"/>
      <c r="AU466" s="28"/>
      <c r="AV466" s="28"/>
      <c r="AW466" s="28"/>
      <c r="AX466" s="28"/>
      <c r="AY466" s="28"/>
      <c r="AZ466" s="28"/>
      <c r="BA466" s="28"/>
      <c r="BB466" s="28"/>
      <c r="BC466" s="28"/>
      <c r="BD466" s="28"/>
      <c r="BE466" s="28"/>
      <c r="BF466" s="28"/>
      <c r="BG466" s="28"/>
      <c r="BH466" s="28"/>
      <c r="BI466" s="28"/>
      <c r="BJ466" s="28"/>
      <c r="BK466" s="28"/>
      <c r="BL466" s="28"/>
      <c r="BM466" s="28"/>
      <c r="BN466" s="28"/>
      <c r="BO466" s="28"/>
      <c r="BP466" s="28"/>
      <c r="BQ466" s="28"/>
      <c r="BR466" s="28"/>
      <c r="BS466" s="28"/>
      <c r="BT466" s="28"/>
      <c r="BU466" s="28"/>
      <c r="BV466" s="28"/>
      <c r="BW466" s="28"/>
      <c r="BX466" s="28"/>
      <c r="BY466" s="28"/>
      <c r="BZ466" s="28"/>
      <c r="CA466" s="28"/>
      <c r="CB466" s="28"/>
    </row>
    <row r="467" spans="1:80" hidden="1" x14ac:dyDescent="0.25">
      <c r="A467" s="31" t="s">
        <v>149</v>
      </c>
      <c r="B467" s="39" t="s">
        <v>1986</v>
      </c>
      <c r="C467" s="30" t="s">
        <v>1727</v>
      </c>
      <c r="D467" s="30" t="s">
        <v>52</v>
      </c>
      <c r="E467" s="20" t="s">
        <v>1954</v>
      </c>
      <c r="F467" s="26" t="s">
        <v>1981</v>
      </c>
      <c r="G467" s="30"/>
      <c r="H467" s="30"/>
      <c r="I467" s="29" t="e">
        <f>VLOOKUP(B467,#REF!,2,FALSE)</f>
        <v>#REF!</v>
      </c>
      <c r="J467" s="29"/>
      <c r="K467" s="29"/>
      <c r="L467" s="29"/>
      <c r="M467" s="29"/>
      <c r="N467" s="29"/>
      <c r="O467" s="29"/>
      <c r="P467" s="29"/>
      <c r="Q467" s="29"/>
      <c r="R467" s="29"/>
      <c r="S467" s="29"/>
      <c r="T467" s="29"/>
      <c r="U467" s="29"/>
      <c r="V467" s="29"/>
      <c r="W467" s="29"/>
      <c r="X467" s="29"/>
      <c r="Y467" s="29"/>
      <c r="Z467" s="29"/>
      <c r="AA467" s="29"/>
      <c r="AB467" s="29"/>
      <c r="AC467" s="29"/>
      <c r="AD467" s="29"/>
      <c r="AE467" s="29"/>
      <c r="AF467" s="29"/>
      <c r="AG467" s="29"/>
      <c r="AH467" s="29"/>
      <c r="AI467" s="29"/>
      <c r="AJ467" s="29"/>
      <c r="AK467" s="29"/>
      <c r="AL467" s="29"/>
      <c r="AM467" s="29"/>
      <c r="AN467" s="29"/>
      <c r="AO467" s="29"/>
      <c r="AP467" s="29"/>
      <c r="AQ467" s="29"/>
      <c r="AR467" s="29"/>
      <c r="AS467" s="29"/>
      <c r="AT467" s="29"/>
      <c r="AU467" s="29"/>
      <c r="AV467" s="29"/>
      <c r="AW467" s="29"/>
      <c r="AX467" s="29"/>
      <c r="AY467" s="29"/>
      <c r="AZ467" s="29"/>
      <c r="BA467" s="29"/>
      <c r="BB467" s="29"/>
      <c r="BC467" s="29"/>
      <c r="BD467" s="29"/>
      <c r="BE467" s="29"/>
      <c r="BF467" s="29"/>
      <c r="BG467" s="29"/>
      <c r="BH467" s="29"/>
      <c r="BI467" s="29"/>
      <c r="BJ467" s="29"/>
      <c r="BK467" s="29"/>
      <c r="BL467" s="29"/>
      <c r="BM467" s="29"/>
      <c r="BN467" s="29"/>
      <c r="BO467" s="29"/>
      <c r="BP467" s="29"/>
      <c r="BQ467" s="29"/>
      <c r="BR467" s="29"/>
      <c r="BS467" s="29"/>
      <c r="BT467" s="29"/>
      <c r="BU467" s="29"/>
      <c r="BV467" s="29"/>
      <c r="BW467" s="29"/>
      <c r="BX467" s="29"/>
      <c r="BY467" s="29"/>
      <c r="BZ467" s="29"/>
      <c r="CA467" s="29"/>
      <c r="CB467" s="29"/>
    </row>
    <row r="468" spans="1:80" hidden="1" x14ac:dyDescent="0.25">
      <c r="A468" s="31" t="s">
        <v>1189</v>
      </c>
      <c r="B468" s="39" t="s">
        <v>1188</v>
      </c>
      <c r="C468" s="30" t="s">
        <v>997</v>
      </c>
      <c r="D468" s="30" t="s">
        <v>78</v>
      </c>
      <c r="E468" s="20" t="s">
        <v>1954</v>
      </c>
      <c r="F468" s="26" t="s">
        <v>1981</v>
      </c>
      <c r="G468" s="30"/>
      <c r="H468" s="30"/>
      <c r="I468" s="29" t="e">
        <f>VLOOKUP(B468,#REF!,2,FALSE)</f>
        <v>#REF!</v>
      </c>
      <c r="J468" s="28"/>
      <c r="K468" s="28"/>
      <c r="L468" s="28"/>
      <c r="M468" s="28"/>
      <c r="N468" s="28"/>
      <c r="O468" s="28"/>
      <c r="P468" s="28"/>
      <c r="Q468" s="28"/>
      <c r="R468" s="28"/>
      <c r="S468" s="28"/>
      <c r="T468" s="28"/>
      <c r="U468" s="28"/>
      <c r="V468" s="28"/>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28"/>
      <c r="BB468" s="28"/>
      <c r="BC468" s="28"/>
      <c r="BD468" s="28"/>
      <c r="BE468" s="28"/>
      <c r="BF468" s="28"/>
      <c r="BG468" s="28"/>
      <c r="BH468" s="28"/>
      <c r="BI468" s="28"/>
      <c r="BJ468" s="28"/>
      <c r="BK468" s="28"/>
      <c r="BL468" s="28"/>
      <c r="BM468" s="28"/>
      <c r="BN468" s="28"/>
      <c r="BO468" s="28"/>
      <c r="BP468" s="28"/>
      <c r="BQ468" s="28"/>
      <c r="BR468" s="28"/>
      <c r="BS468" s="28"/>
      <c r="BT468" s="28"/>
      <c r="BU468" s="28"/>
      <c r="BV468" s="28"/>
      <c r="BW468" s="28"/>
      <c r="BX468" s="28"/>
      <c r="BY468" s="28"/>
      <c r="BZ468" s="28"/>
      <c r="CA468" s="28"/>
      <c r="CB468" s="28"/>
    </row>
    <row r="469" spans="1:80" hidden="1" x14ac:dyDescent="0.25">
      <c r="A469" s="33" t="s">
        <v>157</v>
      </c>
      <c r="B469" s="38" t="s">
        <v>156</v>
      </c>
      <c r="C469" s="32" t="s">
        <v>173</v>
      </c>
      <c r="D469" s="32" t="s">
        <v>78</v>
      </c>
      <c r="E469" s="21" t="s">
        <v>1954</v>
      </c>
      <c r="F469" s="25" t="s">
        <v>1981</v>
      </c>
      <c r="G469" s="32"/>
      <c r="H469" s="32"/>
      <c r="I469" s="29" t="e">
        <f>VLOOKUP(B469,#REF!,2,FALSE)</f>
        <v>#REF!</v>
      </c>
      <c r="J469" s="28"/>
      <c r="K469" s="28"/>
      <c r="L469" s="28"/>
      <c r="M469" s="28"/>
      <c r="N469" s="28"/>
      <c r="O469" s="28"/>
      <c r="P469" s="28"/>
      <c r="Q469" s="28"/>
      <c r="R469" s="28"/>
      <c r="S469" s="28"/>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28"/>
      <c r="AR469" s="28"/>
      <c r="AS469" s="28"/>
      <c r="AT469" s="28"/>
      <c r="AU469" s="28"/>
      <c r="AV469" s="28"/>
      <c r="AW469" s="28"/>
      <c r="AX469" s="28"/>
      <c r="AY469" s="28"/>
      <c r="AZ469" s="28"/>
      <c r="BA469" s="28"/>
      <c r="BB469" s="28"/>
      <c r="BC469" s="28"/>
      <c r="BD469" s="28"/>
      <c r="BE469" s="28"/>
      <c r="BF469" s="28"/>
      <c r="BG469" s="28"/>
      <c r="BH469" s="28"/>
      <c r="BI469" s="28"/>
      <c r="BJ469" s="28"/>
      <c r="BK469" s="28"/>
      <c r="BL469" s="28"/>
      <c r="BM469" s="28"/>
      <c r="BN469" s="28"/>
      <c r="BO469" s="28"/>
      <c r="BP469" s="28"/>
      <c r="BQ469" s="28"/>
      <c r="BR469" s="28"/>
      <c r="BS469" s="28"/>
      <c r="BT469" s="28"/>
      <c r="BU469" s="28"/>
      <c r="BV469" s="28"/>
      <c r="BW469" s="28"/>
      <c r="BX469" s="28"/>
      <c r="BY469" s="28"/>
      <c r="BZ469" s="28"/>
      <c r="CA469" s="28"/>
      <c r="CB469" s="28"/>
    </row>
    <row r="470" spans="1:80" hidden="1" x14ac:dyDescent="0.25">
      <c r="A470" s="31" t="s">
        <v>168</v>
      </c>
      <c r="B470" s="39" t="s">
        <v>1987</v>
      </c>
      <c r="C470" s="30" t="s">
        <v>1679</v>
      </c>
      <c r="D470" s="30" t="s">
        <v>78</v>
      </c>
      <c r="E470" s="20" t="s">
        <v>1954</v>
      </c>
      <c r="F470" s="26" t="s">
        <v>1981</v>
      </c>
      <c r="G470" s="30" t="s">
        <v>1988</v>
      </c>
      <c r="H470" s="30"/>
      <c r="I470" s="29" t="e">
        <f>VLOOKUP(B470,#REF!,2,FALSE)</f>
        <v>#REF!</v>
      </c>
      <c r="J470" s="28"/>
      <c r="K470" s="28"/>
      <c r="L470" s="28"/>
      <c r="M470" s="28"/>
      <c r="N470" s="28"/>
      <c r="O470" s="28"/>
      <c r="P470" s="28"/>
      <c r="Q470" s="28"/>
      <c r="R470" s="28"/>
      <c r="S470" s="28"/>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28"/>
      <c r="BB470" s="28"/>
      <c r="BC470" s="28"/>
      <c r="BD470" s="28"/>
      <c r="BE470" s="28"/>
      <c r="BF470" s="28"/>
      <c r="BG470" s="28"/>
      <c r="BH470" s="28"/>
      <c r="BI470" s="28"/>
      <c r="BJ470" s="28"/>
      <c r="BK470" s="28"/>
      <c r="BL470" s="28"/>
      <c r="BM470" s="28"/>
      <c r="BN470" s="28"/>
      <c r="BO470" s="28"/>
      <c r="BP470" s="28"/>
      <c r="BQ470" s="28"/>
      <c r="BR470" s="28"/>
      <c r="BS470" s="28"/>
      <c r="BT470" s="28"/>
      <c r="BU470" s="28"/>
      <c r="BV470" s="28"/>
      <c r="BW470" s="28"/>
      <c r="BX470" s="28"/>
      <c r="BY470" s="28"/>
      <c r="BZ470" s="28"/>
      <c r="CA470" s="28"/>
      <c r="CB470" s="28"/>
    </row>
    <row r="471" spans="1:80" hidden="1" x14ac:dyDescent="0.25">
      <c r="A471" s="31" t="s">
        <v>180</v>
      </c>
      <c r="B471" s="39" t="s">
        <v>1837</v>
      </c>
      <c r="C471" s="30" t="s">
        <v>1989</v>
      </c>
      <c r="D471" s="30" t="s">
        <v>78</v>
      </c>
      <c r="E471" s="20" t="s">
        <v>1954</v>
      </c>
      <c r="F471" s="26" t="s">
        <v>1981</v>
      </c>
      <c r="G471" s="30"/>
      <c r="H471" s="30"/>
      <c r="I471" s="29" t="e">
        <f>VLOOKUP(B471,#REF!,2,FALSE)</f>
        <v>#REF!</v>
      </c>
      <c r="J471" s="28"/>
      <c r="K471" s="28"/>
      <c r="L471" s="28"/>
      <c r="M471" s="28"/>
      <c r="N471" s="28"/>
      <c r="O471" s="28"/>
      <c r="P471" s="28"/>
      <c r="Q471" s="28"/>
      <c r="R471" s="28"/>
      <c r="S471" s="28"/>
      <c r="T471" s="28"/>
      <c r="U471" s="28"/>
      <c r="V471" s="28"/>
      <c r="W471" s="28"/>
      <c r="X471" s="28"/>
      <c r="Y471" s="28"/>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28"/>
      <c r="BB471" s="28"/>
      <c r="BC471" s="28"/>
      <c r="BD471" s="28"/>
      <c r="BE471" s="28"/>
      <c r="BF471" s="28"/>
      <c r="BG471" s="28"/>
      <c r="BH471" s="28"/>
      <c r="BI471" s="28"/>
      <c r="BJ471" s="28"/>
      <c r="BK471" s="28"/>
      <c r="BL471" s="28"/>
      <c r="BM471" s="28"/>
      <c r="BN471" s="28"/>
      <c r="BO471" s="28"/>
      <c r="BP471" s="28"/>
      <c r="BQ471" s="28"/>
      <c r="BR471" s="28"/>
      <c r="BS471" s="28"/>
      <c r="BT471" s="28"/>
      <c r="BU471" s="28"/>
      <c r="BV471" s="28"/>
      <c r="BW471" s="28"/>
      <c r="BX471" s="28"/>
      <c r="BY471" s="28"/>
      <c r="BZ471" s="28"/>
      <c r="CA471" s="28"/>
      <c r="CB471" s="28"/>
    </row>
    <row r="472" spans="1:80" hidden="1" x14ac:dyDescent="0.25">
      <c r="A472" s="31" t="s">
        <v>214</v>
      </c>
      <c r="B472" s="39" t="s">
        <v>1990</v>
      </c>
      <c r="C472" s="30" t="s">
        <v>1701</v>
      </c>
      <c r="D472" s="30" t="s">
        <v>78</v>
      </c>
      <c r="E472" s="20" t="s">
        <v>1954</v>
      </c>
      <c r="F472" s="26" t="s">
        <v>1981</v>
      </c>
      <c r="G472" s="30"/>
      <c r="H472" s="30"/>
      <c r="I472" s="29" t="e">
        <f>VLOOKUP(B472,#REF!,2,FALSE)</f>
        <v>#REF!</v>
      </c>
      <c r="J472" s="28"/>
      <c r="K472" s="28"/>
      <c r="L472" s="28"/>
      <c r="M472" s="28"/>
      <c r="N472" s="28"/>
      <c r="O472" s="28"/>
      <c r="P472" s="28"/>
      <c r="Q472" s="28"/>
      <c r="R472" s="28"/>
      <c r="S472" s="28"/>
      <c r="T472" s="28"/>
      <c r="U472" s="28"/>
      <c r="V472" s="28"/>
      <c r="W472" s="28"/>
      <c r="X472" s="28"/>
      <c r="Y472" s="28"/>
      <c r="Z472" s="28"/>
      <c r="AA472" s="28"/>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28"/>
      <c r="BB472" s="28"/>
      <c r="BC472" s="28"/>
      <c r="BD472" s="28"/>
      <c r="BE472" s="28"/>
      <c r="BF472" s="28"/>
      <c r="BG472" s="28"/>
      <c r="BH472" s="28"/>
      <c r="BI472" s="28"/>
      <c r="BJ472" s="28"/>
      <c r="BK472" s="28"/>
      <c r="BL472" s="28"/>
      <c r="BM472" s="28"/>
      <c r="BN472" s="28"/>
      <c r="BO472" s="28"/>
      <c r="BP472" s="28"/>
      <c r="BQ472" s="28"/>
      <c r="BR472" s="28"/>
      <c r="BS472" s="28"/>
      <c r="BT472" s="28"/>
      <c r="BU472" s="28"/>
      <c r="BV472" s="28"/>
      <c r="BW472" s="28"/>
      <c r="BX472" s="28"/>
      <c r="BY472" s="28"/>
      <c r="BZ472" s="28"/>
      <c r="CA472" s="28"/>
      <c r="CB472" s="28"/>
    </row>
    <row r="473" spans="1:80" hidden="1" x14ac:dyDescent="0.25">
      <c r="A473" s="31" t="s">
        <v>216</v>
      </c>
      <c r="B473" s="39" t="s">
        <v>1990</v>
      </c>
      <c r="C473" s="30" t="s">
        <v>1991</v>
      </c>
      <c r="D473" s="30" t="s">
        <v>78</v>
      </c>
      <c r="E473" s="20" t="s">
        <v>1954</v>
      </c>
      <c r="F473" s="26" t="s">
        <v>1981</v>
      </c>
      <c r="G473" s="30"/>
      <c r="H473" s="30"/>
      <c r="I473" s="29" t="e">
        <f>VLOOKUP(B473,#REF!,2,FALSE)</f>
        <v>#REF!</v>
      </c>
      <c r="J473" s="28"/>
      <c r="K473" s="28"/>
      <c r="L473" s="28"/>
      <c r="M473" s="28"/>
      <c r="N473" s="28"/>
      <c r="O473" s="28"/>
      <c r="P473" s="28"/>
      <c r="Q473" s="28"/>
      <c r="R473" s="28"/>
      <c r="S473" s="28"/>
      <c r="T473" s="28"/>
      <c r="U473" s="28"/>
      <c r="V473" s="28"/>
      <c r="W473" s="28"/>
      <c r="X473" s="28"/>
      <c r="Y473" s="28"/>
      <c r="Z473" s="28"/>
      <c r="AA473" s="28"/>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28"/>
      <c r="BB473" s="28"/>
      <c r="BC473" s="28"/>
      <c r="BD473" s="28"/>
      <c r="BE473" s="28"/>
      <c r="BF473" s="28"/>
      <c r="BG473" s="28"/>
      <c r="BH473" s="28"/>
      <c r="BI473" s="28"/>
      <c r="BJ473" s="28"/>
      <c r="BK473" s="28"/>
      <c r="BL473" s="28"/>
      <c r="BM473" s="28"/>
      <c r="BN473" s="28"/>
      <c r="BO473" s="28"/>
      <c r="BP473" s="28"/>
      <c r="BQ473" s="28"/>
      <c r="BR473" s="28"/>
      <c r="BS473" s="28"/>
      <c r="BT473" s="28"/>
      <c r="BU473" s="28"/>
      <c r="BV473" s="28"/>
      <c r="BW473" s="28"/>
      <c r="BX473" s="28"/>
      <c r="BY473" s="28"/>
      <c r="BZ473" s="28"/>
      <c r="CA473" s="28"/>
      <c r="CB473" s="28"/>
    </row>
    <row r="474" spans="1:80" hidden="1" x14ac:dyDescent="0.25">
      <c r="A474" s="31" t="s">
        <v>252</v>
      </c>
      <c r="B474" s="39" t="s">
        <v>1992</v>
      </c>
      <c r="C474" s="30" t="s">
        <v>1754</v>
      </c>
      <c r="D474" s="30" t="s">
        <v>52</v>
      </c>
      <c r="E474" s="20" t="s">
        <v>1954</v>
      </c>
      <c r="F474" s="26" t="s">
        <v>1981</v>
      </c>
      <c r="G474" s="30"/>
      <c r="H474" s="30"/>
      <c r="I474" s="29" t="e">
        <f>VLOOKUP(B474,#REF!,2,FALSE)</f>
        <v>#REF!</v>
      </c>
      <c r="J474" s="28"/>
      <c r="K474" s="28"/>
      <c r="L474" s="28"/>
      <c r="M474" s="28"/>
      <c r="N474" s="28"/>
      <c r="O474" s="28"/>
      <c r="P474" s="28"/>
      <c r="Q474" s="28"/>
      <c r="R474" s="28"/>
      <c r="S474" s="28"/>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28"/>
      <c r="BB474" s="28"/>
      <c r="BC474" s="28"/>
      <c r="BD474" s="28"/>
      <c r="BE474" s="28"/>
      <c r="BF474" s="28"/>
      <c r="BG474" s="28"/>
      <c r="BH474" s="28"/>
      <c r="BI474" s="28"/>
      <c r="BJ474" s="28"/>
      <c r="BK474" s="28"/>
      <c r="BL474" s="28"/>
      <c r="BM474" s="28"/>
      <c r="BN474" s="28"/>
      <c r="BO474" s="28"/>
      <c r="BP474" s="28"/>
      <c r="BQ474" s="28"/>
      <c r="BR474" s="28"/>
      <c r="BS474" s="28"/>
      <c r="BT474" s="28"/>
      <c r="BU474" s="28"/>
      <c r="BV474" s="28"/>
      <c r="BW474" s="28"/>
      <c r="BX474" s="28"/>
      <c r="BY474" s="28"/>
      <c r="BZ474" s="28"/>
      <c r="CA474" s="28"/>
      <c r="CB474" s="28"/>
    </row>
    <row r="475" spans="1:80" hidden="1" x14ac:dyDescent="0.25">
      <c r="A475" s="31" t="s">
        <v>269</v>
      </c>
      <c r="B475" s="39" t="s">
        <v>268</v>
      </c>
      <c r="C475" s="30" t="s">
        <v>91</v>
      </c>
      <c r="D475" s="30" t="s">
        <v>52</v>
      </c>
      <c r="E475" s="20" t="s">
        <v>1954</v>
      </c>
      <c r="F475" s="26" t="s">
        <v>1981</v>
      </c>
      <c r="G475" s="30"/>
      <c r="H475" s="30"/>
      <c r="I475" s="29" t="e">
        <f>VLOOKUP(B475,#REF!,2,FALSE)</f>
        <v>#REF!</v>
      </c>
      <c r="J475" s="28"/>
      <c r="K475" s="28"/>
      <c r="L475" s="28"/>
      <c r="M475" s="28"/>
      <c r="N475" s="28"/>
      <c r="O475" s="28"/>
      <c r="P475" s="28"/>
      <c r="Q475" s="28"/>
      <c r="R475" s="28"/>
      <c r="S475" s="28"/>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c r="AS475" s="28"/>
      <c r="AT475" s="28"/>
      <c r="AU475" s="28"/>
      <c r="AV475" s="28"/>
      <c r="AW475" s="28"/>
      <c r="AX475" s="28"/>
      <c r="AY475" s="28"/>
      <c r="AZ475" s="28"/>
      <c r="BA475" s="28"/>
      <c r="BB475" s="28"/>
      <c r="BC475" s="28"/>
      <c r="BD475" s="28"/>
      <c r="BE475" s="28"/>
      <c r="BF475" s="28"/>
      <c r="BG475" s="28"/>
      <c r="BH475" s="28"/>
      <c r="BI475" s="28"/>
      <c r="BJ475" s="28"/>
      <c r="BK475" s="28"/>
      <c r="BL475" s="28"/>
      <c r="BM475" s="28"/>
      <c r="BN475" s="28"/>
      <c r="BO475" s="28"/>
      <c r="BP475" s="28"/>
      <c r="BQ475" s="28"/>
      <c r="BR475" s="28"/>
      <c r="BS475" s="28"/>
      <c r="BT475" s="28"/>
      <c r="BU475" s="28"/>
      <c r="BV475" s="28"/>
      <c r="BW475" s="28"/>
      <c r="BX475" s="28"/>
      <c r="BY475" s="28"/>
      <c r="BZ475" s="28"/>
      <c r="CA475" s="28"/>
      <c r="CB475" s="28"/>
    </row>
    <row r="476" spans="1:80" hidden="1" x14ac:dyDescent="0.25">
      <c r="A476" s="31" t="s">
        <v>1101</v>
      </c>
      <c r="B476" s="39" t="s">
        <v>1100</v>
      </c>
      <c r="C476" s="30" t="s">
        <v>107</v>
      </c>
      <c r="D476" s="30" t="s">
        <v>52</v>
      </c>
      <c r="E476" s="20" t="s">
        <v>1954</v>
      </c>
      <c r="F476" s="26" t="s">
        <v>1981</v>
      </c>
      <c r="G476" s="30"/>
      <c r="H476" s="30"/>
      <c r="I476" s="29" t="e">
        <f>VLOOKUP(B476,#REF!,2,FALSE)</f>
        <v>#REF!</v>
      </c>
      <c r="J476" s="28"/>
      <c r="K476" s="28"/>
      <c r="L476" s="28"/>
      <c r="M476" s="28"/>
      <c r="N476" s="28"/>
      <c r="O476" s="28"/>
      <c r="P476" s="28"/>
      <c r="Q476" s="28"/>
      <c r="R476" s="28"/>
      <c r="S476" s="28"/>
      <c r="T476" s="28"/>
      <c r="U476" s="28"/>
      <c r="V476" s="28"/>
      <c r="W476" s="28"/>
      <c r="X476" s="28"/>
      <c r="Y476" s="28"/>
      <c r="Z476" s="28"/>
      <c r="AA476" s="28"/>
      <c r="AB476" s="28"/>
      <c r="AC476" s="28"/>
      <c r="AD476" s="28"/>
      <c r="AE476" s="28"/>
      <c r="AF476" s="28"/>
      <c r="AG476" s="28"/>
      <c r="AH476" s="28"/>
      <c r="AI476" s="28"/>
      <c r="AJ476" s="28"/>
      <c r="AK476" s="28"/>
      <c r="AL476" s="28"/>
      <c r="AM476" s="28"/>
      <c r="AN476" s="28"/>
      <c r="AO476" s="28"/>
      <c r="AP476" s="28"/>
      <c r="AQ476" s="28"/>
      <c r="AR476" s="28"/>
      <c r="AS476" s="28"/>
      <c r="AT476" s="28"/>
      <c r="AU476" s="28"/>
      <c r="AV476" s="28"/>
      <c r="AW476" s="28"/>
      <c r="AX476" s="28"/>
      <c r="AY476" s="28"/>
      <c r="AZ476" s="28"/>
      <c r="BA476" s="28"/>
      <c r="BB476" s="28"/>
      <c r="BC476" s="28"/>
      <c r="BD476" s="28"/>
      <c r="BE476" s="28"/>
      <c r="BF476" s="28"/>
      <c r="BG476" s="28"/>
      <c r="BH476" s="28"/>
      <c r="BI476" s="28"/>
      <c r="BJ476" s="28"/>
      <c r="BK476" s="28"/>
      <c r="BL476" s="28"/>
      <c r="BM476" s="28"/>
      <c r="BN476" s="28"/>
      <c r="BO476" s="28"/>
      <c r="BP476" s="28"/>
      <c r="BQ476" s="28"/>
      <c r="BR476" s="28"/>
      <c r="BS476" s="28"/>
      <c r="BT476" s="28"/>
      <c r="BU476" s="28"/>
      <c r="BV476" s="28"/>
      <c r="BW476" s="28"/>
      <c r="BX476" s="28"/>
      <c r="BY476" s="28"/>
      <c r="BZ476" s="28"/>
      <c r="CA476" s="28"/>
      <c r="CB476" s="28"/>
    </row>
    <row r="477" spans="1:80" hidden="1" x14ac:dyDescent="0.25">
      <c r="A477" s="31" t="s">
        <v>34</v>
      </c>
      <c r="B477" s="39" t="s">
        <v>32</v>
      </c>
      <c r="C477" s="30" t="s">
        <v>33</v>
      </c>
      <c r="D477" s="30" t="s">
        <v>10</v>
      </c>
      <c r="E477" s="20" t="s">
        <v>1954</v>
      </c>
      <c r="F477" s="26" t="s">
        <v>1993</v>
      </c>
      <c r="G477" s="30"/>
      <c r="H477" s="30"/>
      <c r="I477" s="29" t="e">
        <f>VLOOKUP(B477,#REF!,2,FALSE)</f>
        <v>#REF!</v>
      </c>
      <c r="J477" s="28"/>
      <c r="K477" s="28"/>
      <c r="L477" s="28"/>
      <c r="M477" s="28"/>
      <c r="N477" s="28"/>
      <c r="O477" s="28"/>
      <c r="P477" s="28"/>
      <c r="Q477" s="28"/>
      <c r="R477" s="28"/>
      <c r="S477" s="28"/>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c r="AS477" s="28"/>
      <c r="AT477" s="28"/>
      <c r="AU477" s="28"/>
      <c r="AV477" s="28"/>
      <c r="AW477" s="28"/>
      <c r="AX477" s="28"/>
      <c r="AY477" s="28"/>
      <c r="AZ477" s="28"/>
      <c r="BA477" s="28"/>
      <c r="BB477" s="28"/>
      <c r="BC477" s="28"/>
      <c r="BD477" s="28"/>
      <c r="BE477" s="28"/>
      <c r="BF477" s="28"/>
      <c r="BG477" s="28"/>
      <c r="BH477" s="28"/>
      <c r="BI477" s="28"/>
      <c r="BJ477" s="28"/>
      <c r="BK477" s="28"/>
      <c r="BL477" s="28"/>
      <c r="BM477" s="28"/>
      <c r="BN477" s="28"/>
      <c r="BO477" s="28"/>
      <c r="BP477" s="28"/>
      <c r="BQ477" s="28"/>
      <c r="BR477" s="28"/>
      <c r="BS477" s="28"/>
      <c r="BT477" s="28"/>
      <c r="BU477" s="28"/>
      <c r="BV477" s="28"/>
      <c r="BW477" s="28"/>
      <c r="BX477" s="28"/>
      <c r="BY477" s="28"/>
      <c r="BZ477" s="28"/>
      <c r="CA477" s="28"/>
      <c r="CB477" s="28"/>
    </row>
    <row r="478" spans="1:80" hidden="1" x14ac:dyDescent="0.25">
      <c r="A478" s="31" t="s">
        <v>77</v>
      </c>
      <c r="B478" s="39" t="s">
        <v>75</v>
      </c>
      <c r="C478" s="30" t="s">
        <v>76</v>
      </c>
      <c r="D478" s="30" t="s">
        <v>78</v>
      </c>
      <c r="E478" s="20" t="s">
        <v>1954</v>
      </c>
      <c r="F478" s="26" t="s">
        <v>1993</v>
      </c>
      <c r="G478" s="30"/>
      <c r="H478" s="30"/>
      <c r="I478" s="29" t="e">
        <f>VLOOKUP(B478,#REF!,2,FALSE)</f>
        <v>#REF!</v>
      </c>
      <c r="J478" s="28"/>
      <c r="K478" s="28"/>
      <c r="L478" s="28"/>
      <c r="M478" s="28"/>
      <c r="N478" s="28"/>
      <c r="O478" s="28"/>
      <c r="P478" s="28"/>
      <c r="Q478" s="28"/>
      <c r="R478" s="28"/>
      <c r="S478" s="28"/>
      <c r="T478" s="28"/>
      <c r="U478" s="28"/>
      <c r="V478" s="28"/>
      <c r="W478" s="28"/>
      <c r="X478" s="28"/>
      <c r="Y478" s="28"/>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28"/>
      <c r="BB478" s="28"/>
      <c r="BC478" s="28"/>
      <c r="BD478" s="28"/>
      <c r="BE478" s="28"/>
      <c r="BF478" s="28"/>
      <c r="BG478" s="28"/>
      <c r="BH478" s="28"/>
      <c r="BI478" s="28"/>
      <c r="BJ478" s="28"/>
      <c r="BK478" s="28"/>
      <c r="BL478" s="28"/>
      <c r="BM478" s="28"/>
      <c r="BN478" s="28"/>
      <c r="BO478" s="28"/>
      <c r="BP478" s="28"/>
      <c r="BQ478" s="28"/>
      <c r="BR478" s="28"/>
      <c r="BS478" s="28"/>
      <c r="BT478" s="28"/>
      <c r="BU478" s="28"/>
      <c r="BV478" s="28"/>
      <c r="BW478" s="28"/>
      <c r="BX478" s="28"/>
      <c r="BY478" s="28"/>
      <c r="BZ478" s="28"/>
      <c r="CA478" s="28"/>
      <c r="CB478" s="28"/>
    </row>
    <row r="479" spans="1:80" hidden="1" x14ac:dyDescent="0.25">
      <c r="A479" s="31" t="s">
        <v>105</v>
      </c>
      <c r="B479" s="39" t="s">
        <v>103</v>
      </c>
      <c r="C479" s="30" t="s">
        <v>104</v>
      </c>
      <c r="D479" s="30" t="s">
        <v>52</v>
      </c>
      <c r="E479" s="20" t="s">
        <v>1954</v>
      </c>
      <c r="F479" s="26" t="s">
        <v>1993</v>
      </c>
      <c r="G479" s="30"/>
      <c r="H479" s="30"/>
      <c r="I479" s="29" t="e">
        <f>VLOOKUP(B479,#REF!,2,FALSE)</f>
        <v>#REF!</v>
      </c>
      <c r="J479" s="28"/>
      <c r="K479" s="28"/>
      <c r="L479" s="28"/>
      <c r="M479" s="28"/>
      <c r="N479" s="28"/>
      <c r="O479" s="28"/>
      <c r="P479" s="28"/>
      <c r="Q479" s="28"/>
      <c r="R479" s="28"/>
      <c r="S479" s="28"/>
      <c r="T479" s="28"/>
      <c r="U479" s="28"/>
      <c r="V479" s="28"/>
      <c r="W479" s="28"/>
      <c r="X479" s="28"/>
      <c r="Y479" s="28"/>
      <c r="Z479" s="28"/>
      <c r="AA479" s="28"/>
      <c r="AB479" s="28"/>
      <c r="AC479" s="28"/>
      <c r="AD479" s="28"/>
      <c r="AE479" s="28"/>
      <c r="AF479" s="28"/>
      <c r="AG479" s="28"/>
      <c r="AH479" s="28"/>
      <c r="AI479" s="28"/>
      <c r="AJ479" s="28"/>
      <c r="AK479" s="28"/>
      <c r="AL479" s="28"/>
      <c r="AM479" s="28"/>
      <c r="AN479" s="28"/>
      <c r="AO479" s="28"/>
      <c r="AP479" s="28"/>
      <c r="AQ479" s="28"/>
      <c r="AR479" s="28"/>
      <c r="AS479" s="28"/>
      <c r="AT479" s="28"/>
      <c r="AU479" s="28"/>
      <c r="AV479" s="28"/>
      <c r="AW479" s="28"/>
      <c r="AX479" s="28"/>
      <c r="AY479" s="28"/>
      <c r="AZ479" s="28"/>
      <c r="BA479" s="28"/>
      <c r="BB479" s="28"/>
      <c r="BC479" s="28"/>
      <c r="BD479" s="28"/>
      <c r="BE479" s="28"/>
      <c r="BF479" s="28"/>
      <c r="BG479" s="28"/>
      <c r="BH479" s="28"/>
      <c r="BI479" s="28"/>
      <c r="BJ479" s="28"/>
      <c r="BK479" s="28"/>
      <c r="BL479" s="28"/>
      <c r="BM479" s="28"/>
      <c r="BN479" s="28"/>
      <c r="BO479" s="28"/>
      <c r="BP479" s="28"/>
      <c r="BQ479" s="28"/>
      <c r="BR479" s="28"/>
      <c r="BS479" s="28"/>
      <c r="BT479" s="28"/>
      <c r="BU479" s="28"/>
      <c r="BV479" s="28"/>
      <c r="BW479" s="28"/>
      <c r="BX479" s="28"/>
      <c r="BY479" s="28"/>
      <c r="BZ479" s="28"/>
      <c r="CA479" s="28"/>
      <c r="CB479" s="28"/>
    </row>
    <row r="480" spans="1:80" hidden="1" x14ac:dyDescent="0.25">
      <c r="A480" s="31" t="s">
        <v>120</v>
      </c>
      <c r="B480" s="39" t="s">
        <v>118</v>
      </c>
      <c r="C480" s="30" t="s">
        <v>119</v>
      </c>
      <c r="D480" s="30" t="s">
        <v>52</v>
      </c>
      <c r="E480" s="20" t="s">
        <v>1954</v>
      </c>
      <c r="F480" s="26" t="s">
        <v>1993</v>
      </c>
      <c r="G480" s="30"/>
      <c r="H480" s="30"/>
      <c r="I480" s="29" t="e">
        <f>VLOOKUP(B480,#REF!,2,FALSE)</f>
        <v>#REF!</v>
      </c>
      <c r="J480" s="28"/>
      <c r="K480" s="28"/>
      <c r="L480" s="28"/>
      <c r="M480" s="28"/>
      <c r="N480" s="28"/>
      <c r="O480" s="28"/>
      <c r="P480" s="28"/>
      <c r="Q480" s="28"/>
      <c r="R480" s="28"/>
      <c r="S480" s="28"/>
      <c r="T480" s="28"/>
      <c r="U480" s="28"/>
      <c r="V480" s="28"/>
      <c r="W480" s="28"/>
      <c r="X480" s="28"/>
      <c r="Y480" s="28"/>
      <c r="Z480" s="28"/>
      <c r="AA480" s="28"/>
      <c r="AB480" s="28"/>
      <c r="AC480" s="28"/>
      <c r="AD480" s="28"/>
      <c r="AE480" s="28"/>
      <c r="AF480" s="28"/>
      <c r="AG480" s="28"/>
      <c r="AH480" s="28"/>
      <c r="AI480" s="28"/>
      <c r="AJ480" s="28"/>
      <c r="AK480" s="28"/>
      <c r="AL480" s="28"/>
      <c r="AM480" s="28"/>
      <c r="AN480" s="28"/>
      <c r="AO480" s="28"/>
      <c r="AP480" s="28"/>
      <c r="AQ480" s="28"/>
      <c r="AR480" s="28"/>
      <c r="AS480" s="28"/>
      <c r="AT480" s="28"/>
      <c r="AU480" s="28"/>
      <c r="AV480" s="28"/>
      <c r="AW480" s="28"/>
      <c r="AX480" s="28"/>
      <c r="AY480" s="28"/>
      <c r="AZ480" s="28"/>
      <c r="BA480" s="28"/>
      <c r="BB480" s="28"/>
      <c r="BC480" s="28"/>
      <c r="BD480" s="28"/>
      <c r="BE480" s="28"/>
      <c r="BF480" s="28"/>
      <c r="BG480" s="28"/>
      <c r="BH480" s="28"/>
      <c r="BI480" s="28"/>
      <c r="BJ480" s="28"/>
      <c r="BK480" s="28"/>
      <c r="BL480" s="28"/>
      <c r="BM480" s="28"/>
      <c r="BN480" s="28"/>
      <c r="BO480" s="28"/>
      <c r="BP480" s="28"/>
      <c r="BQ480" s="28"/>
      <c r="BR480" s="28"/>
      <c r="BS480" s="28"/>
      <c r="BT480" s="28"/>
      <c r="BU480" s="28"/>
      <c r="BV480" s="28"/>
      <c r="BW480" s="28"/>
      <c r="BX480" s="28"/>
      <c r="BY480" s="28"/>
      <c r="BZ480" s="28"/>
      <c r="CA480" s="28"/>
      <c r="CB480" s="28"/>
    </row>
    <row r="481" spans="1:80" hidden="1" x14ac:dyDescent="0.25">
      <c r="A481" s="31" t="s">
        <v>133</v>
      </c>
      <c r="B481" s="39" t="s">
        <v>132</v>
      </c>
      <c r="C481" s="30" t="s">
        <v>1994</v>
      </c>
      <c r="D481" s="30" t="s">
        <v>78</v>
      </c>
      <c r="E481" s="20" t="s">
        <v>1954</v>
      </c>
      <c r="F481" s="26" t="s">
        <v>1993</v>
      </c>
      <c r="G481" s="30" t="s">
        <v>67</v>
      </c>
      <c r="H481" s="30"/>
      <c r="I481" s="29" t="e">
        <f>VLOOKUP(B481,#REF!,2,FALSE)</f>
        <v>#REF!</v>
      </c>
      <c r="J481" s="28"/>
      <c r="K481" s="28"/>
      <c r="L481" s="28"/>
      <c r="M481" s="28"/>
      <c r="N481" s="28"/>
      <c r="O481" s="28"/>
      <c r="P481" s="28"/>
      <c r="Q481" s="28"/>
      <c r="R481" s="28"/>
      <c r="S481" s="28"/>
      <c r="T481" s="28"/>
      <c r="U481" s="28"/>
      <c r="V481" s="28"/>
      <c r="W481" s="28"/>
      <c r="X481" s="28"/>
      <c r="Y481" s="28"/>
      <c r="Z481" s="28"/>
      <c r="AA481" s="28"/>
      <c r="AB481" s="28"/>
      <c r="AC481" s="28"/>
      <c r="AD481" s="28"/>
      <c r="AE481" s="28"/>
      <c r="AF481" s="28"/>
      <c r="AG481" s="28"/>
      <c r="AH481" s="28"/>
      <c r="AI481" s="28"/>
      <c r="AJ481" s="28"/>
      <c r="AK481" s="28"/>
      <c r="AL481" s="28"/>
      <c r="AM481" s="28"/>
      <c r="AN481" s="28"/>
      <c r="AO481" s="28"/>
      <c r="AP481" s="28"/>
      <c r="AQ481" s="28"/>
      <c r="AR481" s="28"/>
      <c r="AS481" s="28"/>
      <c r="AT481" s="28"/>
      <c r="AU481" s="28"/>
      <c r="AV481" s="28"/>
      <c r="AW481" s="28"/>
      <c r="AX481" s="28"/>
      <c r="AY481" s="28"/>
      <c r="AZ481" s="28"/>
      <c r="BA481" s="28"/>
      <c r="BB481" s="28"/>
      <c r="BC481" s="28"/>
      <c r="BD481" s="28"/>
      <c r="BE481" s="28"/>
      <c r="BF481" s="28"/>
      <c r="BG481" s="28"/>
      <c r="BH481" s="28"/>
      <c r="BI481" s="28"/>
      <c r="BJ481" s="28"/>
      <c r="BK481" s="28"/>
      <c r="BL481" s="28"/>
      <c r="BM481" s="28"/>
      <c r="BN481" s="28"/>
      <c r="BO481" s="28"/>
      <c r="BP481" s="28"/>
      <c r="BQ481" s="28"/>
      <c r="BR481" s="28"/>
      <c r="BS481" s="28"/>
      <c r="BT481" s="28"/>
      <c r="BU481" s="28"/>
      <c r="BV481" s="28"/>
      <c r="BW481" s="28"/>
      <c r="BX481" s="28"/>
      <c r="BY481" s="28"/>
      <c r="BZ481" s="28"/>
      <c r="CA481" s="28"/>
      <c r="CB481" s="28"/>
    </row>
    <row r="482" spans="1:80" hidden="1" x14ac:dyDescent="0.25">
      <c r="A482" s="31" t="s">
        <v>223</v>
      </c>
      <c r="B482" s="39" t="s">
        <v>222</v>
      </c>
      <c r="C482" s="30" t="s">
        <v>119</v>
      </c>
      <c r="D482" s="30" t="s">
        <v>52</v>
      </c>
      <c r="E482" s="20" t="s">
        <v>1954</v>
      </c>
      <c r="F482" s="26" t="s">
        <v>1993</v>
      </c>
      <c r="G482" s="30"/>
      <c r="H482" s="30"/>
      <c r="I482" s="29" t="e">
        <f>VLOOKUP(B482,#REF!,2,FALSE)</f>
        <v>#REF!</v>
      </c>
      <c r="J482" s="28"/>
      <c r="K482" s="28"/>
      <c r="L482" s="28"/>
      <c r="M482" s="28"/>
      <c r="N482" s="28"/>
      <c r="O482" s="28"/>
      <c r="P482" s="28"/>
      <c r="Q482" s="28"/>
      <c r="R482" s="28"/>
      <c r="S482" s="28"/>
      <c r="T482" s="28"/>
      <c r="U482" s="28"/>
      <c r="V482" s="28"/>
      <c r="W482" s="28"/>
      <c r="X482" s="28"/>
      <c r="Y482" s="28"/>
      <c r="Z482" s="28"/>
      <c r="AA482" s="28"/>
      <c r="AB482" s="28"/>
      <c r="AC482" s="28"/>
      <c r="AD482" s="28"/>
      <c r="AE482" s="28"/>
      <c r="AF482" s="28"/>
      <c r="AG482" s="28"/>
      <c r="AH482" s="28"/>
      <c r="AI482" s="28"/>
      <c r="AJ482" s="28"/>
      <c r="AK482" s="28"/>
      <c r="AL482" s="28"/>
      <c r="AM482" s="28"/>
      <c r="AN482" s="28"/>
      <c r="AO482" s="28"/>
      <c r="AP482" s="28"/>
      <c r="AQ482" s="28"/>
      <c r="AR482" s="28"/>
      <c r="AS482" s="28"/>
      <c r="AT482" s="28"/>
      <c r="AU482" s="28"/>
      <c r="AV482" s="28"/>
      <c r="AW482" s="28"/>
      <c r="AX482" s="28"/>
      <c r="AY482" s="28"/>
      <c r="AZ482" s="28"/>
      <c r="BA482" s="28"/>
      <c r="BB482" s="28"/>
      <c r="BC482" s="28"/>
      <c r="BD482" s="28"/>
      <c r="BE482" s="28"/>
      <c r="BF482" s="28"/>
      <c r="BG482" s="28"/>
      <c r="BH482" s="28"/>
      <c r="BI482" s="28"/>
      <c r="BJ482" s="28"/>
      <c r="BK482" s="28"/>
      <c r="BL482" s="28"/>
      <c r="BM482" s="28"/>
      <c r="BN482" s="28"/>
      <c r="BO482" s="28"/>
      <c r="BP482" s="28"/>
      <c r="BQ482" s="28"/>
      <c r="BR482" s="28"/>
      <c r="BS482" s="28"/>
      <c r="BT482" s="28"/>
      <c r="BU482" s="28"/>
      <c r="BV482" s="28"/>
      <c r="BW482" s="28"/>
      <c r="BX482" s="28"/>
      <c r="BY482" s="28"/>
      <c r="BZ482" s="28"/>
      <c r="CA482" s="28"/>
      <c r="CB482" s="28"/>
    </row>
    <row r="483" spans="1:80" hidden="1" x14ac:dyDescent="0.25">
      <c r="A483" s="31" t="s">
        <v>226</v>
      </c>
      <c r="B483" s="39" t="s">
        <v>224</v>
      </c>
      <c r="C483" s="30" t="s">
        <v>225</v>
      </c>
      <c r="D483" s="30" t="s">
        <v>52</v>
      </c>
      <c r="E483" s="20" t="s">
        <v>1954</v>
      </c>
      <c r="F483" s="26" t="s">
        <v>1993</v>
      </c>
      <c r="G483" s="30"/>
      <c r="H483" s="30"/>
      <c r="I483" s="29" t="e">
        <f>VLOOKUP(B483,#REF!,2,FALSE)</f>
        <v>#REF!</v>
      </c>
      <c r="J483" s="28"/>
      <c r="K483" s="28"/>
      <c r="L483" s="28"/>
      <c r="M483" s="28"/>
      <c r="N483" s="28"/>
      <c r="O483" s="28"/>
      <c r="P483" s="28"/>
      <c r="Q483" s="28"/>
      <c r="R483" s="28"/>
      <c r="S483" s="28"/>
      <c r="T483" s="28"/>
      <c r="U483" s="28"/>
      <c r="V483" s="28"/>
      <c r="W483" s="28"/>
      <c r="X483" s="28"/>
      <c r="Y483" s="28"/>
      <c r="Z483" s="28"/>
      <c r="AA483" s="28"/>
      <c r="AB483" s="28"/>
      <c r="AC483" s="28"/>
      <c r="AD483" s="28"/>
      <c r="AE483" s="28"/>
      <c r="AF483" s="28"/>
      <c r="AG483" s="28"/>
      <c r="AH483" s="28"/>
      <c r="AI483" s="28"/>
      <c r="AJ483" s="28"/>
      <c r="AK483" s="28"/>
      <c r="AL483" s="28"/>
      <c r="AM483" s="28"/>
      <c r="AN483" s="28"/>
      <c r="AO483" s="28"/>
      <c r="AP483" s="28"/>
      <c r="AQ483" s="28"/>
      <c r="AR483" s="28"/>
      <c r="AS483" s="28"/>
      <c r="AT483" s="28"/>
      <c r="AU483" s="28"/>
      <c r="AV483" s="28"/>
      <c r="AW483" s="28"/>
      <c r="AX483" s="28"/>
      <c r="AY483" s="28"/>
      <c r="AZ483" s="28"/>
      <c r="BA483" s="28"/>
      <c r="BB483" s="28"/>
      <c r="BC483" s="28"/>
      <c r="BD483" s="28"/>
      <c r="BE483" s="28"/>
      <c r="BF483" s="28"/>
      <c r="BG483" s="28"/>
      <c r="BH483" s="28"/>
      <c r="BI483" s="28"/>
      <c r="BJ483" s="28"/>
      <c r="BK483" s="28"/>
      <c r="BL483" s="28"/>
      <c r="BM483" s="28"/>
      <c r="BN483" s="28"/>
      <c r="BO483" s="28"/>
      <c r="BP483" s="28"/>
      <c r="BQ483" s="28"/>
      <c r="BR483" s="28"/>
      <c r="BS483" s="28"/>
      <c r="BT483" s="28"/>
      <c r="BU483" s="28"/>
      <c r="BV483" s="28"/>
      <c r="BW483" s="28"/>
      <c r="BX483" s="28"/>
      <c r="BY483" s="28"/>
      <c r="BZ483" s="28"/>
      <c r="CA483" s="28"/>
      <c r="CB483" s="28"/>
    </row>
    <row r="484" spans="1:80" hidden="1" x14ac:dyDescent="0.25">
      <c r="A484" s="31" t="s">
        <v>235</v>
      </c>
      <c r="B484" s="39" t="s">
        <v>233</v>
      </c>
      <c r="C484" s="30" t="s">
        <v>234</v>
      </c>
      <c r="D484" s="30" t="s">
        <v>52</v>
      </c>
      <c r="E484" s="20" t="s">
        <v>1954</v>
      </c>
      <c r="F484" s="26" t="s">
        <v>1993</v>
      </c>
      <c r="G484" s="30"/>
      <c r="H484" s="30"/>
      <c r="I484" s="29" t="e">
        <f>VLOOKUP(B484,#REF!,2,FALSE)</f>
        <v>#REF!</v>
      </c>
      <c r="J484" s="29"/>
      <c r="K484" s="29"/>
      <c r="L484" s="29"/>
      <c r="M484" s="29"/>
      <c r="N484" s="29"/>
      <c r="O484" s="29"/>
      <c r="P484" s="29"/>
      <c r="Q484" s="29"/>
      <c r="R484" s="29"/>
      <c r="S484" s="29"/>
      <c r="T484" s="29"/>
      <c r="U484" s="29"/>
      <c r="V484" s="29"/>
      <c r="W484" s="29"/>
      <c r="X484" s="29"/>
      <c r="Y484" s="29"/>
      <c r="Z484" s="29"/>
      <c r="AA484" s="29"/>
      <c r="AB484" s="29"/>
      <c r="AC484" s="29"/>
      <c r="AD484" s="29"/>
      <c r="AE484" s="29"/>
      <c r="AF484" s="29"/>
      <c r="AG484" s="29"/>
      <c r="AH484" s="29"/>
      <c r="AI484" s="29"/>
      <c r="AJ484" s="29"/>
      <c r="AK484" s="29"/>
      <c r="AL484" s="29"/>
      <c r="AM484" s="29"/>
      <c r="AN484" s="29"/>
      <c r="AO484" s="29"/>
      <c r="AP484" s="29"/>
      <c r="AQ484" s="29"/>
      <c r="AR484" s="29"/>
      <c r="AS484" s="29"/>
      <c r="AT484" s="29"/>
      <c r="AU484" s="29"/>
      <c r="AV484" s="29"/>
      <c r="AW484" s="29"/>
      <c r="AX484" s="29"/>
      <c r="AY484" s="29"/>
      <c r="AZ484" s="29"/>
      <c r="BA484" s="29"/>
      <c r="BB484" s="29"/>
      <c r="BC484" s="29"/>
      <c r="BD484" s="29"/>
      <c r="BE484" s="29"/>
      <c r="BF484" s="29"/>
      <c r="BG484" s="29"/>
      <c r="BH484" s="29"/>
      <c r="BI484" s="29"/>
      <c r="BJ484" s="29"/>
      <c r="BK484" s="29"/>
      <c r="BL484" s="29"/>
      <c r="BM484" s="29"/>
      <c r="BN484" s="29"/>
      <c r="BO484" s="29"/>
      <c r="BP484" s="29"/>
      <c r="BQ484" s="29"/>
      <c r="BR484" s="29"/>
      <c r="BS484" s="29"/>
      <c r="BT484" s="29"/>
      <c r="BU484" s="29"/>
      <c r="BV484" s="29"/>
      <c r="BW484" s="29"/>
      <c r="BX484" s="29"/>
      <c r="BY484" s="29"/>
      <c r="BZ484" s="29"/>
      <c r="CA484" s="29"/>
      <c r="CB484" s="29"/>
    </row>
    <row r="485" spans="1:80" hidden="1" x14ac:dyDescent="0.25">
      <c r="A485" s="31" t="s">
        <v>242</v>
      </c>
      <c r="B485" s="39" t="s">
        <v>241</v>
      </c>
      <c r="C485" s="30" t="s">
        <v>119</v>
      </c>
      <c r="D485" s="30" t="s">
        <v>97</v>
      </c>
      <c r="E485" s="20" t="s">
        <v>1954</v>
      </c>
      <c r="F485" s="26" t="s">
        <v>1993</v>
      </c>
      <c r="G485" s="30"/>
      <c r="H485" s="30"/>
      <c r="I485" s="29" t="e">
        <f>VLOOKUP(B485,#REF!,2,FALSE)</f>
        <v>#REF!</v>
      </c>
      <c r="J485" s="28"/>
      <c r="K485" s="28"/>
      <c r="L485" s="28"/>
      <c r="M485" s="28"/>
      <c r="N485" s="28"/>
      <c r="O485" s="28"/>
      <c r="P485" s="28"/>
      <c r="Q485" s="28"/>
      <c r="R485" s="28"/>
      <c r="S485" s="28"/>
      <c r="T485" s="28"/>
      <c r="U485" s="28"/>
      <c r="V485" s="28"/>
      <c r="W485" s="28"/>
      <c r="X485" s="28"/>
      <c r="Y485" s="28"/>
      <c r="Z485" s="28"/>
      <c r="AA485" s="28"/>
      <c r="AB485" s="28"/>
      <c r="AC485" s="28"/>
      <c r="AD485" s="28"/>
      <c r="AE485" s="28"/>
      <c r="AF485" s="28"/>
      <c r="AG485" s="28"/>
      <c r="AH485" s="28"/>
      <c r="AI485" s="28"/>
      <c r="AJ485" s="28"/>
      <c r="AK485" s="28"/>
      <c r="AL485" s="28"/>
      <c r="AM485" s="28"/>
      <c r="AN485" s="28"/>
      <c r="AO485" s="28"/>
      <c r="AP485" s="28"/>
      <c r="AQ485" s="28"/>
      <c r="AR485" s="28"/>
      <c r="AS485" s="28"/>
      <c r="AT485" s="28"/>
      <c r="AU485" s="28"/>
      <c r="AV485" s="28"/>
      <c r="AW485" s="28"/>
      <c r="AX485" s="28"/>
      <c r="AY485" s="28"/>
      <c r="AZ485" s="28"/>
      <c r="BA485" s="28"/>
      <c r="BB485" s="28"/>
      <c r="BC485" s="28"/>
      <c r="BD485" s="28"/>
      <c r="BE485" s="28"/>
      <c r="BF485" s="28"/>
      <c r="BG485" s="28"/>
      <c r="BH485" s="28"/>
      <c r="BI485" s="28"/>
      <c r="BJ485" s="28"/>
      <c r="BK485" s="28"/>
      <c r="BL485" s="28"/>
      <c r="BM485" s="28"/>
      <c r="BN485" s="28"/>
      <c r="BO485" s="28"/>
      <c r="BP485" s="28"/>
      <c r="BQ485" s="28"/>
      <c r="BR485" s="28"/>
      <c r="BS485" s="28"/>
      <c r="BT485" s="28"/>
      <c r="BU485" s="28"/>
      <c r="BV485" s="28"/>
      <c r="BW485" s="28"/>
      <c r="BX485" s="28"/>
      <c r="BY485" s="28"/>
      <c r="BZ485" s="28"/>
      <c r="CA485" s="28"/>
      <c r="CB485" s="28"/>
    </row>
    <row r="486" spans="1:80" hidden="1" x14ac:dyDescent="0.25">
      <c r="A486" s="31" t="s">
        <v>271</v>
      </c>
      <c r="B486" s="39" t="s">
        <v>270</v>
      </c>
      <c r="C486" s="30" t="s">
        <v>73</v>
      </c>
      <c r="D486" s="30" t="s">
        <v>52</v>
      </c>
      <c r="E486" s="20" t="s">
        <v>1954</v>
      </c>
      <c r="F486" s="26" t="s">
        <v>1993</v>
      </c>
      <c r="G486" s="30"/>
      <c r="H486" s="30"/>
      <c r="I486" s="29" t="e">
        <f>VLOOKUP(B486,#REF!,2,FALSE)</f>
        <v>#REF!</v>
      </c>
      <c r="J486" s="28"/>
      <c r="K486" s="28"/>
      <c r="L486" s="28"/>
      <c r="M486" s="28"/>
      <c r="N486" s="28"/>
      <c r="O486" s="28"/>
      <c r="P486" s="28"/>
      <c r="Q486" s="28"/>
      <c r="R486" s="28"/>
      <c r="S486" s="28"/>
      <c r="T486" s="28"/>
      <c r="U486" s="28"/>
      <c r="V486" s="28"/>
      <c r="W486" s="28"/>
      <c r="X486" s="28"/>
      <c r="Y486" s="28"/>
      <c r="Z486" s="28"/>
      <c r="AA486" s="28"/>
      <c r="AB486" s="28"/>
      <c r="AC486" s="28"/>
      <c r="AD486" s="28"/>
      <c r="AE486" s="28"/>
      <c r="AF486" s="28"/>
      <c r="AG486" s="28"/>
      <c r="AH486" s="28"/>
      <c r="AI486" s="28"/>
      <c r="AJ486" s="28"/>
      <c r="AK486" s="28"/>
      <c r="AL486" s="28"/>
      <c r="AM486" s="28"/>
      <c r="AN486" s="28"/>
      <c r="AO486" s="28"/>
      <c r="AP486" s="28"/>
      <c r="AQ486" s="28"/>
      <c r="AR486" s="28"/>
      <c r="AS486" s="28"/>
      <c r="AT486" s="28"/>
      <c r="AU486" s="28"/>
      <c r="AV486" s="28"/>
      <c r="AW486" s="28"/>
      <c r="AX486" s="28"/>
      <c r="AY486" s="28"/>
      <c r="AZ486" s="28"/>
      <c r="BA486" s="28"/>
      <c r="BB486" s="28"/>
      <c r="BC486" s="28"/>
      <c r="BD486" s="28"/>
      <c r="BE486" s="28"/>
      <c r="BF486" s="28"/>
      <c r="BG486" s="28"/>
      <c r="BH486" s="28"/>
      <c r="BI486" s="28"/>
      <c r="BJ486" s="28"/>
      <c r="BK486" s="28"/>
      <c r="BL486" s="28"/>
      <c r="BM486" s="28"/>
      <c r="BN486" s="28"/>
      <c r="BO486" s="28"/>
      <c r="BP486" s="28"/>
      <c r="BQ486" s="28"/>
      <c r="BR486" s="28"/>
      <c r="BS486" s="28"/>
      <c r="BT486" s="28"/>
      <c r="BU486" s="28"/>
      <c r="BV486" s="28"/>
      <c r="BW486" s="28"/>
      <c r="BX486" s="28"/>
      <c r="BY486" s="28"/>
      <c r="BZ486" s="28"/>
      <c r="CA486" s="28"/>
      <c r="CB486" s="28"/>
    </row>
    <row r="487" spans="1:80" hidden="1" x14ac:dyDescent="0.25">
      <c r="A487" s="31" t="s">
        <v>279</v>
      </c>
      <c r="B487" s="39" t="s">
        <v>277</v>
      </c>
      <c r="C487" s="30" t="s">
        <v>278</v>
      </c>
      <c r="D487" s="30" t="s">
        <v>97</v>
      </c>
      <c r="E487" s="20" t="s">
        <v>1954</v>
      </c>
      <c r="F487" s="26" t="s">
        <v>1993</v>
      </c>
      <c r="G487" s="30"/>
      <c r="H487" s="30"/>
      <c r="I487" s="29" t="e">
        <f>VLOOKUP(B487,#REF!,2,FALSE)</f>
        <v>#REF!</v>
      </c>
      <c r="J487" s="28"/>
      <c r="K487" s="28"/>
      <c r="L487" s="28"/>
      <c r="M487" s="28"/>
      <c r="N487" s="28"/>
      <c r="O487" s="28"/>
      <c r="P487" s="28"/>
      <c r="Q487" s="28"/>
      <c r="R487" s="28"/>
      <c r="S487" s="28"/>
      <c r="T487" s="28"/>
      <c r="U487" s="28"/>
      <c r="V487" s="28"/>
      <c r="W487" s="28"/>
      <c r="X487" s="28"/>
      <c r="Y487" s="28"/>
      <c r="Z487" s="28"/>
      <c r="AA487" s="28"/>
      <c r="AB487" s="28"/>
      <c r="AC487" s="28"/>
      <c r="AD487" s="28"/>
      <c r="AE487" s="28"/>
      <c r="AF487" s="28"/>
      <c r="AG487" s="28"/>
      <c r="AH487" s="28"/>
      <c r="AI487" s="28"/>
      <c r="AJ487" s="28"/>
      <c r="AK487" s="28"/>
      <c r="AL487" s="28"/>
      <c r="AM487" s="28"/>
      <c r="AN487" s="28"/>
      <c r="AO487" s="28"/>
      <c r="AP487" s="28"/>
      <c r="AQ487" s="28"/>
      <c r="AR487" s="28"/>
      <c r="AS487" s="28"/>
      <c r="AT487" s="28"/>
      <c r="AU487" s="28"/>
      <c r="AV487" s="28"/>
      <c r="AW487" s="28"/>
      <c r="AX487" s="28"/>
      <c r="AY487" s="28"/>
      <c r="AZ487" s="28"/>
      <c r="BA487" s="28"/>
      <c r="BB487" s="28"/>
      <c r="BC487" s="28"/>
      <c r="BD487" s="28"/>
      <c r="BE487" s="28"/>
      <c r="BF487" s="28"/>
      <c r="BG487" s="28"/>
      <c r="BH487" s="28"/>
      <c r="BI487" s="28"/>
      <c r="BJ487" s="28"/>
      <c r="BK487" s="28"/>
      <c r="BL487" s="28"/>
      <c r="BM487" s="28"/>
      <c r="BN487" s="28"/>
      <c r="BO487" s="28"/>
      <c r="BP487" s="28"/>
      <c r="BQ487" s="28"/>
      <c r="BR487" s="28"/>
      <c r="BS487" s="28"/>
      <c r="BT487" s="28"/>
      <c r="BU487" s="28"/>
      <c r="BV487" s="28"/>
      <c r="BW487" s="28"/>
      <c r="BX487" s="28"/>
      <c r="BY487" s="28"/>
      <c r="BZ487" s="28"/>
      <c r="CA487" s="28"/>
      <c r="CB487" s="28"/>
    </row>
    <row r="488" spans="1:80" hidden="1" x14ac:dyDescent="0.25">
      <c r="A488" s="31" t="s">
        <v>827</v>
      </c>
      <c r="B488" s="39" t="s">
        <v>1995</v>
      </c>
      <c r="C488" s="30" t="s">
        <v>1996</v>
      </c>
      <c r="D488" s="30" t="s">
        <v>52</v>
      </c>
      <c r="E488" s="20" t="s">
        <v>1997</v>
      </c>
      <c r="F488" s="26" t="s">
        <v>1998</v>
      </c>
      <c r="G488" s="30"/>
      <c r="H488" s="30"/>
      <c r="I488" s="29" t="e">
        <f>VLOOKUP(B488,#REF!,2,FALSE)</f>
        <v>#REF!</v>
      </c>
      <c r="J488" s="28"/>
      <c r="K488" s="28"/>
      <c r="L488" s="28"/>
      <c r="M488" s="28"/>
      <c r="N488" s="28"/>
      <c r="O488" s="28"/>
      <c r="P488" s="28"/>
      <c r="Q488" s="28"/>
      <c r="R488" s="28"/>
      <c r="S488" s="28"/>
      <c r="T488" s="28"/>
      <c r="U488" s="28"/>
      <c r="V488" s="28"/>
      <c r="W488" s="28"/>
      <c r="X488" s="28"/>
      <c r="Y488" s="28"/>
      <c r="Z488" s="28"/>
      <c r="AA488" s="28"/>
      <c r="AB488" s="28"/>
      <c r="AC488" s="28"/>
      <c r="AD488" s="28"/>
      <c r="AE488" s="28"/>
      <c r="AF488" s="28"/>
      <c r="AG488" s="28"/>
      <c r="AH488" s="28"/>
      <c r="AI488" s="28"/>
      <c r="AJ488" s="28"/>
      <c r="AK488" s="28"/>
      <c r="AL488" s="28"/>
      <c r="AM488" s="28"/>
      <c r="AN488" s="28"/>
      <c r="AO488" s="28"/>
      <c r="AP488" s="28"/>
      <c r="AQ488" s="28"/>
      <c r="AR488" s="28"/>
      <c r="AS488" s="28"/>
      <c r="AT488" s="28"/>
      <c r="AU488" s="28"/>
      <c r="AV488" s="28"/>
      <c r="AW488" s="28"/>
      <c r="AX488" s="28"/>
      <c r="AY488" s="28"/>
      <c r="AZ488" s="28"/>
      <c r="BA488" s="28"/>
      <c r="BB488" s="28"/>
      <c r="BC488" s="28"/>
      <c r="BD488" s="28"/>
      <c r="BE488" s="28"/>
      <c r="BF488" s="28"/>
      <c r="BG488" s="28"/>
      <c r="BH488" s="28"/>
      <c r="BI488" s="28"/>
      <c r="BJ488" s="28"/>
      <c r="BK488" s="28"/>
      <c r="BL488" s="28"/>
      <c r="BM488" s="28"/>
      <c r="BN488" s="28"/>
      <c r="BO488" s="28"/>
      <c r="BP488" s="28"/>
      <c r="BQ488" s="28"/>
      <c r="BR488" s="28"/>
      <c r="BS488" s="28"/>
      <c r="BT488" s="28"/>
      <c r="BU488" s="28"/>
      <c r="BV488" s="28"/>
      <c r="BW488" s="28"/>
      <c r="BX488" s="28"/>
      <c r="BY488" s="28"/>
      <c r="BZ488" s="28"/>
      <c r="CA488" s="28"/>
      <c r="CB488" s="28"/>
    </row>
    <row r="489" spans="1:80" hidden="1" x14ac:dyDescent="0.25">
      <c r="A489" s="31" t="s">
        <v>868</v>
      </c>
      <c r="B489" s="39" t="s">
        <v>1999</v>
      </c>
      <c r="C489" s="30" t="s">
        <v>1800</v>
      </c>
      <c r="D489" s="30" t="s">
        <v>52</v>
      </c>
      <c r="E489" s="20" t="s">
        <v>1997</v>
      </c>
      <c r="F489" s="26" t="s">
        <v>1998</v>
      </c>
      <c r="G489" s="30"/>
      <c r="H489" s="30"/>
      <c r="I489" s="29" t="e">
        <f>VLOOKUP(B489,#REF!,2,FALSE)</f>
        <v>#REF!</v>
      </c>
      <c r="J489" s="28"/>
      <c r="K489" s="28"/>
      <c r="L489" s="28"/>
      <c r="M489" s="28"/>
      <c r="N489" s="28"/>
      <c r="O489" s="28"/>
      <c r="P489" s="28"/>
      <c r="Q489" s="28"/>
      <c r="R489" s="28"/>
      <c r="S489" s="28"/>
      <c r="T489" s="28"/>
      <c r="U489" s="28"/>
      <c r="V489" s="28"/>
      <c r="W489" s="28"/>
      <c r="X489" s="28"/>
      <c r="Y489" s="28"/>
      <c r="Z489" s="28"/>
      <c r="AA489" s="28"/>
      <c r="AB489" s="28"/>
      <c r="AC489" s="28"/>
      <c r="AD489" s="28"/>
      <c r="AE489" s="28"/>
      <c r="AF489" s="28"/>
      <c r="AG489" s="28"/>
      <c r="AH489" s="28"/>
      <c r="AI489" s="28"/>
      <c r="AJ489" s="28"/>
      <c r="AK489" s="28"/>
      <c r="AL489" s="28"/>
      <c r="AM489" s="28"/>
      <c r="AN489" s="28"/>
      <c r="AO489" s="28"/>
      <c r="AP489" s="28"/>
      <c r="AQ489" s="28"/>
      <c r="AR489" s="28"/>
      <c r="AS489" s="28"/>
      <c r="AT489" s="28"/>
      <c r="AU489" s="28"/>
      <c r="AV489" s="28"/>
      <c r="AW489" s="28"/>
      <c r="AX489" s="28"/>
      <c r="AY489" s="28"/>
      <c r="AZ489" s="28"/>
      <c r="BA489" s="28"/>
      <c r="BB489" s="28"/>
      <c r="BC489" s="28"/>
      <c r="BD489" s="28"/>
      <c r="BE489" s="28"/>
      <c r="BF489" s="28"/>
      <c r="BG489" s="28"/>
      <c r="BH489" s="28"/>
      <c r="BI489" s="28"/>
      <c r="BJ489" s="28"/>
      <c r="BK489" s="28"/>
      <c r="BL489" s="28"/>
      <c r="BM489" s="28"/>
      <c r="BN489" s="28"/>
      <c r="BO489" s="28"/>
      <c r="BP489" s="28"/>
      <c r="BQ489" s="28"/>
      <c r="BR489" s="28"/>
      <c r="BS489" s="28"/>
      <c r="BT489" s="28"/>
      <c r="BU489" s="28"/>
      <c r="BV489" s="28"/>
      <c r="BW489" s="28"/>
      <c r="BX489" s="28"/>
      <c r="BY489" s="28"/>
      <c r="BZ489" s="28"/>
      <c r="CA489" s="28"/>
      <c r="CB489" s="28"/>
    </row>
    <row r="490" spans="1:80" hidden="1" x14ac:dyDescent="0.25">
      <c r="A490" s="31" t="s">
        <v>102</v>
      </c>
      <c r="B490" s="39" t="s">
        <v>101</v>
      </c>
      <c r="C490" s="30" t="s">
        <v>86</v>
      </c>
      <c r="D490" s="30" t="s">
        <v>14</v>
      </c>
      <c r="E490" s="20" t="s">
        <v>1997</v>
      </c>
      <c r="F490" s="26" t="s">
        <v>1998</v>
      </c>
      <c r="G490" s="30"/>
      <c r="H490" s="30"/>
      <c r="I490" s="29" t="e">
        <f>VLOOKUP(B490,#REF!,2,FALSE)</f>
        <v>#REF!</v>
      </c>
      <c r="J490" s="28"/>
      <c r="K490" s="28"/>
      <c r="L490" s="28"/>
      <c r="M490" s="28"/>
      <c r="N490" s="28"/>
      <c r="O490" s="28"/>
      <c r="P490" s="28"/>
      <c r="Q490" s="28"/>
      <c r="R490" s="28"/>
      <c r="S490" s="28"/>
      <c r="T490" s="28"/>
      <c r="U490" s="28"/>
      <c r="V490" s="28"/>
      <c r="W490" s="28"/>
      <c r="X490" s="28"/>
      <c r="Y490" s="28"/>
      <c r="Z490" s="28"/>
      <c r="AA490" s="28"/>
      <c r="AB490" s="28"/>
      <c r="AC490" s="28"/>
      <c r="AD490" s="28"/>
      <c r="AE490" s="28"/>
      <c r="AF490" s="28"/>
      <c r="AG490" s="28"/>
      <c r="AH490" s="28"/>
      <c r="AI490" s="28"/>
      <c r="AJ490" s="28"/>
      <c r="AK490" s="28"/>
      <c r="AL490" s="28"/>
      <c r="AM490" s="28"/>
      <c r="AN490" s="28"/>
      <c r="AO490" s="28"/>
      <c r="AP490" s="28"/>
      <c r="AQ490" s="28"/>
      <c r="AR490" s="28"/>
      <c r="AS490" s="28"/>
      <c r="AT490" s="28"/>
      <c r="AU490" s="28"/>
      <c r="AV490" s="28"/>
      <c r="AW490" s="28"/>
      <c r="AX490" s="28"/>
      <c r="AY490" s="28"/>
      <c r="AZ490" s="28"/>
      <c r="BA490" s="28"/>
      <c r="BB490" s="28"/>
      <c r="BC490" s="28"/>
      <c r="BD490" s="28"/>
      <c r="BE490" s="28"/>
      <c r="BF490" s="28"/>
      <c r="BG490" s="28"/>
      <c r="BH490" s="28"/>
      <c r="BI490" s="28"/>
      <c r="BJ490" s="28"/>
      <c r="BK490" s="28"/>
      <c r="BL490" s="28"/>
      <c r="BM490" s="28"/>
      <c r="BN490" s="28"/>
      <c r="BO490" s="28"/>
      <c r="BP490" s="28"/>
      <c r="BQ490" s="28"/>
      <c r="BR490" s="28"/>
      <c r="BS490" s="28"/>
      <c r="BT490" s="28"/>
      <c r="BU490" s="28"/>
      <c r="BV490" s="28"/>
      <c r="BW490" s="28"/>
      <c r="BX490" s="28"/>
      <c r="BY490" s="28"/>
      <c r="BZ490" s="28"/>
      <c r="CA490" s="28"/>
      <c r="CB490" s="28"/>
    </row>
    <row r="491" spans="1:80" hidden="1" x14ac:dyDescent="0.25">
      <c r="A491" s="31" t="s">
        <v>880</v>
      </c>
      <c r="B491" s="39" t="s">
        <v>2000</v>
      </c>
      <c r="C491" s="30" t="s">
        <v>1668</v>
      </c>
      <c r="D491" s="30" t="s">
        <v>52</v>
      </c>
      <c r="E491" s="20" t="s">
        <v>1997</v>
      </c>
      <c r="F491" s="26" t="s">
        <v>1998</v>
      </c>
      <c r="G491" s="30"/>
      <c r="H491" s="30"/>
      <c r="I491" s="29" t="e">
        <f>VLOOKUP(B491,#REF!,2,FALSE)</f>
        <v>#REF!</v>
      </c>
      <c r="J491" s="28"/>
      <c r="K491" s="28"/>
      <c r="L491" s="28"/>
      <c r="M491" s="28"/>
      <c r="N491" s="28"/>
      <c r="O491" s="28"/>
      <c r="P491" s="28"/>
      <c r="Q491" s="28"/>
      <c r="R491" s="28"/>
      <c r="S491" s="28"/>
      <c r="T491" s="28"/>
      <c r="U491" s="28"/>
      <c r="V491" s="28"/>
      <c r="W491" s="28"/>
      <c r="X491" s="28"/>
      <c r="Y491" s="28"/>
      <c r="Z491" s="28"/>
      <c r="AA491" s="28"/>
      <c r="AB491" s="28"/>
      <c r="AC491" s="28"/>
      <c r="AD491" s="28"/>
      <c r="AE491" s="28"/>
      <c r="AF491" s="28"/>
      <c r="AG491" s="28"/>
      <c r="AH491" s="28"/>
      <c r="AI491" s="28"/>
      <c r="AJ491" s="28"/>
      <c r="AK491" s="28"/>
      <c r="AL491" s="28"/>
      <c r="AM491" s="28"/>
      <c r="AN491" s="28"/>
      <c r="AO491" s="28"/>
      <c r="AP491" s="28"/>
      <c r="AQ491" s="28"/>
      <c r="AR491" s="28"/>
      <c r="AS491" s="28"/>
      <c r="AT491" s="28"/>
      <c r="AU491" s="28"/>
      <c r="AV491" s="28"/>
      <c r="AW491" s="28"/>
      <c r="AX491" s="28"/>
      <c r="AY491" s="28"/>
      <c r="AZ491" s="28"/>
      <c r="BA491" s="28"/>
      <c r="BB491" s="28"/>
      <c r="BC491" s="28"/>
      <c r="BD491" s="28"/>
      <c r="BE491" s="28"/>
      <c r="BF491" s="28"/>
      <c r="BG491" s="28"/>
      <c r="BH491" s="28"/>
      <c r="BI491" s="28"/>
      <c r="BJ491" s="28"/>
      <c r="BK491" s="28"/>
      <c r="BL491" s="28"/>
      <c r="BM491" s="28"/>
      <c r="BN491" s="28"/>
      <c r="BO491" s="28"/>
      <c r="BP491" s="28"/>
      <c r="BQ491" s="28"/>
      <c r="BR491" s="28"/>
      <c r="BS491" s="28"/>
      <c r="BT491" s="28"/>
      <c r="BU491" s="28"/>
      <c r="BV491" s="28"/>
      <c r="BW491" s="28"/>
      <c r="BX491" s="28"/>
      <c r="BY491" s="28"/>
      <c r="BZ491" s="28"/>
      <c r="CA491" s="28"/>
      <c r="CB491" s="28"/>
    </row>
    <row r="492" spans="1:80" hidden="1" x14ac:dyDescent="0.25">
      <c r="A492" s="31" t="s">
        <v>890</v>
      </c>
      <c r="B492" s="39" t="s">
        <v>889</v>
      </c>
      <c r="C492" s="30" t="s">
        <v>836</v>
      </c>
      <c r="D492" s="30" t="s">
        <v>52</v>
      </c>
      <c r="E492" s="20" t="s">
        <v>1997</v>
      </c>
      <c r="F492" s="26" t="s">
        <v>1998</v>
      </c>
      <c r="G492" s="30"/>
      <c r="H492" s="30"/>
      <c r="I492" s="29" t="e">
        <f>VLOOKUP(B492,#REF!,2,FALSE)</f>
        <v>#REF!</v>
      </c>
      <c r="J492" s="28"/>
      <c r="K492" s="28"/>
      <c r="L492" s="28"/>
      <c r="M492" s="28"/>
      <c r="N492" s="28"/>
      <c r="O492" s="28"/>
      <c r="P492" s="28"/>
      <c r="Q492" s="28"/>
      <c r="R492" s="28"/>
      <c r="S492" s="28"/>
      <c r="T492" s="28"/>
      <c r="U492" s="28"/>
      <c r="V492" s="28"/>
      <c r="W492" s="28"/>
      <c r="X492" s="28"/>
      <c r="Y492" s="28"/>
      <c r="Z492" s="28"/>
      <c r="AA492" s="28"/>
      <c r="AB492" s="28"/>
      <c r="AC492" s="28"/>
      <c r="AD492" s="28"/>
      <c r="AE492" s="28"/>
      <c r="AF492" s="28"/>
      <c r="AG492" s="28"/>
      <c r="AH492" s="28"/>
      <c r="AI492" s="28"/>
      <c r="AJ492" s="28"/>
      <c r="AK492" s="28"/>
      <c r="AL492" s="28"/>
      <c r="AM492" s="28"/>
      <c r="AN492" s="28"/>
      <c r="AO492" s="28"/>
      <c r="AP492" s="28"/>
      <c r="AQ492" s="28"/>
      <c r="AR492" s="28"/>
      <c r="AS492" s="28"/>
      <c r="AT492" s="28"/>
      <c r="AU492" s="28"/>
      <c r="AV492" s="28"/>
      <c r="AW492" s="28"/>
      <c r="AX492" s="28"/>
      <c r="AY492" s="28"/>
      <c r="AZ492" s="28"/>
      <c r="BA492" s="28"/>
      <c r="BB492" s="28"/>
      <c r="BC492" s="28"/>
      <c r="BD492" s="28"/>
      <c r="BE492" s="28"/>
      <c r="BF492" s="28"/>
      <c r="BG492" s="28"/>
      <c r="BH492" s="28"/>
      <c r="BI492" s="28"/>
      <c r="BJ492" s="28"/>
      <c r="BK492" s="28"/>
      <c r="BL492" s="28"/>
      <c r="BM492" s="28"/>
      <c r="BN492" s="28"/>
      <c r="BO492" s="28"/>
      <c r="BP492" s="28"/>
      <c r="BQ492" s="28"/>
      <c r="BR492" s="28"/>
      <c r="BS492" s="28"/>
      <c r="BT492" s="28"/>
      <c r="BU492" s="28"/>
      <c r="BV492" s="28"/>
      <c r="BW492" s="28"/>
      <c r="BX492" s="28"/>
      <c r="BY492" s="28"/>
      <c r="BZ492" s="28"/>
      <c r="CA492" s="28"/>
      <c r="CB492" s="28"/>
    </row>
    <row r="493" spans="1:80" hidden="1" x14ac:dyDescent="0.25">
      <c r="A493" s="31" t="s">
        <v>891</v>
      </c>
      <c r="B493" s="39" t="s">
        <v>2001</v>
      </c>
      <c r="C493" s="30" t="s">
        <v>2002</v>
      </c>
      <c r="D493" s="30" t="s">
        <v>52</v>
      </c>
      <c r="E493" s="20" t="s">
        <v>1997</v>
      </c>
      <c r="F493" s="26" t="s">
        <v>1998</v>
      </c>
      <c r="G493" s="30"/>
      <c r="H493" s="30"/>
      <c r="I493" s="29" t="e">
        <f>VLOOKUP(B493,#REF!,2,FALSE)</f>
        <v>#REF!</v>
      </c>
      <c r="J493" s="28"/>
      <c r="K493" s="28"/>
      <c r="L493" s="28"/>
      <c r="M493" s="28"/>
      <c r="N493" s="28"/>
      <c r="O493" s="28"/>
      <c r="P493" s="28"/>
      <c r="Q493" s="28"/>
      <c r="R493" s="28"/>
      <c r="S493" s="28"/>
      <c r="T493" s="28"/>
      <c r="U493" s="28"/>
      <c r="V493" s="28"/>
      <c r="W493" s="28"/>
      <c r="X493" s="28"/>
      <c r="Y493" s="28"/>
      <c r="Z493" s="28"/>
      <c r="AA493" s="28"/>
      <c r="AB493" s="28"/>
      <c r="AC493" s="28"/>
      <c r="AD493" s="28"/>
      <c r="AE493" s="28"/>
      <c r="AF493" s="28"/>
      <c r="AG493" s="28"/>
      <c r="AH493" s="28"/>
      <c r="AI493" s="28"/>
      <c r="AJ493" s="28"/>
      <c r="AK493" s="28"/>
      <c r="AL493" s="28"/>
      <c r="AM493" s="28"/>
      <c r="AN493" s="28"/>
      <c r="AO493" s="28"/>
      <c r="AP493" s="28"/>
      <c r="AQ493" s="28"/>
      <c r="AR493" s="28"/>
      <c r="AS493" s="28"/>
      <c r="AT493" s="28"/>
      <c r="AU493" s="28"/>
      <c r="AV493" s="28"/>
      <c r="AW493" s="28"/>
      <c r="AX493" s="28"/>
      <c r="AY493" s="28"/>
      <c r="AZ493" s="28"/>
      <c r="BA493" s="28"/>
      <c r="BB493" s="28"/>
      <c r="BC493" s="28"/>
      <c r="BD493" s="28"/>
      <c r="BE493" s="28"/>
      <c r="BF493" s="28"/>
      <c r="BG493" s="28"/>
      <c r="BH493" s="28"/>
      <c r="BI493" s="28"/>
      <c r="BJ493" s="28"/>
      <c r="BK493" s="28"/>
      <c r="BL493" s="28"/>
      <c r="BM493" s="28"/>
      <c r="BN493" s="28"/>
      <c r="BO493" s="28"/>
      <c r="BP493" s="28"/>
      <c r="BQ493" s="28"/>
      <c r="BR493" s="28"/>
      <c r="BS493" s="28"/>
      <c r="BT493" s="28"/>
      <c r="BU493" s="28"/>
      <c r="BV493" s="28"/>
      <c r="BW493" s="28"/>
      <c r="BX493" s="28"/>
      <c r="BY493" s="28"/>
      <c r="BZ493" s="28"/>
      <c r="CA493" s="28"/>
      <c r="CB493" s="28"/>
    </row>
    <row r="494" spans="1:80" hidden="1" x14ac:dyDescent="0.25">
      <c r="A494" s="31" t="s">
        <v>901</v>
      </c>
      <c r="B494" s="39" t="s">
        <v>2003</v>
      </c>
      <c r="C494" s="30" t="s">
        <v>2004</v>
      </c>
      <c r="D494" s="30" t="s">
        <v>14</v>
      </c>
      <c r="E494" s="20" t="s">
        <v>1997</v>
      </c>
      <c r="F494" s="26" t="s">
        <v>1998</v>
      </c>
      <c r="G494" s="30"/>
      <c r="H494" s="30"/>
      <c r="I494" s="29" t="e">
        <f>VLOOKUP(B494,#REF!,2,FALSE)</f>
        <v>#REF!</v>
      </c>
      <c r="J494" s="28"/>
      <c r="K494" s="28"/>
      <c r="L494" s="28"/>
      <c r="M494" s="28"/>
      <c r="N494" s="28"/>
      <c r="O494" s="28"/>
      <c r="P494" s="28"/>
      <c r="Q494" s="28"/>
      <c r="R494" s="28"/>
      <c r="S494" s="28"/>
      <c r="T494" s="28"/>
      <c r="U494" s="28"/>
      <c r="V494" s="28"/>
      <c r="W494" s="28"/>
      <c r="X494" s="28"/>
      <c r="Y494" s="28"/>
      <c r="Z494" s="28"/>
      <c r="AA494" s="28"/>
      <c r="AB494" s="28"/>
      <c r="AC494" s="28"/>
      <c r="AD494" s="28"/>
      <c r="AE494" s="28"/>
      <c r="AF494" s="28"/>
      <c r="AG494" s="28"/>
      <c r="AH494" s="28"/>
      <c r="AI494" s="28"/>
      <c r="AJ494" s="28"/>
      <c r="AK494" s="28"/>
      <c r="AL494" s="28"/>
      <c r="AM494" s="28"/>
      <c r="AN494" s="28"/>
      <c r="AO494" s="28"/>
      <c r="AP494" s="28"/>
      <c r="AQ494" s="28"/>
      <c r="AR494" s="28"/>
      <c r="AS494" s="28"/>
      <c r="AT494" s="28"/>
      <c r="AU494" s="28"/>
      <c r="AV494" s="28"/>
      <c r="AW494" s="28"/>
      <c r="AX494" s="28"/>
      <c r="AY494" s="28"/>
      <c r="AZ494" s="28"/>
      <c r="BA494" s="28"/>
      <c r="BB494" s="28"/>
      <c r="BC494" s="28"/>
      <c r="BD494" s="28"/>
      <c r="BE494" s="28"/>
      <c r="BF494" s="28"/>
      <c r="BG494" s="28"/>
      <c r="BH494" s="28"/>
      <c r="BI494" s="28"/>
      <c r="BJ494" s="28"/>
      <c r="BK494" s="28"/>
      <c r="BL494" s="28"/>
      <c r="BM494" s="28"/>
      <c r="BN494" s="28"/>
      <c r="BO494" s="28"/>
      <c r="BP494" s="28"/>
      <c r="BQ494" s="28"/>
      <c r="BR494" s="28"/>
      <c r="BS494" s="28"/>
      <c r="BT494" s="28"/>
      <c r="BU494" s="28"/>
      <c r="BV494" s="28"/>
      <c r="BW494" s="28"/>
      <c r="BX494" s="28"/>
      <c r="BY494" s="28"/>
      <c r="BZ494" s="28"/>
      <c r="CA494" s="28"/>
      <c r="CB494" s="28"/>
    </row>
    <row r="495" spans="1:80" hidden="1" x14ac:dyDescent="0.25">
      <c r="A495" s="31" t="s">
        <v>910</v>
      </c>
      <c r="B495" s="39" t="s">
        <v>2005</v>
      </c>
      <c r="C495" s="30" t="s">
        <v>2006</v>
      </c>
      <c r="D495" s="30" t="s">
        <v>52</v>
      </c>
      <c r="E495" s="20" t="s">
        <v>1997</v>
      </c>
      <c r="F495" s="26" t="s">
        <v>1998</v>
      </c>
      <c r="G495" s="30"/>
      <c r="H495" s="30"/>
      <c r="I495" s="29" t="e">
        <f>VLOOKUP(B495,#REF!,2,FALSE)</f>
        <v>#REF!</v>
      </c>
      <c r="J495" s="28"/>
      <c r="K495" s="28"/>
      <c r="L495" s="28"/>
      <c r="M495" s="28"/>
      <c r="N495" s="28"/>
      <c r="O495" s="28"/>
      <c r="P495" s="28"/>
      <c r="Q495" s="28"/>
      <c r="R495" s="28"/>
      <c r="S495" s="28"/>
      <c r="T495" s="28"/>
      <c r="U495" s="28"/>
      <c r="V495" s="28"/>
      <c r="W495" s="28"/>
      <c r="X495" s="28"/>
      <c r="Y495" s="28"/>
      <c r="Z495" s="28"/>
      <c r="AA495" s="28"/>
      <c r="AB495" s="28"/>
      <c r="AC495" s="28"/>
      <c r="AD495" s="28"/>
      <c r="AE495" s="28"/>
      <c r="AF495" s="28"/>
      <c r="AG495" s="28"/>
      <c r="AH495" s="28"/>
      <c r="AI495" s="28"/>
      <c r="AJ495" s="28"/>
      <c r="AK495" s="28"/>
      <c r="AL495" s="28"/>
      <c r="AM495" s="28"/>
      <c r="AN495" s="28"/>
      <c r="AO495" s="28"/>
      <c r="AP495" s="28"/>
      <c r="AQ495" s="28"/>
      <c r="AR495" s="28"/>
      <c r="AS495" s="28"/>
      <c r="AT495" s="28"/>
      <c r="AU495" s="28"/>
      <c r="AV495" s="28"/>
      <c r="AW495" s="28"/>
      <c r="AX495" s="28"/>
      <c r="AY495" s="28"/>
      <c r="AZ495" s="28"/>
      <c r="BA495" s="28"/>
      <c r="BB495" s="28"/>
      <c r="BC495" s="28"/>
      <c r="BD495" s="28"/>
      <c r="BE495" s="28"/>
      <c r="BF495" s="28"/>
      <c r="BG495" s="28"/>
      <c r="BH495" s="28"/>
      <c r="BI495" s="28"/>
      <c r="BJ495" s="28"/>
      <c r="BK495" s="28"/>
      <c r="BL495" s="28"/>
      <c r="BM495" s="28"/>
      <c r="BN495" s="28"/>
      <c r="BO495" s="28"/>
      <c r="BP495" s="28"/>
      <c r="BQ495" s="28"/>
      <c r="BR495" s="28"/>
      <c r="BS495" s="28"/>
      <c r="BT495" s="28"/>
      <c r="BU495" s="28"/>
      <c r="BV495" s="28"/>
      <c r="BW495" s="28"/>
      <c r="BX495" s="28"/>
      <c r="BY495" s="28"/>
      <c r="BZ495" s="28"/>
      <c r="CA495" s="28"/>
      <c r="CB495" s="28"/>
    </row>
    <row r="496" spans="1:80" hidden="1" x14ac:dyDescent="0.25">
      <c r="A496" s="31" t="s">
        <v>926</v>
      </c>
      <c r="B496" s="39" t="s">
        <v>925</v>
      </c>
      <c r="C496" s="30" t="s">
        <v>195</v>
      </c>
      <c r="D496" s="30" t="s">
        <v>52</v>
      </c>
      <c r="E496" s="20" t="s">
        <v>1997</v>
      </c>
      <c r="F496" s="26" t="s">
        <v>1998</v>
      </c>
      <c r="G496" s="30"/>
      <c r="H496" s="30"/>
      <c r="I496" s="29" t="e">
        <f>VLOOKUP(B496,#REF!,2,FALSE)</f>
        <v>#REF!</v>
      </c>
      <c r="J496" s="28"/>
      <c r="K496" s="28"/>
      <c r="L496" s="28"/>
      <c r="M496" s="28"/>
      <c r="N496" s="28"/>
      <c r="O496" s="28"/>
      <c r="P496" s="28"/>
      <c r="Q496" s="28"/>
      <c r="R496" s="28"/>
      <c r="S496" s="28"/>
      <c r="T496" s="28"/>
      <c r="U496" s="28"/>
      <c r="V496" s="28"/>
      <c r="W496" s="28"/>
      <c r="X496" s="28"/>
      <c r="Y496" s="28"/>
      <c r="Z496" s="28"/>
      <c r="AA496" s="28"/>
      <c r="AB496" s="28"/>
      <c r="AC496" s="28"/>
      <c r="AD496" s="28"/>
      <c r="AE496" s="28"/>
      <c r="AF496" s="28"/>
      <c r="AG496" s="28"/>
      <c r="AH496" s="28"/>
      <c r="AI496" s="28"/>
      <c r="AJ496" s="28"/>
      <c r="AK496" s="28"/>
      <c r="AL496" s="28"/>
      <c r="AM496" s="28"/>
      <c r="AN496" s="28"/>
      <c r="AO496" s="28"/>
      <c r="AP496" s="28"/>
      <c r="AQ496" s="28"/>
      <c r="AR496" s="28"/>
      <c r="AS496" s="28"/>
      <c r="AT496" s="28"/>
      <c r="AU496" s="28"/>
      <c r="AV496" s="28"/>
      <c r="AW496" s="28"/>
      <c r="AX496" s="28"/>
      <c r="AY496" s="28"/>
      <c r="AZ496" s="28"/>
      <c r="BA496" s="28"/>
      <c r="BB496" s="28"/>
      <c r="BC496" s="28"/>
      <c r="BD496" s="28"/>
      <c r="BE496" s="28"/>
      <c r="BF496" s="28"/>
      <c r="BG496" s="28"/>
      <c r="BH496" s="28"/>
      <c r="BI496" s="28"/>
      <c r="BJ496" s="28"/>
      <c r="BK496" s="28"/>
      <c r="BL496" s="28"/>
      <c r="BM496" s="28"/>
      <c r="BN496" s="28"/>
      <c r="BO496" s="28"/>
      <c r="BP496" s="28"/>
      <c r="BQ496" s="28"/>
      <c r="BR496" s="28"/>
      <c r="BS496" s="28"/>
      <c r="BT496" s="28"/>
      <c r="BU496" s="28"/>
      <c r="BV496" s="28"/>
      <c r="BW496" s="28"/>
      <c r="BX496" s="28"/>
      <c r="BY496" s="28"/>
      <c r="BZ496" s="28"/>
      <c r="CA496" s="28"/>
      <c r="CB496" s="28"/>
    </row>
    <row r="497" spans="1:9" hidden="1" x14ac:dyDescent="0.25">
      <c r="A497" s="31" t="s">
        <v>299</v>
      </c>
      <c r="B497" s="39" t="s">
        <v>298</v>
      </c>
      <c r="C497" s="30" t="s">
        <v>261</v>
      </c>
      <c r="D497" s="30" t="s">
        <v>10</v>
      </c>
      <c r="E497" s="20" t="s">
        <v>1997</v>
      </c>
      <c r="F497" s="26" t="s">
        <v>1998</v>
      </c>
      <c r="G497" s="30"/>
      <c r="H497" s="30"/>
      <c r="I497" s="29" t="e">
        <f>VLOOKUP(B497,#REF!,2,FALSE)</f>
        <v>#REF!</v>
      </c>
    </row>
    <row r="498" spans="1:9" hidden="1" x14ac:dyDescent="0.25">
      <c r="A498" s="31" t="s">
        <v>961</v>
      </c>
      <c r="B498" s="39" t="s">
        <v>960</v>
      </c>
      <c r="C498" s="30" t="s">
        <v>445</v>
      </c>
      <c r="D498" s="30" t="s">
        <v>97</v>
      </c>
      <c r="E498" s="20" t="s">
        <v>1997</v>
      </c>
      <c r="F498" s="26" t="s">
        <v>1998</v>
      </c>
      <c r="G498" s="30"/>
      <c r="H498" s="30"/>
      <c r="I498" s="29" t="e">
        <f>VLOOKUP(B498,#REF!,2,FALSE)</f>
        <v>#REF!</v>
      </c>
    </row>
    <row r="499" spans="1:9" hidden="1" x14ac:dyDescent="0.25">
      <c r="A499" s="31" t="s">
        <v>187</v>
      </c>
      <c r="B499" s="39" t="s">
        <v>185</v>
      </c>
      <c r="C499" s="30" t="s">
        <v>186</v>
      </c>
      <c r="D499" s="30" t="s">
        <v>14</v>
      </c>
      <c r="E499" s="20" t="s">
        <v>1997</v>
      </c>
      <c r="F499" s="26" t="s">
        <v>1998</v>
      </c>
      <c r="G499" s="30"/>
      <c r="H499" s="30"/>
      <c r="I499" s="29" t="e">
        <f>VLOOKUP(B499,#REF!,2,FALSE)</f>
        <v>#REF!</v>
      </c>
    </row>
    <row r="500" spans="1:9" hidden="1" x14ac:dyDescent="0.25">
      <c r="A500" s="31" t="s">
        <v>990</v>
      </c>
      <c r="B500" s="39" t="s">
        <v>989</v>
      </c>
      <c r="C500" s="30" t="s">
        <v>73</v>
      </c>
      <c r="D500" s="30" t="s">
        <v>52</v>
      </c>
      <c r="E500" s="20" t="s">
        <v>1997</v>
      </c>
      <c r="F500" s="26" t="s">
        <v>1998</v>
      </c>
      <c r="G500" s="30"/>
      <c r="H500" s="30"/>
      <c r="I500" s="29" t="e">
        <f>VLOOKUP(B500,#REF!,2,FALSE)</f>
        <v>#REF!</v>
      </c>
    </row>
    <row r="501" spans="1:9" hidden="1" x14ac:dyDescent="0.25">
      <c r="A501" s="31" t="s">
        <v>802</v>
      </c>
      <c r="B501" s="39" t="s">
        <v>800</v>
      </c>
      <c r="C501" s="30" t="s">
        <v>801</v>
      </c>
      <c r="D501" s="30" t="s">
        <v>14</v>
      </c>
      <c r="E501" s="20" t="s">
        <v>1997</v>
      </c>
      <c r="F501" s="26" t="s">
        <v>1998</v>
      </c>
      <c r="G501" s="30"/>
      <c r="H501" s="30"/>
      <c r="I501" s="29" t="e">
        <f>VLOOKUP(B501,#REF!,2,FALSE)</f>
        <v>#REF!</v>
      </c>
    </row>
    <row r="502" spans="1:9" hidden="1" x14ac:dyDescent="0.25">
      <c r="A502" s="31" t="s">
        <v>805</v>
      </c>
      <c r="B502" s="39" t="s">
        <v>804</v>
      </c>
      <c r="C502" s="30" t="s">
        <v>107</v>
      </c>
      <c r="D502" s="30" t="s">
        <v>52</v>
      </c>
      <c r="E502" s="20" t="s">
        <v>1997</v>
      </c>
      <c r="F502" s="26" t="s">
        <v>1998</v>
      </c>
      <c r="G502" s="30"/>
      <c r="H502" s="30"/>
      <c r="I502" s="29" t="e">
        <f>VLOOKUP(B502,#REF!,2,FALSE)</f>
        <v>#REF!</v>
      </c>
    </row>
    <row r="503" spans="1:9" x14ac:dyDescent="0.25">
      <c r="A503" s="31" t="s">
        <v>2007</v>
      </c>
      <c r="B503" s="39" t="s">
        <v>2008</v>
      </c>
      <c r="C503" s="30" t="s">
        <v>2009</v>
      </c>
      <c r="D503" s="30" t="s">
        <v>52</v>
      </c>
      <c r="E503" s="20" t="s">
        <v>1997</v>
      </c>
      <c r="F503" s="26" t="s">
        <v>1998</v>
      </c>
      <c r="G503" s="30" t="s">
        <v>1009</v>
      </c>
      <c r="H503" s="30"/>
      <c r="I503" s="29" t="e">
        <f>VLOOKUP(B503,#REF!,2,FALSE)</f>
        <v>#REF!</v>
      </c>
    </row>
    <row r="504" spans="1:9" hidden="1" x14ac:dyDescent="0.25">
      <c r="A504" s="31" t="s">
        <v>1070</v>
      </c>
      <c r="B504" s="39" t="s">
        <v>1069</v>
      </c>
      <c r="C504" s="30" t="s">
        <v>197</v>
      </c>
      <c r="D504" s="30" t="s">
        <v>52</v>
      </c>
      <c r="E504" s="20" t="s">
        <v>1997</v>
      </c>
      <c r="F504" s="26" t="s">
        <v>1998</v>
      </c>
      <c r="G504" s="30"/>
      <c r="H504" s="30"/>
      <c r="I504" s="29" t="e">
        <f>VLOOKUP(B504,#REF!,2,FALSE)</f>
        <v>#REF!</v>
      </c>
    </row>
    <row r="505" spans="1:9" hidden="1" x14ac:dyDescent="0.25">
      <c r="A505" s="31" t="s">
        <v>1108</v>
      </c>
      <c r="B505" s="39" t="s">
        <v>1107</v>
      </c>
      <c r="C505" s="30" t="s">
        <v>412</v>
      </c>
      <c r="D505" s="30" t="s">
        <v>52</v>
      </c>
      <c r="E505" s="20" t="s">
        <v>1997</v>
      </c>
      <c r="F505" s="26" t="s">
        <v>1998</v>
      </c>
      <c r="G505" s="30"/>
      <c r="H505" s="30"/>
      <c r="I505" s="29" t="e">
        <f>VLOOKUP(B505,#REF!,2,FALSE)</f>
        <v>#REF!</v>
      </c>
    </row>
    <row r="506" spans="1:9" hidden="1" x14ac:dyDescent="0.25">
      <c r="A506" s="31" t="s">
        <v>1126</v>
      </c>
      <c r="B506" s="39" t="s">
        <v>1125</v>
      </c>
      <c r="C506" s="30" t="s">
        <v>86</v>
      </c>
      <c r="D506" s="30" t="s">
        <v>52</v>
      </c>
      <c r="E506" s="20" t="s">
        <v>1997</v>
      </c>
      <c r="F506" s="26" t="s">
        <v>1998</v>
      </c>
      <c r="G506" s="30"/>
      <c r="H506" s="30"/>
      <c r="I506" s="29" t="e">
        <f>VLOOKUP(B506,#REF!,2,FALSE)</f>
        <v>#REF!</v>
      </c>
    </row>
    <row r="507" spans="1:9" x14ac:dyDescent="0.25">
      <c r="A507" s="31" t="s">
        <v>2010</v>
      </c>
      <c r="B507" s="39" t="s">
        <v>2011</v>
      </c>
      <c r="C507" s="30" t="s">
        <v>148</v>
      </c>
      <c r="D507" s="30" t="s">
        <v>14</v>
      </c>
      <c r="E507" s="20" t="s">
        <v>1997</v>
      </c>
      <c r="F507" s="26" t="s">
        <v>1998</v>
      </c>
      <c r="G507" s="30"/>
      <c r="H507" s="30"/>
      <c r="I507" s="29" t="e">
        <f>VLOOKUP(B507,#REF!,2,FALSE)</f>
        <v>#REF!</v>
      </c>
    </row>
    <row r="508" spans="1:9" hidden="1" x14ac:dyDescent="0.25">
      <c r="A508" s="31" t="s">
        <v>816</v>
      </c>
      <c r="B508" s="39" t="s">
        <v>815</v>
      </c>
      <c r="C508" s="30" t="s">
        <v>43</v>
      </c>
      <c r="D508" s="30" t="s">
        <v>14</v>
      </c>
      <c r="E508" s="20" t="s">
        <v>1997</v>
      </c>
      <c r="F508" s="26" t="s">
        <v>2012</v>
      </c>
      <c r="G508" s="30" t="s">
        <v>37</v>
      </c>
      <c r="H508" s="30"/>
      <c r="I508" s="29" t="e">
        <f>VLOOKUP(B508,#REF!,2,FALSE)</f>
        <v>#REF!</v>
      </c>
    </row>
    <row r="509" spans="1:9" hidden="1" x14ac:dyDescent="0.25">
      <c r="A509" s="31" t="s">
        <v>832</v>
      </c>
      <c r="B509" s="39" t="s">
        <v>831</v>
      </c>
      <c r="C509" s="30" t="s">
        <v>749</v>
      </c>
      <c r="D509" s="30" t="s">
        <v>14</v>
      </c>
      <c r="E509" s="20" t="s">
        <v>1997</v>
      </c>
      <c r="F509" s="26" t="s">
        <v>2012</v>
      </c>
      <c r="G509" s="30"/>
      <c r="H509" s="30"/>
      <c r="I509" s="29" t="e">
        <f>VLOOKUP(B509,#REF!,2,FALSE)</f>
        <v>#REF!</v>
      </c>
    </row>
    <row r="510" spans="1:9" hidden="1" x14ac:dyDescent="0.25">
      <c r="A510" s="31" t="s">
        <v>851</v>
      </c>
      <c r="B510" s="39" t="s">
        <v>849</v>
      </c>
      <c r="C510" s="30" t="s">
        <v>850</v>
      </c>
      <c r="D510" s="30" t="s">
        <v>14</v>
      </c>
      <c r="E510" s="20" t="s">
        <v>1997</v>
      </c>
      <c r="F510" s="26" t="s">
        <v>2012</v>
      </c>
      <c r="G510" s="30"/>
      <c r="H510" s="30"/>
      <c r="I510" s="29" t="e">
        <f>VLOOKUP(B510,#REF!,2,FALSE)</f>
        <v>#REF!</v>
      </c>
    </row>
    <row r="511" spans="1:9" hidden="1" x14ac:dyDescent="0.25">
      <c r="A511" s="31" t="s">
        <v>859</v>
      </c>
      <c r="B511" s="39" t="s">
        <v>858</v>
      </c>
      <c r="C511" s="30" t="s">
        <v>225</v>
      </c>
      <c r="D511" s="30" t="s">
        <v>14</v>
      </c>
      <c r="E511" s="20" t="s">
        <v>1997</v>
      </c>
      <c r="F511" s="26" t="s">
        <v>2012</v>
      </c>
      <c r="G511" s="30"/>
      <c r="H511" s="30"/>
      <c r="I511" s="29" t="e">
        <f>VLOOKUP(B511,#REF!,2,FALSE)</f>
        <v>#REF!</v>
      </c>
    </row>
    <row r="512" spans="1:9" hidden="1" x14ac:dyDescent="0.25">
      <c r="A512" s="31" t="s">
        <v>862</v>
      </c>
      <c r="B512" s="39" t="s">
        <v>2013</v>
      </c>
      <c r="C512" s="30" t="s">
        <v>2014</v>
      </c>
      <c r="D512" s="30" t="s">
        <v>78</v>
      </c>
      <c r="E512" s="20" t="s">
        <v>1997</v>
      </c>
      <c r="F512" s="26" t="s">
        <v>2012</v>
      </c>
      <c r="G512" s="30"/>
      <c r="H512" s="30"/>
      <c r="I512" s="29" t="e">
        <f>VLOOKUP(B512,#REF!,2,FALSE)</f>
        <v>#REF!</v>
      </c>
    </row>
    <row r="513" spans="1:80" hidden="1" x14ac:dyDescent="0.25">
      <c r="A513" s="31" t="s">
        <v>876</v>
      </c>
      <c r="B513" s="39" t="s">
        <v>875</v>
      </c>
      <c r="C513" s="30" t="s">
        <v>91</v>
      </c>
      <c r="D513" s="30" t="s">
        <v>14</v>
      </c>
      <c r="E513" s="20" t="s">
        <v>1997</v>
      </c>
      <c r="F513" s="26" t="s">
        <v>2012</v>
      </c>
      <c r="G513" s="30"/>
      <c r="H513" s="30"/>
      <c r="I513" s="29" t="e">
        <f>VLOOKUP(B513,#REF!,2,FALSE)</f>
        <v>#REF!</v>
      </c>
      <c r="J513" s="28"/>
      <c r="K513" s="28"/>
      <c r="L513" s="28"/>
      <c r="M513" s="28"/>
      <c r="N513" s="28"/>
      <c r="O513" s="28"/>
      <c r="P513" s="28"/>
      <c r="Q513" s="28"/>
      <c r="R513" s="28"/>
      <c r="S513" s="28"/>
      <c r="T513" s="28"/>
      <c r="U513" s="28"/>
      <c r="V513" s="28"/>
      <c r="W513" s="28"/>
      <c r="X513" s="28"/>
      <c r="Y513" s="28"/>
      <c r="Z513" s="28"/>
      <c r="AA513" s="28"/>
      <c r="AB513" s="28"/>
      <c r="AC513" s="28"/>
      <c r="AD513" s="28"/>
      <c r="AE513" s="28"/>
      <c r="AF513" s="28"/>
      <c r="AG513" s="28"/>
      <c r="AH513" s="28"/>
      <c r="AI513" s="28"/>
      <c r="AJ513" s="28"/>
      <c r="AK513" s="28"/>
      <c r="AL513" s="28"/>
      <c r="AM513" s="28"/>
      <c r="AN513" s="28"/>
      <c r="AO513" s="28"/>
      <c r="AP513" s="28"/>
      <c r="AQ513" s="28"/>
      <c r="AR513" s="28"/>
      <c r="AS513" s="28"/>
      <c r="AT513" s="28"/>
      <c r="AU513" s="28"/>
      <c r="AV513" s="28"/>
      <c r="AW513" s="28"/>
      <c r="AX513" s="28"/>
      <c r="AY513" s="28"/>
      <c r="AZ513" s="28"/>
      <c r="BA513" s="28"/>
      <c r="BB513" s="28"/>
      <c r="BC513" s="28"/>
      <c r="BD513" s="28"/>
      <c r="BE513" s="28"/>
      <c r="BF513" s="28"/>
      <c r="BG513" s="28"/>
      <c r="BH513" s="28"/>
      <c r="BI513" s="28"/>
      <c r="BJ513" s="28"/>
      <c r="BK513" s="28"/>
      <c r="BL513" s="28"/>
      <c r="BM513" s="28"/>
      <c r="BN513" s="28"/>
      <c r="BO513" s="28"/>
      <c r="BP513" s="28"/>
      <c r="BQ513" s="28"/>
      <c r="BR513" s="28"/>
      <c r="BS513" s="28"/>
      <c r="BT513" s="28"/>
      <c r="BU513" s="28"/>
      <c r="BV513" s="28"/>
      <c r="BW513" s="28"/>
      <c r="BX513" s="28"/>
      <c r="BY513" s="28"/>
      <c r="BZ513" s="28"/>
      <c r="CA513" s="28"/>
      <c r="CB513" s="28"/>
    </row>
    <row r="514" spans="1:80" hidden="1" x14ac:dyDescent="0.25">
      <c r="A514" s="31" t="s">
        <v>899</v>
      </c>
      <c r="B514" s="39" t="s">
        <v>898</v>
      </c>
      <c r="C514" s="30" t="s">
        <v>33</v>
      </c>
      <c r="D514" s="30" t="s">
        <v>78</v>
      </c>
      <c r="E514" s="20" t="s">
        <v>1997</v>
      </c>
      <c r="F514" s="26" t="s">
        <v>2012</v>
      </c>
      <c r="G514" s="30"/>
      <c r="H514" s="30"/>
      <c r="I514" s="29" t="e">
        <f>VLOOKUP(B514,#REF!,2,FALSE)</f>
        <v>#REF!</v>
      </c>
      <c r="J514" s="28"/>
      <c r="K514" s="28"/>
      <c r="L514" s="28"/>
      <c r="M514" s="28"/>
      <c r="N514" s="28"/>
      <c r="O514" s="28"/>
      <c r="P514" s="28"/>
      <c r="Q514" s="28"/>
      <c r="R514" s="28"/>
      <c r="S514" s="28"/>
      <c r="T514" s="28"/>
      <c r="U514" s="28"/>
      <c r="V514" s="28"/>
      <c r="W514" s="28"/>
      <c r="X514" s="28"/>
      <c r="Y514" s="28"/>
      <c r="Z514" s="28"/>
      <c r="AA514" s="28"/>
      <c r="AB514" s="28"/>
      <c r="AC514" s="28"/>
      <c r="AD514" s="28"/>
      <c r="AE514" s="28"/>
      <c r="AF514" s="28"/>
      <c r="AG514" s="28"/>
      <c r="AH514" s="28"/>
      <c r="AI514" s="28"/>
      <c r="AJ514" s="28"/>
      <c r="AK514" s="28"/>
      <c r="AL514" s="28"/>
      <c r="AM514" s="28"/>
      <c r="AN514" s="28"/>
      <c r="AO514" s="28"/>
      <c r="AP514" s="28"/>
      <c r="AQ514" s="28"/>
      <c r="AR514" s="28"/>
      <c r="AS514" s="28"/>
      <c r="AT514" s="28"/>
      <c r="AU514" s="28"/>
      <c r="AV514" s="28"/>
      <c r="AW514" s="28"/>
      <c r="AX514" s="28"/>
      <c r="AY514" s="28"/>
      <c r="AZ514" s="28"/>
      <c r="BA514" s="28"/>
      <c r="BB514" s="28"/>
      <c r="BC514" s="28"/>
      <c r="BD514" s="28"/>
      <c r="BE514" s="28"/>
      <c r="BF514" s="28"/>
      <c r="BG514" s="28"/>
      <c r="BH514" s="28"/>
      <c r="BI514" s="28"/>
      <c r="BJ514" s="28"/>
      <c r="BK514" s="28"/>
      <c r="BL514" s="28"/>
      <c r="BM514" s="28"/>
      <c r="BN514" s="28"/>
      <c r="BO514" s="28"/>
      <c r="BP514" s="28"/>
      <c r="BQ514" s="28"/>
      <c r="BR514" s="28"/>
      <c r="BS514" s="28"/>
      <c r="BT514" s="28"/>
      <c r="BU514" s="28"/>
      <c r="BV514" s="28"/>
      <c r="BW514" s="28"/>
      <c r="BX514" s="28"/>
      <c r="BY514" s="28"/>
      <c r="BZ514" s="28"/>
      <c r="CA514" s="28"/>
      <c r="CB514" s="28"/>
    </row>
    <row r="515" spans="1:80" hidden="1" x14ac:dyDescent="0.25">
      <c r="A515" s="31" t="s">
        <v>919</v>
      </c>
      <c r="B515" s="39" t="s">
        <v>2015</v>
      </c>
      <c r="C515" s="30" t="s">
        <v>1696</v>
      </c>
      <c r="D515" s="30" t="s">
        <v>14</v>
      </c>
      <c r="E515" s="20" t="s">
        <v>1997</v>
      </c>
      <c r="F515" s="26" t="s">
        <v>2012</v>
      </c>
      <c r="G515" s="30"/>
      <c r="H515" s="30"/>
      <c r="I515" s="29" t="e">
        <f>VLOOKUP(B515,#REF!,2,FALSE)</f>
        <v>#REF!</v>
      </c>
      <c r="J515" s="28"/>
      <c r="K515" s="28"/>
      <c r="L515" s="28"/>
      <c r="M515" s="28"/>
      <c r="N515" s="28"/>
      <c r="O515" s="28"/>
      <c r="P515" s="28"/>
      <c r="Q515" s="28"/>
      <c r="R515" s="28"/>
      <c r="S515" s="28"/>
      <c r="T515" s="28"/>
      <c r="U515" s="28"/>
      <c r="V515" s="28"/>
      <c r="W515" s="28"/>
      <c r="X515" s="28"/>
      <c r="Y515" s="28"/>
      <c r="Z515" s="28"/>
      <c r="AA515" s="28"/>
      <c r="AB515" s="28"/>
      <c r="AC515" s="28"/>
      <c r="AD515" s="28"/>
      <c r="AE515" s="28"/>
      <c r="AF515" s="28"/>
      <c r="AG515" s="28"/>
      <c r="AH515" s="28"/>
      <c r="AI515" s="28"/>
      <c r="AJ515" s="28"/>
      <c r="AK515" s="28"/>
      <c r="AL515" s="28"/>
      <c r="AM515" s="28"/>
      <c r="AN515" s="28"/>
      <c r="AO515" s="28"/>
      <c r="AP515" s="28"/>
      <c r="AQ515" s="28"/>
      <c r="AR515" s="28"/>
      <c r="AS515" s="28"/>
      <c r="AT515" s="28"/>
      <c r="AU515" s="28"/>
      <c r="AV515" s="28"/>
      <c r="AW515" s="28"/>
      <c r="AX515" s="28"/>
      <c r="AY515" s="28"/>
      <c r="AZ515" s="28"/>
      <c r="BA515" s="28"/>
      <c r="BB515" s="28"/>
      <c r="BC515" s="28"/>
      <c r="BD515" s="28"/>
      <c r="BE515" s="28"/>
      <c r="BF515" s="28"/>
      <c r="BG515" s="28"/>
      <c r="BH515" s="28"/>
      <c r="BI515" s="28"/>
      <c r="BJ515" s="28"/>
      <c r="BK515" s="28"/>
      <c r="BL515" s="28"/>
      <c r="BM515" s="28"/>
      <c r="BN515" s="28"/>
      <c r="BO515" s="28"/>
      <c r="BP515" s="28"/>
      <c r="BQ515" s="28"/>
      <c r="BR515" s="28"/>
      <c r="BS515" s="28"/>
      <c r="BT515" s="28"/>
      <c r="BU515" s="28"/>
      <c r="BV515" s="28"/>
      <c r="BW515" s="28"/>
      <c r="BX515" s="28"/>
      <c r="BY515" s="28"/>
      <c r="BZ515" s="28"/>
      <c r="CA515" s="28"/>
      <c r="CB515" s="28"/>
    </row>
    <row r="516" spans="1:80" hidden="1" x14ac:dyDescent="0.25">
      <c r="A516" s="31" t="s">
        <v>928</v>
      </c>
      <c r="B516" s="39" t="s">
        <v>927</v>
      </c>
      <c r="C516" s="30" t="s">
        <v>148</v>
      </c>
      <c r="D516" s="30" t="s">
        <v>14</v>
      </c>
      <c r="E516" s="20" t="s">
        <v>1997</v>
      </c>
      <c r="F516" s="26" t="s">
        <v>2012</v>
      </c>
      <c r="G516" s="30"/>
      <c r="H516" s="30"/>
      <c r="I516" s="29" t="e">
        <f>VLOOKUP(B516,#REF!,2,FALSE)</f>
        <v>#REF!</v>
      </c>
      <c r="J516" s="28"/>
      <c r="K516" s="28"/>
      <c r="L516" s="28"/>
      <c r="M516" s="28"/>
      <c r="N516" s="28"/>
      <c r="O516" s="28"/>
      <c r="P516" s="28"/>
      <c r="Q516" s="28"/>
      <c r="R516" s="28"/>
      <c r="S516" s="28"/>
      <c r="T516" s="28"/>
      <c r="U516" s="28"/>
      <c r="V516" s="28"/>
      <c r="W516" s="28"/>
      <c r="X516" s="28"/>
      <c r="Y516" s="28"/>
      <c r="Z516" s="28"/>
      <c r="AA516" s="28"/>
      <c r="AB516" s="28"/>
      <c r="AC516" s="28"/>
      <c r="AD516" s="28"/>
      <c r="AE516" s="28"/>
      <c r="AF516" s="28"/>
      <c r="AG516" s="28"/>
      <c r="AH516" s="28"/>
      <c r="AI516" s="28"/>
      <c r="AJ516" s="28"/>
      <c r="AK516" s="28"/>
      <c r="AL516" s="28"/>
      <c r="AM516" s="28"/>
      <c r="AN516" s="28"/>
      <c r="AO516" s="28"/>
      <c r="AP516" s="28"/>
      <c r="AQ516" s="28"/>
      <c r="AR516" s="28"/>
      <c r="AS516" s="28"/>
      <c r="AT516" s="28"/>
      <c r="AU516" s="28"/>
      <c r="AV516" s="28"/>
      <c r="AW516" s="28"/>
      <c r="AX516" s="28"/>
      <c r="AY516" s="28"/>
      <c r="AZ516" s="28"/>
      <c r="BA516" s="28"/>
      <c r="BB516" s="28"/>
      <c r="BC516" s="28"/>
      <c r="BD516" s="28"/>
      <c r="BE516" s="28"/>
      <c r="BF516" s="28"/>
      <c r="BG516" s="28"/>
      <c r="BH516" s="28"/>
      <c r="BI516" s="28"/>
      <c r="BJ516" s="28"/>
      <c r="BK516" s="28"/>
      <c r="BL516" s="28"/>
      <c r="BM516" s="28"/>
      <c r="BN516" s="28"/>
      <c r="BO516" s="28"/>
      <c r="BP516" s="28"/>
      <c r="BQ516" s="28"/>
      <c r="BR516" s="28"/>
      <c r="BS516" s="28"/>
      <c r="BT516" s="28"/>
      <c r="BU516" s="28"/>
      <c r="BV516" s="28"/>
      <c r="BW516" s="28"/>
      <c r="BX516" s="28"/>
      <c r="BY516" s="28"/>
      <c r="BZ516" s="28"/>
      <c r="CA516" s="28"/>
      <c r="CB516" s="28"/>
    </row>
    <row r="517" spans="1:80" hidden="1" x14ac:dyDescent="0.25">
      <c r="A517" s="31" t="s">
        <v>938</v>
      </c>
      <c r="B517" s="39" t="s">
        <v>936</v>
      </c>
      <c r="C517" s="30" t="s">
        <v>937</v>
      </c>
      <c r="D517" s="30" t="s">
        <v>14</v>
      </c>
      <c r="E517" s="20" t="s">
        <v>1997</v>
      </c>
      <c r="F517" s="26" t="s">
        <v>2012</v>
      </c>
      <c r="G517" s="30"/>
      <c r="H517" s="30"/>
      <c r="I517" s="29" t="e">
        <f>VLOOKUP(B517,#REF!,2,FALSE)</f>
        <v>#REF!</v>
      </c>
      <c r="J517" s="28"/>
      <c r="K517" s="28"/>
      <c r="L517" s="28"/>
      <c r="M517" s="28"/>
      <c r="N517" s="28"/>
      <c r="O517" s="28"/>
      <c r="P517" s="28"/>
      <c r="Q517" s="28"/>
      <c r="R517" s="28"/>
      <c r="S517" s="28"/>
      <c r="T517" s="28"/>
      <c r="U517" s="28"/>
      <c r="V517" s="28"/>
      <c r="W517" s="28"/>
      <c r="X517" s="28"/>
      <c r="Y517" s="28"/>
      <c r="Z517" s="28"/>
      <c r="AA517" s="28"/>
      <c r="AB517" s="28"/>
      <c r="AC517" s="28"/>
      <c r="AD517" s="28"/>
      <c r="AE517" s="28"/>
      <c r="AF517" s="28"/>
      <c r="AG517" s="28"/>
      <c r="AH517" s="28"/>
      <c r="AI517" s="28"/>
      <c r="AJ517" s="28"/>
      <c r="AK517" s="28"/>
      <c r="AL517" s="28"/>
      <c r="AM517" s="28"/>
      <c r="AN517" s="28"/>
      <c r="AO517" s="28"/>
      <c r="AP517" s="28"/>
      <c r="AQ517" s="28"/>
      <c r="AR517" s="28"/>
      <c r="AS517" s="28"/>
      <c r="AT517" s="28"/>
      <c r="AU517" s="28"/>
      <c r="AV517" s="28"/>
      <c r="AW517" s="28"/>
      <c r="AX517" s="28"/>
      <c r="AY517" s="28"/>
      <c r="AZ517" s="28"/>
      <c r="BA517" s="28"/>
      <c r="BB517" s="28"/>
      <c r="BC517" s="28"/>
      <c r="BD517" s="28"/>
      <c r="BE517" s="28"/>
      <c r="BF517" s="28"/>
      <c r="BG517" s="28"/>
      <c r="BH517" s="28"/>
      <c r="BI517" s="28"/>
      <c r="BJ517" s="28"/>
      <c r="BK517" s="28"/>
      <c r="BL517" s="28"/>
      <c r="BM517" s="28"/>
      <c r="BN517" s="28"/>
      <c r="BO517" s="28"/>
      <c r="BP517" s="28"/>
      <c r="BQ517" s="28"/>
      <c r="BR517" s="28"/>
      <c r="BS517" s="28"/>
      <c r="BT517" s="28"/>
      <c r="BU517" s="28"/>
      <c r="BV517" s="28"/>
      <c r="BW517" s="28"/>
      <c r="BX517" s="28"/>
      <c r="BY517" s="28"/>
      <c r="BZ517" s="28"/>
      <c r="CA517" s="28"/>
      <c r="CB517" s="28"/>
    </row>
    <row r="518" spans="1:80" x14ac:dyDescent="0.25">
      <c r="A518" s="31" t="s">
        <v>2016</v>
      </c>
      <c r="B518" s="39" t="s">
        <v>2017</v>
      </c>
      <c r="C518" s="30" t="s">
        <v>215</v>
      </c>
      <c r="D518" s="30" t="s">
        <v>14</v>
      </c>
      <c r="E518" s="20" t="s">
        <v>1997</v>
      </c>
      <c r="F518" s="26" t="s">
        <v>2012</v>
      </c>
      <c r="G518" s="30"/>
      <c r="H518" s="30"/>
      <c r="I518" s="29" t="e">
        <f>VLOOKUP(B518,#REF!,2,FALSE)</f>
        <v>#REF!</v>
      </c>
      <c r="J518" s="28"/>
      <c r="K518" s="28"/>
      <c r="L518" s="28"/>
      <c r="M518" s="28"/>
      <c r="N518" s="28"/>
      <c r="O518" s="28"/>
      <c r="P518" s="28"/>
      <c r="Q518" s="28"/>
      <c r="R518" s="28"/>
      <c r="S518" s="28"/>
      <c r="T518" s="28"/>
      <c r="U518" s="28"/>
      <c r="V518" s="28"/>
      <c r="W518" s="28"/>
      <c r="X518" s="28"/>
      <c r="Y518" s="28"/>
      <c r="Z518" s="28"/>
      <c r="AA518" s="28"/>
      <c r="AB518" s="28"/>
      <c r="AC518" s="28"/>
      <c r="AD518" s="28"/>
      <c r="AE518" s="28"/>
      <c r="AF518" s="28"/>
      <c r="AG518" s="28"/>
      <c r="AH518" s="28"/>
      <c r="AI518" s="28"/>
      <c r="AJ518" s="28"/>
      <c r="AK518" s="28"/>
      <c r="AL518" s="28"/>
      <c r="AM518" s="28"/>
      <c r="AN518" s="28"/>
      <c r="AO518" s="28"/>
      <c r="AP518" s="28"/>
      <c r="AQ518" s="28"/>
      <c r="AR518" s="28"/>
      <c r="AS518" s="28"/>
      <c r="AT518" s="28"/>
      <c r="AU518" s="28"/>
      <c r="AV518" s="28"/>
      <c r="AW518" s="28"/>
      <c r="AX518" s="28"/>
      <c r="AY518" s="28"/>
      <c r="AZ518" s="28"/>
      <c r="BA518" s="28"/>
      <c r="BB518" s="28"/>
      <c r="BC518" s="28"/>
      <c r="BD518" s="28"/>
      <c r="BE518" s="28"/>
      <c r="BF518" s="28"/>
      <c r="BG518" s="28"/>
      <c r="BH518" s="28"/>
      <c r="BI518" s="28"/>
      <c r="BJ518" s="28"/>
      <c r="BK518" s="28"/>
      <c r="BL518" s="28"/>
      <c r="BM518" s="28"/>
      <c r="BN518" s="28"/>
      <c r="BO518" s="28"/>
      <c r="BP518" s="28"/>
      <c r="BQ518" s="28"/>
      <c r="BR518" s="28"/>
      <c r="BS518" s="28"/>
      <c r="BT518" s="28"/>
      <c r="BU518" s="28"/>
      <c r="BV518" s="28"/>
      <c r="BW518" s="28"/>
      <c r="BX518" s="28"/>
      <c r="BY518" s="28"/>
      <c r="BZ518" s="28"/>
      <c r="CA518" s="28"/>
      <c r="CB518" s="28"/>
    </row>
    <row r="519" spans="1:80" hidden="1" x14ac:dyDescent="0.25">
      <c r="A519" s="31" t="s">
        <v>942</v>
      </c>
      <c r="B519" s="39" t="s">
        <v>941</v>
      </c>
      <c r="C519" s="30" t="s">
        <v>148</v>
      </c>
      <c r="D519" s="30" t="s">
        <v>78</v>
      </c>
      <c r="E519" s="20" t="s">
        <v>1997</v>
      </c>
      <c r="F519" s="26" t="s">
        <v>2012</v>
      </c>
      <c r="G519" s="30"/>
      <c r="H519" s="30"/>
      <c r="I519" s="29" t="e">
        <f>VLOOKUP(B519,#REF!,2,FALSE)</f>
        <v>#REF!</v>
      </c>
      <c r="J519" s="28"/>
      <c r="K519" s="28"/>
      <c r="L519" s="28"/>
      <c r="M519" s="28"/>
      <c r="N519" s="28"/>
      <c r="O519" s="28"/>
      <c r="P519" s="28"/>
      <c r="Q519" s="28"/>
      <c r="R519" s="28"/>
      <c r="S519" s="28"/>
      <c r="T519" s="28"/>
      <c r="U519" s="28"/>
      <c r="V519" s="28"/>
      <c r="W519" s="28"/>
      <c r="X519" s="28"/>
      <c r="Y519" s="28"/>
      <c r="Z519" s="28"/>
      <c r="AA519" s="28"/>
      <c r="AB519" s="28"/>
      <c r="AC519" s="28"/>
      <c r="AD519" s="28"/>
      <c r="AE519" s="28"/>
      <c r="AF519" s="28"/>
      <c r="AG519" s="28"/>
      <c r="AH519" s="28"/>
      <c r="AI519" s="28"/>
      <c r="AJ519" s="28"/>
      <c r="AK519" s="28"/>
      <c r="AL519" s="28"/>
      <c r="AM519" s="28"/>
      <c r="AN519" s="28"/>
      <c r="AO519" s="28"/>
      <c r="AP519" s="28"/>
      <c r="AQ519" s="28"/>
      <c r="AR519" s="28"/>
      <c r="AS519" s="28"/>
      <c r="AT519" s="28"/>
      <c r="AU519" s="28"/>
      <c r="AV519" s="28"/>
      <c r="AW519" s="28"/>
      <c r="AX519" s="28"/>
      <c r="AY519" s="28"/>
      <c r="AZ519" s="28"/>
      <c r="BA519" s="28"/>
      <c r="BB519" s="28"/>
      <c r="BC519" s="28"/>
      <c r="BD519" s="28"/>
      <c r="BE519" s="28"/>
      <c r="BF519" s="28"/>
      <c r="BG519" s="28"/>
      <c r="BH519" s="28"/>
      <c r="BI519" s="28"/>
      <c r="BJ519" s="28"/>
      <c r="BK519" s="28"/>
      <c r="BL519" s="28"/>
      <c r="BM519" s="28"/>
      <c r="BN519" s="28"/>
      <c r="BO519" s="28"/>
      <c r="BP519" s="28"/>
      <c r="BQ519" s="28"/>
      <c r="BR519" s="28"/>
      <c r="BS519" s="28"/>
      <c r="BT519" s="28"/>
      <c r="BU519" s="28"/>
      <c r="BV519" s="28"/>
      <c r="BW519" s="28"/>
      <c r="BX519" s="28"/>
      <c r="BY519" s="28"/>
      <c r="BZ519" s="28"/>
      <c r="CA519" s="28"/>
      <c r="CB519" s="28"/>
    </row>
    <row r="520" spans="1:80" hidden="1" x14ac:dyDescent="0.25">
      <c r="A520" s="31" t="s">
        <v>13</v>
      </c>
      <c r="B520" s="39" t="s">
        <v>12</v>
      </c>
      <c r="C520" s="30" t="s">
        <v>412</v>
      </c>
      <c r="D520" s="30" t="s">
        <v>14</v>
      </c>
      <c r="E520" s="20" t="s">
        <v>1997</v>
      </c>
      <c r="F520" s="26" t="s">
        <v>2012</v>
      </c>
      <c r="G520" s="30" t="s">
        <v>2018</v>
      </c>
      <c r="H520" s="30"/>
      <c r="I520" s="29" t="e">
        <f>VLOOKUP(B520,#REF!,2,FALSE)</f>
        <v>#REF!</v>
      </c>
      <c r="J520" s="28"/>
      <c r="K520" s="28"/>
      <c r="L520" s="28"/>
      <c r="M520" s="28"/>
      <c r="N520" s="28"/>
      <c r="O520" s="28"/>
      <c r="P520" s="28"/>
      <c r="Q520" s="28"/>
      <c r="R520" s="28"/>
      <c r="S520" s="28"/>
      <c r="T520" s="28"/>
      <c r="U520" s="28"/>
      <c r="V520" s="28"/>
      <c r="W520" s="28"/>
      <c r="X520" s="28"/>
      <c r="Y520" s="28"/>
      <c r="Z520" s="28"/>
      <c r="AA520" s="28"/>
      <c r="AB520" s="28"/>
      <c r="AC520" s="28"/>
      <c r="AD520" s="28"/>
      <c r="AE520" s="28"/>
      <c r="AF520" s="28"/>
      <c r="AG520" s="28"/>
      <c r="AH520" s="28"/>
      <c r="AI520" s="28"/>
      <c r="AJ520" s="28"/>
      <c r="AK520" s="28"/>
      <c r="AL520" s="28"/>
      <c r="AM520" s="28"/>
      <c r="AN520" s="28"/>
      <c r="AO520" s="28"/>
      <c r="AP520" s="28"/>
      <c r="AQ520" s="28"/>
      <c r="AR520" s="28"/>
      <c r="AS520" s="28"/>
      <c r="AT520" s="28"/>
      <c r="AU520" s="28"/>
      <c r="AV520" s="28"/>
      <c r="AW520" s="28"/>
      <c r="AX520" s="28"/>
      <c r="AY520" s="28"/>
      <c r="AZ520" s="28"/>
      <c r="BA520" s="28"/>
      <c r="BB520" s="28"/>
      <c r="BC520" s="28"/>
      <c r="BD520" s="28"/>
      <c r="BE520" s="28"/>
      <c r="BF520" s="28"/>
      <c r="BG520" s="28"/>
      <c r="BH520" s="28"/>
      <c r="BI520" s="28"/>
      <c r="BJ520" s="28"/>
      <c r="BK520" s="28"/>
      <c r="BL520" s="28"/>
      <c r="BM520" s="28"/>
      <c r="BN520" s="28"/>
      <c r="BO520" s="28"/>
      <c r="BP520" s="28"/>
      <c r="BQ520" s="28"/>
      <c r="BR520" s="28"/>
      <c r="BS520" s="28"/>
      <c r="BT520" s="28"/>
      <c r="BU520" s="28"/>
      <c r="BV520" s="28"/>
      <c r="BW520" s="28"/>
      <c r="BX520" s="28"/>
      <c r="BY520" s="28"/>
      <c r="BZ520" s="28"/>
      <c r="CA520" s="28"/>
      <c r="CB520" s="28"/>
    </row>
    <row r="521" spans="1:80" hidden="1" x14ac:dyDescent="0.25">
      <c r="A521" s="31" t="s">
        <v>971</v>
      </c>
      <c r="B521" s="39" t="s">
        <v>970</v>
      </c>
      <c r="C521" s="30" t="s">
        <v>107</v>
      </c>
      <c r="D521" s="30" t="s">
        <v>78</v>
      </c>
      <c r="E521" s="20" t="s">
        <v>1997</v>
      </c>
      <c r="F521" s="26" t="s">
        <v>2012</v>
      </c>
      <c r="G521" s="30" t="s">
        <v>2019</v>
      </c>
      <c r="H521" s="30"/>
      <c r="I521" s="29" t="e">
        <f>VLOOKUP(B521,#REF!,2,FALSE)</f>
        <v>#REF!</v>
      </c>
      <c r="J521" s="28"/>
      <c r="K521" s="28"/>
      <c r="L521" s="28"/>
      <c r="M521" s="28"/>
      <c r="N521" s="28"/>
      <c r="O521" s="28"/>
      <c r="P521" s="28"/>
      <c r="Q521" s="28"/>
      <c r="R521" s="28"/>
      <c r="S521" s="28"/>
      <c r="T521" s="28"/>
      <c r="U521" s="28"/>
      <c r="V521" s="28"/>
      <c r="W521" s="28"/>
      <c r="X521" s="28"/>
      <c r="Y521" s="28"/>
      <c r="Z521" s="28"/>
      <c r="AA521" s="28"/>
      <c r="AB521" s="28"/>
      <c r="AC521" s="28"/>
      <c r="AD521" s="28"/>
      <c r="AE521" s="28"/>
      <c r="AF521" s="28"/>
      <c r="AG521" s="28"/>
      <c r="AH521" s="28"/>
      <c r="AI521" s="28"/>
      <c r="AJ521" s="28"/>
      <c r="AK521" s="28"/>
      <c r="AL521" s="28"/>
      <c r="AM521" s="28"/>
      <c r="AN521" s="28"/>
      <c r="AO521" s="28"/>
      <c r="AP521" s="28"/>
      <c r="AQ521" s="28"/>
      <c r="AR521" s="28"/>
      <c r="AS521" s="28"/>
      <c r="AT521" s="28"/>
      <c r="AU521" s="28"/>
      <c r="AV521" s="28"/>
      <c r="AW521" s="28"/>
      <c r="AX521" s="28"/>
      <c r="AY521" s="28"/>
      <c r="AZ521" s="28"/>
      <c r="BA521" s="28"/>
      <c r="BB521" s="28"/>
      <c r="BC521" s="28"/>
      <c r="BD521" s="28"/>
      <c r="BE521" s="28"/>
      <c r="BF521" s="28"/>
      <c r="BG521" s="28"/>
      <c r="BH521" s="28"/>
      <c r="BI521" s="28"/>
      <c r="BJ521" s="28"/>
      <c r="BK521" s="28"/>
      <c r="BL521" s="28"/>
      <c r="BM521" s="28"/>
      <c r="BN521" s="28"/>
      <c r="BO521" s="28"/>
      <c r="BP521" s="28"/>
      <c r="BQ521" s="28"/>
      <c r="BR521" s="28"/>
      <c r="BS521" s="28"/>
      <c r="BT521" s="28"/>
      <c r="BU521" s="28"/>
      <c r="BV521" s="28"/>
      <c r="BW521" s="28"/>
      <c r="BX521" s="28"/>
      <c r="BY521" s="28"/>
      <c r="BZ521" s="28"/>
      <c r="CA521" s="28"/>
      <c r="CB521" s="28"/>
    </row>
    <row r="522" spans="1:80" hidden="1" x14ac:dyDescent="0.25">
      <c r="A522" s="31" t="s">
        <v>973</v>
      </c>
      <c r="B522" s="39" t="s">
        <v>972</v>
      </c>
      <c r="C522" s="30" t="s">
        <v>148</v>
      </c>
      <c r="D522" s="30" t="s">
        <v>78</v>
      </c>
      <c r="E522" s="20" t="s">
        <v>1997</v>
      </c>
      <c r="F522" s="26" t="s">
        <v>2012</v>
      </c>
      <c r="G522" s="30" t="s">
        <v>412</v>
      </c>
      <c r="H522" s="30"/>
      <c r="I522" s="29" t="e">
        <f>VLOOKUP(B522,#REF!,2,FALSE)</f>
        <v>#REF!</v>
      </c>
      <c r="J522" s="28"/>
      <c r="K522" s="28"/>
      <c r="L522" s="28"/>
      <c r="M522" s="28"/>
      <c r="N522" s="28"/>
      <c r="O522" s="28"/>
      <c r="P522" s="28"/>
      <c r="Q522" s="28"/>
      <c r="R522" s="28"/>
      <c r="S522" s="28"/>
      <c r="T522" s="28"/>
      <c r="U522" s="28"/>
      <c r="V522" s="28"/>
      <c r="W522" s="28"/>
      <c r="X522" s="28"/>
      <c r="Y522" s="28"/>
      <c r="Z522" s="28"/>
      <c r="AA522" s="28"/>
      <c r="AB522" s="28"/>
      <c r="AC522" s="28"/>
      <c r="AD522" s="28"/>
      <c r="AE522" s="28"/>
      <c r="AF522" s="28"/>
      <c r="AG522" s="28"/>
      <c r="AH522" s="28"/>
      <c r="AI522" s="28"/>
      <c r="AJ522" s="28"/>
      <c r="AK522" s="28"/>
      <c r="AL522" s="28"/>
      <c r="AM522" s="28"/>
      <c r="AN522" s="28"/>
      <c r="AO522" s="28"/>
      <c r="AP522" s="28"/>
      <c r="AQ522" s="28"/>
      <c r="AR522" s="28"/>
      <c r="AS522" s="28"/>
      <c r="AT522" s="28"/>
      <c r="AU522" s="28"/>
      <c r="AV522" s="28"/>
      <c r="AW522" s="28"/>
      <c r="AX522" s="28"/>
      <c r="AY522" s="28"/>
      <c r="AZ522" s="28"/>
      <c r="BA522" s="28"/>
      <c r="BB522" s="28"/>
      <c r="BC522" s="28"/>
      <c r="BD522" s="28"/>
      <c r="BE522" s="28"/>
      <c r="BF522" s="28"/>
      <c r="BG522" s="28"/>
      <c r="BH522" s="28"/>
      <c r="BI522" s="28"/>
      <c r="BJ522" s="28"/>
      <c r="BK522" s="28"/>
      <c r="BL522" s="28"/>
      <c r="BM522" s="28"/>
      <c r="BN522" s="28"/>
      <c r="BO522" s="28"/>
      <c r="BP522" s="28"/>
      <c r="BQ522" s="28"/>
      <c r="BR522" s="28"/>
      <c r="BS522" s="28"/>
      <c r="BT522" s="28"/>
      <c r="BU522" s="28"/>
      <c r="BV522" s="28"/>
      <c r="BW522" s="28"/>
      <c r="BX522" s="28"/>
      <c r="BY522" s="28"/>
      <c r="BZ522" s="28"/>
      <c r="CA522" s="28"/>
      <c r="CB522" s="28"/>
    </row>
    <row r="523" spans="1:80" hidden="1" x14ac:dyDescent="0.25">
      <c r="A523" s="31" t="s">
        <v>986</v>
      </c>
      <c r="B523" s="39" t="s">
        <v>985</v>
      </c>
      <c r="C523" s="30" t="s">
        <v>27</v>
      </c>
      <c r="D523" s="30" t="s">
        <v>78</v>
      </c>
      <c r="E523" s="20" t="s">
        <v>1997</v>
      </c>
      <c r="F523" s="26" t="s">
        <v>2012</v>
      </c>
      <c r="G523" s="30"/>
      <c r="H523" s="30"/>
      <c r="I523" s="29" t="e">
        <f>VLOOKUP(B523,#REF!,2,FALSE)</f>
        <v>#REF!</v>
      </c>
      <c r="J523" s="28"/>
      <c r="K523" s="28"/>
      <c r="L523" s="28"/>
      <c r="M523" s="28"/>
      <c r="N523" s="28"/>
      <c r="O523" s="28"/>
      <c r="P523" s="28"/>
      <c r="Q523" s="28"/>
      <c r="R523" s="28"/>
      <c r="S523" s="28"/>
      <c r="T523" s="28"/>
      <c r="U523" s="28"/>
      <c r="V523" s="28"/>
      <c r="W523" s="28"/>
      <c r="X523" s="28"/>
      <c r="Y523" s="28"/>
      <c r="Z523" s="28"/>
      <c r="AA523" s="28"/>
      <c r="AB523" s="28"/>
      <c r="AC523" s="28"/>
      <c r="AD523" s="28"/>
      <c r="AE523" s="28"/>
      <c r="AF523" s="28"/>
      <c r="AG523" s="28"/>
      <c r="AH523" s="28"/>
      <c r="AI523" s="28"/>
      <c r="AJ523" s="28"/>
      <c r="AK523" s="28"/>
      <c r="AL523" s="28"/>
      <c r="AM523" s="28"/>
      <c r="AN523" s="28"/>
      <c r="AO523" s="28"/>
      <c r="AP523" s="28"/>
      <c r="AQ523" s="28"/>
      <c r="AR523" s="28"/>
      <c r="AS523" s="28"/>
      <c r="AT523" s="28"/>
      <c r="AU523" s="28"/>
      <c r="AV523" s="28"/>
      <c r="AW523" s="28"/>
      <c r="AX523" s="28"/>
      <c r="AY523" s="28"/>
      <c r="AZ523" s="28"/>
      <c r="BA523" s="28"/>
      <c r="BB523" s="28"/>
      <c r="BC523" s="28"/>
      <c r="BD523" s="28"/>
      <c r="BE523" s="28"/>
      <c r="BF523" s="28"/>
      <c r="BG523" s="28"/>
      <c r="BH523" s="28"/>
      <c r="BI523" s="28"/>
      <c r="BJ523" s="28"/>
      <c r="BK523" s="28"/>
      <c r="BL523" s="28"/>
      <c r="BM523" s="28"/>
      <c r="BN523" s="28"/>
      <c r="BO523" s="28"/>
      <c r="BP523" s="28"/>
      <c r="BQ523" s="28"/>
      <c r="BR523" s="28"/>
      <c r="BS523" s="28"/>
      <c r="BT523" s="28"/>
      <c r="BU523" s="28"/>
      <c r="BV523" s="28"/>
      <c r="BW523" s="28"/>
      <c r="BX523" s="28"/>
      <c r="BY523" s="28"/>
      <c r="BZ523" s="28"/>
      <c r="CA523" s="28"/>
      <c r="CB523" s="28"/>
    </row>
    <row r="524" spans="1:80" hidden="1" x14ac:dyDescent="0.25">
      <c r="A524" s="31" t="s">
        <v>1018</v>
      </c>
      <c r="B524" s="39" t="s">
        <v>1017</v>
      </c>
      <c r="C524" s="30" t="s">
        <v>1568</v>
      </c>
      <c r="D524" s="30" t="s">
        <v>78</v>
      </c>
      <c r="E524" s="20" t="s">
        <v>1997</v>
      </c>
      <c r="F524" s="26" t="s">
        <v>2012</v>
      </c>
      <c r="G524" s="30" t="s">
        <v>523</v>
      </c>
      <c r="H524" s="30"/>
      <c r="I524" s="29" t="e">
        <f>VLOOKUP(B524,#REF!,2,FALSE)</f>
        <v>#REF!</v>
      </c>
      <c r="J524" s="28"/>
      <c r="K524" s="28"/>
      <c r="L524" s="28"/>
      <c r="M524" s="28"/>
      <c r="N524" s="28"/>
      <c r="O524" s="28"/>
      <c r="P524" s="28"/>
      <c r="Q524" s="28"/>
      <c r="R524" s="28"/>
      <c r="S524" s="28"/>
      <c r="T524" s="28"/>
      <c r="U524" s="28"/>
      <c r="V524" s="28"/>
      <c r="W524" s="28"/>
      <c r="X524" s="28"/>
      <c r="Y524" s="28"/>
      <c r="Z524" s="28"/>
      <c r="AA524" s="28"/>
      <c r="AB524" s="28"/>
      <c r="AC524" s="28"/>
      <c r="AD524" s="28"/>
      <c r="AE524" s="28"/>
      <c r="AF524" s="28"/>
      <c r="AG524" s="28"/>
      <c r="AH524" s="28"/>
      <c r="AI524" s="28"/>
      <c r="AJ524" s="28"/>
      <c r="AK524" s="28"/>
      <c r="AL524" s="28"/>
      <c r="AM524" s="28"/>
      <c r="AN524" s="28"/>
      <c r="AO524" s="28"/>
      <c r="AP524" s="28"/>
      <c r="AQ524" s="28"/>
      <c r="AR524" s="28"/>
      <c r="AS524" s="28"/>
      <c r="AT524" s="28"/>
      <c r="AU524" s="28"/>
      <c r="AV524" s="28"/>
      <c r="AW524" s="28"/>
      <c r="AX524" s="28"/>
      <c r="AY524" s="28"/>
      <c r="AZ524" s="28"/>
      <c r="BA524" s="28"/>
      <c r="BB524" s="28"/>
      <c r="BC524" s="28"/>
      <c r="BD524" s="28"/>
      <c r="BE524" s="28"/>
      <c r="BF524" s="28"/>
      <c r="BG524" s="28"/>
      <c r="BH524" s="28"/>
      <c r="BI524" s="28"/>
      <c r="BJ524" s="28"/>
      <c r="BK524" s="28"/>
      <c r="BL524" s="28"/>
      <c r="BM524" s="28"/>
      <c r="BN524" s="28"/>
      <c r="BO524" s="28"/>
      <c r="BP524" s="28"/>
      <c r="BQ524" s="28"/>
      <c r="BR524" s="28"/>
      <c r="BS524" s="28"/>
      <c r="BT524" s="28"/>
      <c r="BU524" s="28"/>
      <c r="BV524" s="28"/>
      <c r="BW524" s="28"/>
      <c r="BX524" s="28"/>
      <c r="BY524" s="28"/>
      <c r="BZ524" s="28"/>
      <c r="CA524" s="28"/>
      <c r="CB524" s="28"/>
    </row>
    <row r="525" spans="1:80" hidden="1" x14ac:dyDescent="0.25">
      <c r="A525" s="31" t="s">
        <v>1072</v>
      </c>
      <c r="B525" s="39" t="s">
        <v>1071</v>
      </c>
      <c r="C525" s="30" t="s">
        <v>197</v>
      </c>
      <c r="D525" s="30" t="s">
        <v>14</v>
      </c>
      <c r="E525" s="20" t="s">
        <v>1997</v>
      </c>
      <c r="F525" s="26" t="s">
        <v>2012</v>
      </c>
      <c r="G525" s="30"/>
      <c r="H525" s="30"/>
      <c r="I525" s="29" t="e">
        <f>VLOOKUP(B525,#REF!,2,FALSE)</f>
        <v>#REF!</v>
      </c>
      <c r="J525" s="28"/>
      <c r="K525" s="28"/>
      <c r="L525" s="28"/>
      <c r="M525" s="28"/>
      <c r="N525" s="28"/>
      <c r="O525" s="28"/>
      <c r="P525" s="28"/>
      <c r="Q525" s="28"/>
      <c r="R525" s="28"/>
      <c r="S525" s="28"/>
      <c r="T525" s="28"/>
      <c r="U525" s="28"/>
      <c r="V525" s="28"/>
      <c r="W525" s="28"/>
      <c r="X525" s="28"/>
      <c r="Y525" s="28"/>
      <c r="Z525" s="28"/>
      <c r="AA525" s="28"/>
      <c r="AB525" s="28"/>
      <c r="AC525" s="28"/>
      <c r="AD525" s="28"/>
      <c r="AE525" s="28"/>
      <c r="AF525" s="28"/>
      <c r="AG525" s="28"/>
      <c r="AH525" s="28"/>
      <c r="AI525" s="28"/>
      <c r="AJ525" s="28"/>
      <c r="AK525" s="28"/>
      <c r="AL525" s="28"/>
      <c r="AM525" s="28"/>
      <c r="AN525" s="28"/>
      <c r="AO525" s="28"/>
      <c r="AP525" s="28"/>
      <c r="AQ525" s="28"/>
      <c r="AR525" s="28"/>
      <c r="AS525" s="28"/>
      <c r="AT525" s="28"/>
      <c r="AU525" s="28"/>
      <c r="AV525" s="28"/>
      <c r="AW525" s="28"/>
      <c r="AX525" s="28"/>
      <c r="AY525" s="28"/>
      <c r="AZ525" s="28"/>
      <c r="BA525" s="28"/>
      <c r="BB525" s="28"/>
      <c r="BC525" s="28"/>
      <c r="BD525" s="28"/>
      <c r="BE525" s="28"/>
      <c r="BF525" s="28"/>
      <c r="BG525" s="28"/>
      <c r="BH525" s="28"/>
      <c r="BI525" s="28"/>
      <c r="BJ525" s="28"/>
      <c r="BK525" s="28"/>
      <c r="BL525" s="28"/>
      <c r="BM525" s="28"/>
      <c r="BN525" s="28"/>
      <c r="BO525" s="28"/>
      <c r="BP525" s="28"/>
      <c r="BQ525" s="28"/>
      <c r="BR525" s="28"/>
      <c r="BS525" s="28"/>
      <c r="BT525" s="28"/>
      <c r="BU525" s="28"/>
      <c r="BV525" s="28"/>
      <c r="BW525" s="28"/>
      <c r="BX525" s="28"/>
      <c r="BY525" s="28"/>
      <c r="BZ525" s="28"/>
      <c r="CA525" s="28"/>
      <c r="CB525" s="28"/>
    </row>
    <row r="526" spans="1:80" hidden="1" x14ac:dyDescent="0.25">
      <c r="A526" s="31" t="s">
        <v>1078</v>
      </c>
      <c r="B526" s="39" t="s">
        <v>2020</v>
      </c>
      <c r="C526" s="30" t="s">
        <v>1723</v>
      </c>
      <c r="D526" s="30" t="s">
        <v>14</v>
      </c>
      <c r="E526" s="20" t="s">
        <v>1997</v>
      </c>
      <c r="F526" s="26" t="s">
        <v>2012</v>
      </c>
      <c r="G526" s="30"/>
      <c r="H526" s="30"/>
      <c r="I526" s="29" t="e">
        <f>VLOOKUP(B526,#REF!,2,FALSE)</f>
        <v>#REF!</v>
      </c>
      <c r="J526" s="29"/>
      <c r="K526" s="29"/>
      <c r="L526" s="29"/>
      <c r="M526" s="29"/>
      <c r="N526" s="29"/>
      <c r="O526" s="29"/>
      <c r="P526" s="29"/>
      <c r="Q526" s="29"/>
      <c r="R526" s="29"/>
      <c r="S526" s="29"/>
      <c r="T526" s="29"/>
      <c r="U526" s="29"/>
      <c r="V526" s="29"/>
      <c r="W526" s="29"/>
      <c r="X526" s="29"/>
      <c r="Y526" s="29"/>
      <c r="Z526" s="29"/>
      <c r="AA526" s="29"/>
      <c r="AB526" s="29"/>
      <c r="AC526" s="29"/>
      <c r="AD526" s="29"/>
      <c r="AE526" s="29"/>
      <c r="AF526" s="29"/>
      <c r="AG526" s="29"/>
      <c r="AH526" s="29"/>
      <c r="AI526" s="29"/>
      <c r="AJ526" s="29"/>
      <c r="AK526" s="29"/>
      <c r="AL526" s="29"/>
      <c r="AM526" s="29"/>
      <c r="AN526" s="29"/>
      <c r="AO526" s="29"/>
      <c r="AP526" s="29"/>
      <c r="AQ526" s="29"/>
      <c r="AR526" s="29"/>
      <c r="AS526" s="29"/>
      <c r="AT526" s="29"/>
      <c r="AU526" s="29"/>
      <c r="AV526" s="29"/>
      <c r="AW526" s="29"/>
      <c r="AX526" s="29"/>
      <c r="AY526" s="29"/>
      <c r="AZ526" s="29"/>
      <c r="BA526" s="29"/>
      <c r="BB526" s="29"/>
      <c r="BC526" s="29"/>
      <c r="BD526" s="29"/>
      <c r="BE526" s="29"/>
      <c r="BF526" s="29"/>
      <c r="BG526" s="29"/>
      <c r="BH526" s="29"/>
      <c r="BI526" s="29"/>
      <c r="BJ526" s="29"/>
      <c r="BK526" s="29"/>
      <c r="BL526" s="29"/>
      <c r="BM526" s="29"/>
      <c r="BN526" s="29"/>
      <c r="BO526" s="29"/>
      <c r="BP526" s="29"/>
      <c r="BQ526" s="29"/>
      <c r="BR526" s="29"/>
      <c r="BS526" s="29"/>
      <c r="BT526" s="29"/>
      <c r="BU526" s="29"/>
      <c r="BV526" s="29"/>
      <c r="BW526" s="29"/>
      <c r="BX526" s="29"/>
      <c r="BY526" s="29"/>
      <c r="BZ526" s="29"/>
      <c r="CA526" s="29"/>
      <c r="CB526" s="29"/>
    </row>
    <row r="527" spans="1:80" x14ac:dyDescent="0.25">
      <c r="A527" s="31" t="s">
        <v>2021</v>
      </c>
      <c r="B527" s="39" t="s">
        <v>2022</v>
      </c>
      <c r="C527" s="30" t="s">
        <v>324</v>
      </c>
      <c r="D527" s="30" t="s">
        <v>78</v>
      </c>
      <c r="E527" s="20" t="s">
        <v>1997</v>
      </c>
      <c r="F527" s="26" t="s">
        <v>2012</v>
      </c>
      <c r="G527" s="30"/>
      <c r="H527" s="30"/>
      <c r="I527" s="29" t="e">
        <f>VLOOKUP(B527,#REF!,2,FALSE)</f>
        <v>#REF!</v>
      </c>
      <c r="J527" s="28"/>
      <c r="K527" s="28"/>
      <c r="L527" s="28"/>
      <c r="M527" s="28"/>
      <c r="N527" s="28"/>
      <c r="O527" s="28"/>
      <c r="P527" s="28"/>
      <c r="Q527" s="28"/>
      <c r="R527" s="28"/>
      <c r="S527" s="28"/>
      <c r="T527" s="28"/>
      <c r="U527" s="28"/>
      <c r="V527" s="28"/>
      <c r="W527" s="28"/>
      <c r="X527" s="28"/>
      <c r="Y527" s="28"/>
      <c r="Z527" s="28"/>
      <c r="AA527" s="28"/>
      <c r="AB527" s="28"/>
      <c r="AC527" s="28"/>
      <c r="AD527" s="28"/>
      <c r="AE527" s="28"/>
      <c r="AF527" s="28"/>
      <c r="AG527" s="28"/>
      <c r="AH527" s="28"/>
      <c r="AI527" s="28"/>
      <c r="AJ527" s="28"/>
      <c r="AK527" s="28"/>
      <c r="AL527" s="28"/>
      <c r="AM527" s="28"/>
      <c r="AN527" s="28"/>
      <c r="AO527" s="28"/>
      <c r="AP527" s="28"/>
      <c r="AQ527" s="28"/>
      <c r="AR527" s="28"/>
      <c r="AS527" s="28"/>
      <c r="AT527" s="28"/>
      <c r="AU527" s="28"/>
      <c r="AV527" s="28"/>
      <c r="AW527" s="28"/>
      <c r="AX527" s="28"/>
      <c r="AY527" s="28"/>
      <c r="AZ527" s="28"/>
      <c r="BA527" s="28"/>
      <c r="BB527" s="28"/>
      <c r="BC527" s="28"/>
      <c r="BD527" s="28"/>
      <c r="BE527" s="28"/>
      <c r="BF527" s="28"/>
      <c r="BG527" s="28"/>
      <c r="BH527" s="28"/>
      <c r="BI527" s="28"/>
      <c r="BJ527" s="28"/>
      <c r="BK527" s="28"/>
      <c r="BL527" s="28"/>
      <c r="BM527" s="28"/>
      <c r="BN527" s="28"/>
      <c r="BO527" s="28"/>
      <c r="BP527" s="28"/>
      <c r="BQ527" s="28"/>
      <c r="BR527" s="28"/>
      <c r="BS527" s="28"/>
      <c r="BT527" s="28"/>
      <c r="BU527" s="28"/>
      <c r="BV527" s="28"/>
      <c r="BW527" s="28"/>
      <c r="BX527" s="28"/>
      <c r="BY527" s="28"/>
      <c r="BZ527" s="28"/>
      <c r="CA527" s="28"/>
      <c r="CB527" s="28"/>
    </row>
    <row r="528" spans="1:80" hidden="1" x14ac:dyDescent="0.25">
      <c r="A528" s="31" t="s">
        <v>1093</v>
      </c>
      <c r="B528" s="39" t="s">
        <v>1092</v>
      </c>
      <c r="C528" s="30" t="s">
        <v>316</v>
      </c>
      <c r="D528" s="30" t="s">
        <v>14</v>
      </c>
      <c r="E528" s="20" t="s">
        <v>1997</v>
      </c>
      <c r="F528" s="26" t="s">
        <v>2012</v>
      </c>
      <c r="G528" s="30"/>
      <c r="H528" s="30"/>
      <c r="I528" s="29" t="e">
        <f>VLOOKUP(B528,#REF!,2,FALSE)</f>
        <v>#REF!</v>
      </c>
      <c r="J528" s="28"/>
      <c r="K528" s="28"/>
      <c r="L528" s="28"/>
      <c r="M528" s="28"/>
      <c r="N528" s="28"/>
      <c r="O528" s="28"/>
      <c r="P528" s="28"/>
      <c r="Q528" s="28"/>
      <c r="R528" s="28"/>
      <c r="S528" s="28"/>
      <c r="T528" s="28"/>
      <c r="U528" s="28"/>
      <c r="V528" s="28"/>
      <c r="W528" s="28"/>
      <c r="X528" s="28"/>
      <c r="Y528" s="28"/>
      <c r="Z528" s="28"/>
      <c r="AA528" s="28"/>
      <c r="AB528" s="28"/>
      <c r="AC528" s="28"/>
      <c r="AD528" s="28"/>
      <c r="AE528" s="28"/>
      <c r="AF528" s="28"/>
      <c r="AG528" s="28"/>
      <c r="AH528" s="28"/>
      <c r="AI528" s="28"/>
      <c r="AJ528" s="28"/>
      <c r="AK528" s="28"/>
      <c r="AL528" s="28"/>
      <c r="AM528" s="28"/>
      <c r="AN528" s="28"/>
      <c r="AO528" s="28"/>
      <c r="AP528" s="28"/>
      <c r="AQ528" s="28"/>
      <c r="AR528" s="28"/>
      <c r="AS528" s="28"/>
      <c r="AT528" s="28"/>
      <c r="AU528" s="28"/>
      <c r="AV528" s="28"/>
      <c r="AW528" s="28"/>
      <c r="AX528" s="28"/>
      <c r="AY528" s="28"/>
      <c r="AZ528" s="28"/>
      <c r="BA528" s="28"/>
      <c r="BB528" s="28"/>
      <c r="BC528" s="28"/>
      <c r="BD528" s="28"/>
      <c r="BE528" s="28"/>
      <c r="BF528" s="28"/>
      <c r="BG528" s="28"/>
      <c r="BH528" s="28"/>
      <c r="BI528" s="28"/>
      <c r="BJ528" s="28"/>
      <c r="BK528" s="28"/>
      <c r="BL528" s="28"/>
      <c r="BM528" s="28"/>
      <c r="BN528" s="28"/>
      <c r="BO528" s="28"/>
      <c r="BP528" s="28"/>
      <c r="BQ528" s="28"/>
      <c r="BR528" s="28"/>
      <c r="BS528" s="28"/>
      <c r="BT528" s="28"/>
      <c r="BU528" s="28"/>
      <c r="BV528" s="28"/>
      <c r="BW528" s="28"/>
      <c r="BX528" s="28"/>
      <c r="BY528" s="28"/>
      <c r="BZ528" s="28"/>
      <c r="CA528" s="28"/>
      <c r="CB528" s="28"/>
    </row>
    <row r="529" spans="1:9" hidden="1" x14ac:dyDescent="0.25">
      <c r="A529" s="31" t="s">
        <v>1118</v>
      </c>
      <c r="B529" s="39" t="s">
        <v>1117</v>
      </c>
      <c r="C529" s="30" t="s">
        <v>341</v>
      </c>
      <c r="D529" s="30" t="s">
        <v>78</v>
      </c>
      <c r="E529" s="20" t="s">
        <v>1997</v>
      </c>
      <c r="F529" s="26" t="s">
        <v>2012</v>
      </c>
      <c r="G529" s="30"/>
      <c r="H529" s="30"/>
      <c r="I529" s="29" t="e">
        <f>VLOOKUP(B529,#REF!,2,FALSE)</f>
        <v>#REF!</v>
      </c>
    </row>
    <row r="530" spans="1:9" hidden="1" x14ac:dyDescent="0.25">
      <c r="A530" s="31" t="s">
        <v>1124</v>
      </c>
      <c r="B530" s="39" t="s">
        <v>1123</v>
      </c>
      <c r="C530" s="30" t="s">
        <v>818</v>
      </c>
      <c r="D530" s="30" t="s">
        <v>14</v>
      </c>
      <c r="E530" s="20" t="s">
        <v>1997</v>
      </c>
      <c r="F530" s="26" t="s">
        <v>2012</v>
      </c>
      <c r="G530" s="30"/>
      <c r="H530" s="30"/>
      <c r="I530" s="29" t="e">
        <f>VLOOKUP(B530,#REF!,2,FALSE)</f>
        <v>#REF!</v>
      </c>
    </row>
    <row r="531" spans="1:9" hidden="1" x14ac:dyDescent="0.25">
      <c r="A531" s="31" t="s">
        <v>808</v>
      </c>
      <c r="B531" s="39" t="s">
        <v>807</v>
      </c>
      <c r="C531" s="30" t="s">
        <v>27</v>
      </c>
      <c r="D531" s="30" t="s">
        <v>10</v>
      </c>
      <c r="E531" s="20" t="s">
        <v>1997</v>
      </c>
      <c r="F531" s="26" t="s">
        <v>2012</v>
      </c>
      <c r="G531" s="30"/>
      <c r="H531" s="30"/>
      <c r="I531" s="29" t="e">
        <f>VLOOKUP(B531,#REF!,2,FALSE)</f>
        <v>#REF!</v>
      </c>
    </row>
    <row r="532" spans="1:9" hidden="1" x14ac:dyDescent="0.25">
      <c r="A532" s="31" t="s">
        <v>843</v>
      </c>
      <c r="B532" s="39" t="s">
        <v>841</v>
      </c>
      <c r="C532" s="30" t="s">
        <v>842</v>
      </c>
      <c r="D532" s="30" t="s">
        <v>78</v>
      </c>
      <c r="E532" s="20" t="s">
        <v>1997</v>
      </c>
      <c r="F532" s="26" t="s">
        <v>2023</v>
      </c>
      <c r="G532" s="30"/>
      <c r="H532" s="30"/>
      <c r="I532" s="29" t="e">
        <f>VLOOKUP(B532,#REF!,2,FALSE)</f>
        <v>#REF!</v>
      </c>
    </row>
    <row r="533" spans="1:9" hidden="1" x14ac:dyDescent="0.25">
      <c r="A533" s="31" t="s">
        <v>857</v>
      </c>
      <c r="B533" s="39" t="s">
        <v>94</v>
      </c>
      <c r="C533" s="30" t="s">
        <v>202</v>
      </c>
      <c r="D533" s="30" t="s">
        <v>78</v>
      </c>
      <c r="E533" s="20" t="s">
        <v>1997</v>
      </c>
      <c r="F533" s="26" t="s">
        <v>2023</v>
      </c>
      <c r="G533" s="30"/>
      <c r="H533" s="30"/>
      <c r="I533" s="29" t="e">
        <f>VLOOKUP(B533,#REF!,2,FALSE)</f>
        <v>#REF!</v>
      </c>
    </row>
    <row r="534" spans="1:9" hidden="1" x14ac:dyDescent="0.25">
      <c r="A534" s="31" t="s">
        <v>2024</v>
      </c>
      <c r="B534" s="39" t="s">
        <v>94</v>
      </c>
      <c r="C534" s="30" t="s">
        <v>33</v>
      </c>
      <c r="D534" s="30" t="s">
        <v>78</v>
      </c>
      <c r="E534" s="20" t="s">
        <v>1997</v>
      </c>
      <c r="F534" s="26" t="s">
        <v>2023</v>
      </c>
      <c r="G534" s="30"/>
      <c r="H534" s="30"/>
      <c r="I534" s="29" t="e">
        <f>VLOOKUP(B534,#REF!,2,FALSE)</f>
        <v>#REF!</v>
      </c>
    </row>
    <row r="535" spans="1:9" hidden="1" x14ac:dyDescent="0.25">
      <c r="A535" s="31" t="s">
        <v>885</v>
      </c>
      <c r="B535" s="39" t="s">
        <v>883</v>
      </c>
      <c r="C535" s="30" t="s">
        <v>884</v>
      </c>
      <c r="D535" s="30" t="s">
        <v>78</v>
      </c>
      <c r="E535" s="20" t="s">
        <v>1997</v>
      </c>
      <c r="F535" s="26" t="s">
        <v>2023</v>
      </c>
      <c r="G535" s="30"/>
      <c r="H535" s="30"/>
      <c r="I535" s="29" t="e">
        <f>VLOOKUP(B535,#REF!,2,FALSE)</f>
        <v>#REF!</v>
      </c>
    </row>
    <row r="536" spans="1:9" hidden="1" x14ac:dyDescent="0.25">
      <c r="A536" s="31" t="s">
        <v>914</v>
      </c>
      <c r="B536" s="39" t="s">
        <v>913</v>
      </c>
      <c r="C536" s="30" t="s">
        <v>73</v>
      </c>
      <c r="D536" s="30" t="s">
        <v>78</v>
      </c>
      <c r="E536" s="20" t="s">
        <v>1997</v>
      </c>
      <c r="F536" s="26" t="s">
        <v>2023</v>
      </c>
      <c r="G536" s="30"/>
      <c r="H536" s="30"/>
      <c r="I536" s="29" t="e">
        <f>VLOOKUP(B536,#REF!,2,FALSE)</f>
        <v>#REF!</v>
      </c>
    </row>
    <row r="537" spans="1:9" hidden="1" x14ac:dyDescent="0.25">
      <c r="A537" s="31" t="s">
        <v>152</v>
      </c>
      <c r="B537" s="39" t="s">
        <v>150</v>
      </c>
      <c r="C537" s="30" t="s">
        <v>151</v>
      </c>
      <c r="D537" s="30" t="s">
        <v>78</v>
      </c>
      <c r="E537" s="20" t="s">
        <v>1997</v>
      </c>
      <c r="F537" s="26" t="s">
        <v>2023</v>
      </c>
      <c r="G537" s="30"/>
      <c r="H537" s="30"/>
      <c r="I537" s="29" t="e">
        <f>VLOOKUP(B537,#REF!,2,FALSE)</f>
        <v>#REF!</v>
      </c>
    </row>
    <row r="538" spans="1:9" x14ac:dyDescent="0.25">
      <c r="A538" s="31" t="s">
        <v>2025</v>
      </c>
      <c r="B538" s="39" t="s">
        <v>2026</v>
      </c>
      <c r="C538" s="30" t="s">
        <v>27</v>
      </c>
      <c r="D538" s="30" t="s">
        <v>78</v>
      </c>
      <c r="E538" s="20" t="s">
        <v>1997</v>
      </c>
      <c r="F538" s="26" t="s">
        <v>2023</v>
      </c>
      <c r="G538" s="30"/>
      <c r="H538" s="30"/>
      <c r="I538" s="29" t="e">
        <f>VLOOKUP(B538,#REF!,2,FALSE)</f>
        <v>#REF!</v>
      </c>
    </row>
    <row r="539" spans="1:9" hidden="1" x14ac:dyDescent="0.25">
      <c r="A539" s="31" t="s">
        <v>975</v>
      </c>
      <c r="B539" s="39" t="s">
        <v>974</v>
      </c>
      <c r="C539" s="30" t="s">
        <v>197</v>
      </c>
      <c r="D539" s="30" t="s">
        <v>78</v>
      </c>
      <c r="E539" s="20" t="s">
        <v>1997</v>
      </c>
      <c r="F539" s="26" t="s">
        <v>2023</v>
      </c>
      <c r="G539" s="30"/>
      <c r="H539" s="30"/>
      <c r="I539" s="29" t="e">
        <f>VLOOKUP(B539,#REF!,2,FALSE)</f>
        <v>#REF!</v>
      </c>
    </row>
    <row r="540" spans="1:9" hidden="1" x14ac:dyDescent="0.25">
      <c r="A540" s="33" t="s">
        <v>984</v>
      </c>
      <c r="B540" s="38" t="s">
        <v>983</v>
      </c>
      <c r="C540" s="32" t="s">
        <v>507</v>
      </c>
      <c r="D540" s="32" t="s">
        <v>78</v>
      </c>
      <c r="E540" s="21" t="s">
        <v>1997</v>
      </c>
      <c r="F540" s="25" t="s">
        <v>2023</v>
      </c>
      <c r="G540" s="32"/>
      <c r="H540" s="32"/>
      <c r="I540" s="29" t="e">
        <f>VLOOKUP(B540,#REF!,2,FALSE)</f>
        <v>#REF!</v>
      </c>
    </row>
    <row r="541" spans="1:9" hidden="1" x14ac:dyDescent="0.25">
      <c r="A541" s="31" t="s">
        <v>798</v>
      </c>
      <c r="B541" s="39" t="s">
        <v>797</v>
      </c>
      <c r="C541" s="30" t="s">
        <v>119</v>
      </c>
      <c r="D541" s="30" t="s">
        <v>10</v>
      </c>
      <c r="E541" s="20" t="s">
        <v>1997</v>
      </c>
      <c r="F541" s="26" t="s">
        <v>2023</v>
      </c>
      <c r="G541" s="30"/>
      <c r="H541" s="30"/>
      <c r="I541" s="29" t="e">
        <f>VLOOKUP(B541,#REF!,2,FALSE)</f>
        <v>#REF!</v>
      </c>
    </row>
    <row r="542" spans="1:9" hidden="1" x14ac:dyDescent="0.25">
      <c r="A542" s="31" t="s">
        <v>1019</v>
      </c>
      <c r="B542" s="39" t="s">
        <v>211</v>
      </c>
      <c r="C542" s="30" t="s">
        <v>104</v>
      </c>
      <c r="D542" s="30" t="s">
        <v>78</v>
      </c>
      <c r="E542" s="20" t="s">
        <v>1997</v>
      </c>
      <c r="F542" s="26" t="s">
        <v>2023</v>
      </c>
      <c r="G542" s="30"/>
      <c r="H542" s="30"/>
      <c r="I542" s="29" t="e">
        <f>VLOOKUP(B542,#REF!,2,FALSE)</f>
        <v>#REF!</v>
      </c>
    </row>
    <row r="543" spans="1:9" hidden="1" x14ac:dyDescent="0.25">
      <c r="A543" s="31" t="s">
        <v>1021</v>
      </c>
      <c r="B543" s="39" t="s">
        <v>211</v>
      </c>
      <c r="C543" s="30" t="s">
        <v>1020</v>
      </c>
      <c r="D543" s="30" t="s">
        <v>78</v>
      </c>
      <c r="E543" s="20" t="s">
        <v>1997</v>
      </c>
      <c r="F543" s="26" t="s">
        <v>2023</v>
      </c>
      <c r="G543" s="30"/>
      <c r="H543" s="30"/>
      <c r="I543" s="29" t="e">
        <f>VLOOKUP(B543,#REF!,2,FALSE)</f>
        <v>#REF!</v>
      </c>
    </row>
    <row r="544" spans="1:9" hidden="1" x14ac:dyDescent="0.25">
      <c r="A544" s="31" t="s">
        <v>1046</v>
      </c>
      <c r="B544" s="39" t="s">
        <v>1045</v>
      </c>
      <c r="C544" s="30" t="s">
        <v>261</v>
      </c>
      <c r="D544" s="30" t="s">
        <v>78</v>
      </c>
      <c r="E544" s="20" t="s">
        <v>1997</v>
      </c>
      <c r="F544" s="26" t="s">
        <v>2023</v>
      </c>
      <c r="G544" s="30"/>
      <c r="H544" s="30"/>
      <c r="I544" s="29" t="e">
        <f>VLOOKUP(B544,#REF!,2,FALSE)</f>
        <v>#REF!</v>
      </c>
    </row>
    <row r="545" spans="1:80" hidden="1" x14ac:dyDescent="0.25">
      <c r="A545" s="31" t="s">
        <v>1074</v>
      </c>
      <c r="B545" s="39" t="s">
        <v>1073</v>
      </c>
      <c r="C545" s="30" t="s">
        <v>935</v>
      </c>
      <c r="D545" s="30" t="s">
        <v>78</v>
      </c>
      <c r="E545" s="20" t="s">
        <v>1997</v>
      </c>
      <c r="F545" s="26" t="s">
        <v>2023</v>
      </c>
      <c r="G545" s="30"/>
      <c r="H545" s="30"/>
      <c r="I545" s="29" t="e">
        <f>VLOOKUP(B545,#REF!,2,FALSE)</f>
        <v>#REF!</v>
      </c>
      <c r="J545" s="28"/>
      <c r="K545" s="28"/>
      <c r="L545" s="28"/>
      <c r="M545" s="28"/>
      <c r="N545" s="28"/>
      <c r="O545" s="28"/>
      <c r="P545" s="28"/>
      <c r="Q545" s="28"/>
      <c r="R545" s="28"/>
      <c r="S545" s="28"/>
      <c r="T545" s="28"/>
      <c r="U545" s="28"/>
      <c r="V545" s="28"/>
      <c r="W545" s="28"/>
      <c r="X545" s="28"/>
      <c r="Y545" s="28"/>
      <c r="Z545" s="28"/>
      <c r="AA545" s="28"/>
      <c r="AB545" s="28"/>
      <c r="AC545" s="28"/>
      <c r="AD545" s="28"/>
      <c r="AE545" s="28"/>
      <c r="AF545" s="28"/>
      <c r="AG545" s="28"/>
      <c r="AH545" s="28"/>
      <c r="AI545" s="28"/>
      <c r="AJ545" s="28"/>
      <c r="AK545" s="28"/>
      <c r="AL545" s="28"/>
      <c r="AM545" s="28"/>
      <c r="AN545" s="28"/>
      <c r="AO545" s="28"/>
      <c r="AP545" s="28"/>
      <c r="AQ545" s="28"/>
      <c r="AR545" s="28"/>
      <c r="AS545" s="28"/>
      <c r="AT545" s="28"/>
      <c r="AU545" s="28"/>
      <c r="AV545" s="28"/>
      <c r="AW545" s="28"/>
      <c r="AX545" s="28"/>
      <c r="AY545" s="28"/>
      <c r="AZ545" s="28"/>
      <c r="BA545" s="28"/>
      <c r="BB545" s="28"/>
      <c r="BC545" s="28"/>
      <c r="BD545" s="28"/>
      <c r="BE545" s="28"/>
      <c r="BF545" s="28"/>
      <c r="BG545" s="28"/>
      <c r="BH545" s="28"/>
      <c r="BI545" s="28"/>
      <c r="BJ545" s="28"/>
      <c r="BK545" s="28"/>
      <c r="BL545" s="28"/>
      <c r="BM545" s="28"/>
      <c r="BN545" s="28"/>
      <c r="BO545" s="28"/>
      <c r="BP545" s="28"/>
      <c r="BQ545" s="28"/>
      <c r="BR545" s="28"/>
      <c r="BS545" s="28"/>
      <c r="BT545" s="28"/>
      <c r="BU545" s="28"/>
      <c r="BV545" s="28"/>
      <c r="BW545" s="28"/>
      <c r="BX545" s="28"/>
      <c r="BY545" s="28"/>
      <c r="BZ545" s="28"/>
      <c r="CA545" s="28"/>
      <c r="CB545" s="28"/>
    </row>
    <row r="546" spans="1:80" hidden="1" x14ac:dyDescent="0.25">
      <c r="A546" s="31" t="s">
        <v>1076</v>
      </c>
      <c r="B546" s="39" t="s">
        <v>1075</v>
      </c>
      <c r="C546" s="30" t="s">
        <v>107</v>
      </c>
      <c r="D546" s="30" t="s">
        <v>78</v>
      </c>
      <c r="E546" s="20" t="s">
        <v>1997</v>
      </c>
      <c r="F546" s="26" t="s">
        <v>2023</v>
      </c>
      <c r="G546" s="30"/>
      <c r="H546" s="30"/>
      <c r="I546" s="29" t="e">
        <f>VLOOKUP(B546,#REF!,2,FALSE)</f>
        <v>#REF!</v>
      </c>
      <c r="J546" s="29"/>
      <c r="K546" s="29"/>
      <c r="L546" s="29"/>
      <c r="M546" s="29"/>
      <c r="N546" s="29"/>
      <c r="O546" s="29"/>
      <c r="P546" s="29"/>
      <c r="Q546" s="29"/>
      <c r="R546" s="29"/>
      <c r="S546" s="29"/>
      <c r="T546" s="29"/>
      <c r="U546" s="29"/>
      <c r="V546" s="29"/>
      <c r="W546" s="29"/>
      <c r="X546" s="29"/>
      <c r="Y546" s="29"/>
      <c r="Z546" s="29"/>
      <c r="AA546" s="29"/>
      <c r="AB546" s="29"/>
      <c r="AC546" s="29"/>
      <c r="AD546" s="29"/>
      <c r="AE546" s="29"/>
      <c r="AF546" s="29"/>
      <c r="AG546" s="29"/>
      <c r="AH546" s="29"/>
      <c r="AI546" s="29"/>
      <c r="AJ546" s="29"/>
      <c r="AK546" s="29"/>
      <c r="AL546" s="29"/>
      <c r="AM546" s="29"/>
      <c r="AN546" s="29"/>
      <c r="AO546" s="29"/>
      <c r="AP546" s="29"/>
      <c r="AQ546" s="29"/>
      <c r="AR546" s="29"/>
      <c r="AS546" s="29"/>
      <c r="AT546" s="29"/>
      <c r="AU546" s="29"/>
      <c r="AV546" s="29"/>
      <c r="AW546" s="29"/>
      <c r="AX546" s="29"/>
      <c r="AY546" s="29"/>
      <c r="AZ546" s="29"/>
      <c r="BA546" s="29"/>
      <c r="BB546" s="29"/>
      <c r="BC546" s="29"/>
      <c r="BD546" s="29"/>
      <c r="BE546" s="29"/>
      <c r="BF546" s="29"/>
      <c r="BG546" s="29"/>
      <c r="BH546" s="29"/>
      <c r="BI546" s="29"/>
      <c r="BJ546" s="29"/>
      <c r="BK546" s="29"/>
      <c r="BL546" s="29"/>
      <c r="BM546" s="29"/>
      <c r="BN546" s="29"/>
      <c r="BO546" s="29"/>
      <c r="BP546" s="29"/>
      <c r="BQ546" s="29"/>
      <c r="BR546" s="29"/>
      <c r="BS546" s="29"/>
      <c r="BT546" s="29"/>
      <c r="BU546" s="29"/>
      <c r="BV546" s="29"/>
      <c r="BW546" s="29"/>
      <c r="BX546" s="29"/>
      <c r="BY546" s="29"/>
      <c r="BZ546" s="29"/>
      <c r="CA546" s="29"/>
      <c r="CB546" s="29"/>
    </row>
    <row r="547" spans="1:80" hidden="1" x14ac:dyDescent="0.25">
      <c r="A547" s="31" t="s">
        <v>1133</v>
      </c>
      <c r="B547" s="39" t="s">
        <v>1131</v>
      </c>
      <c r="C547" s="30" t="s">
        <v>1132</v>
      </c>
      <c r="D547" s="30" t="s">
        <v>78</v>
      </c>
      <c r="E547" s="20" t="s">
        <v>1997</v>
      </c>
      <c r="F547" s="26" t="s">
        <v>2023</v>
      </c>
      <c r="G547" s="30"/>
      <c r="H547" s="30"/>
      <c r="I547" s="29" t="e">
        <f>VLOOKUP(B547,#REF!,2,FALSE)</f>
        <v>#REF!</v>
      </c>
      <c r="J547" s="28"/>
      <c r="K547" s="28"/>
      <c r="L547" s="28"/>
      <c r="M547" s="28"/>
      <c r="N547" s="28"/>
      <c r="O547" s="28"/>
      <c r="P547" s="28"/>
      <c r="Q547" s="28"/>
      <c r="R547" s="28"/>
      <c r="S547" s="28"/>
      <c r="T547" s="28"/>
      <c r="U547" s="28"/>
      <c r="V547" s="28"/>
      <c r="W547" s="28"/>
      <c r="X547" s="28"/>
      <c r="Y547" s="28"/>
      <c r="Z547" s="28"/>
      <c r="AA547" s="28"/>
      <c r="AB547" s="28"/>
      <c r="AC547" s="28"/>
      <c r="AD547" s="28"/>
      <c r="AE547" s="28"/>
      <c r="AF547" s="28"/>
      <c r="AG547" s="28"/>
      <c r="AH547" s="28"/>
      <c r="AI547" s="28"/>
      <c r="AJ547" s="28"/>
      <c r="AK547" s="28"/>
      <c r="AL547" s="28"/>
      <c r="AM547" s="28"/>
      <c r="AN547" s="28"/>
      <c r="AO547" s="28"/>
      <c r="AP547" s="28"/>
      <c r="AQ547" s="28"/>
      <c r="AR547" s="28"/>
      <c r="AS547" s="28"/>
      <c r="AT547" s="28"/>
      <c r="AU547" s="28"/>
      <c r="AV547" s="28"/>
      <c r="AW547" s="28"/>
      <c r="AX547" s="28"/>
      <c r="AY547" s="28"/>
      <c r="AZ547" s="28"/>
      <c r="BA547" s="28"/>
      <c r="BB547" s="28"/>
      <c r="BC547" s="28"/>
      <c r="BD547" s="28"/>
      <c r="BE547" s="28"/>
      <c r="BF547" s="28"/>
      <c r="BG547" s="28"/>
      <c r="BH547" s="28"/>
      <c r="BI547" s="28"/>
      <c r="BJ547" s="28"/>
      <c r="BK547" s="28"/>
      <c r="BL547" s="28"/>
      <c r="BM547" s="28"/>
      <c r="BN547" s="28"/>
      <c r="BO547" s="28"/>
      <c r="BP547" s="28"/>
      <c r="BQ547" s="28"/>
      <c r="BR547" s="28"/>
      <c r="BS547" s="28"/>
      <c r="BT547" s="28"/>
      <c r="BU547" s="28"/>
      <c r="BV547" s="28"/>
      <c r="BW547" s="28"/>
      <c r="BX547" s="28"/>
      <c r="BY547" s="28"/>
      <c r="BZ547" s="28"/>
      <c r="CA547" s="28"/>
      <c r="CB547" s="28"/>
    </row>
    <row r="548" spans="1:80" hidden="1" x14ac:dyDescent="0.25">
      <c r="A548" s="31" t="s">
        <v>812</v>
      </c>
      <c r="B548" s="39" t="s">
        <v>810</v>
      </c>
      <c r="C548" s="30" t="s">
        <v>811</v>
      </c>
      <c r="D548" s="30" t="s">
        <v>78</v>
      </c>
      <c r="E548" s="20" t="s">
        <v>1997</v>
      </c>
      <c r="F548" s="26" t="s">
        <v>2023</v>
      </c>
      <c r="G548" s="30"/>
      <c r="H548" s="30"/>
      <c r="I548" s="29" t="e">
        <f>VLOOKUP(B548,#REF!,2,FALSE)</f>
        <v>#REF!</v>
      </c>
      <c r="J548" s="28"/>
      <c r="K548" s="28"/>
      <c r="L548" s="28"/>
      <c r="M548" s="28"/>
      <c r="N548" s="28"/>
      <c r="O548" s="28"/>
      <c r="P548" s="28"/>
      <c r="Q548" s="28"/>
      <c r="R548" s="28"/>
      <c r="S548" s="28"/>
      <c r="T548" s="28"/>
      <c r="U548" s="28"/>
      <c r="V548" s="28"/>
      <c r="W548" s="28"/>
      <c r="X548" s="28"/>
      <c r="Y548" s="28"/>
      <c r="Z548" s="28"/>
      <c r="AA548" s="28"/>
      <c r="AB548" s="28"/>
      <c r="AC548" s="28"/>
      <c r="AD548" s="28"/>
      <c r="AE548" s="28"/>
      <c r="AF548" s="28"/>
      <c r="AG548" s="28"/>
      <c r="AH548" s="28"/>
      <c r="AI548" s="28"/>
      <c r="AJ548" s="28"/>
      <c r="AK548" s="28"/>
      <c r="AL548" s="28"/>
      <c r="AM548" s="28"/>
      <c r="AN548" s="28"/>
      <c r="AO548" s="28"/>
      <c r="AP548" s="28"/>
      <c r="AQ548" s="28"/>
      <c r="AR548" s="28"/>
      <c r="AS548" s="28"/>
      <c r="AT548" s="28"/>
      <c r="AU548" s="28"/>
      <c r="AV548" s="28"/>
      <c r="AW548" s="28"/>
      <c r="AX548" s="28"/>
      <c r="AY548" s="28"/>
      <c r="AZ548" s="28"/>
      <c r="BA548" s="28"/>
      <c r="BB548" s="28"/>
      <c r="BC548" s="28"/>
      <c r="BD548" s="28"/>
      <c r="BE548" s="28"/>
      <c r="BF548" s="28"/>
      <c r="BG548" s="28"/>
      <c r="BH548" s="28"/>
      <c r="BI548" s="28"/>
      <c r="BJ548" s="28"/>
      <c r="BK548" s="28"/>
      <c r="BL548" s="28"/>
      <c r="BM548" s="28"/>
      <c r="BN548" s="28"/>
      <c r="BO548" s="28"/>
      <c r="BP548" s="28"/>
      <c r="BQ548" s="28"/>
      <c r="BR548" s="28"/>
      <c r="BS548" s="28"/>
      <c r="BT548" s="28"/>
      <c r="BU548" s="28"/>
      <c r="BV548" s="28"/>
      <c r="BW548" s="28"/>
      <c r="BX548" s="28"/>
      <c r="BY548" s="28"/>
      <c r="BZ548" s="28"/>
      <c r="CA548" s="28"/>
      <c r="CB548" s="28"/>
    </row>
    <row r="549" spans="1:80" hidden="1" x14ac:dyDescent="0.25">
      <c r="A549" s="31" t="s">
        <v>834</v>
      </c>
      <c r="B549" s="39" t="s">
        <v>833</v>
      </c>
      <c r="C549" s="30" t="s">
        <v>27</v>
      </c>
      <c r="D549" s="30" t="s">
        <v>78</v>
      </c>
      <c r="E549" s="20" t="s">
        <v>1997</v>
      </c>
      <c r="F549" s="26" t="s">
        <v>2027</v>
      </c>
      <c r="G549" s="30"/>
      <c r="H549" s="30"/>
      <c r="I549" s="29" t="e">
        <f>VLOOKUP(B549,#REF!,2,FALSE)</f>
        <v>#REF!</v>
      </c>
      <c r="J549" s="28"/>
      <c r="K549" s="28"/>
      <c r="L549" s="28"/>
      <c r="M549" s="28"/>
      <c r="N549" s="28"/>
      <c r="O549" s="28"/>
      <c r="P549" s="28"/>
      <c r="Q549" s="28"/>
      <c r="R549" s="28"/>
      <c r="S549" s="28"/>
      <c r="T549" s="28"/>
      <c r="U549" s="28"/>
      <c r="V549" s="28"/>
      <c r="W549" s="28"/>
      <c r="X549" s="28"/>
      <c r="Y549" s="28"/>
      <c r="Z549" s="28"/>
      <c r="AA549" s="28"/>
      <c r="AB549" s="28"/>
      <c r="AC549" s="28"/>
      <c r="AD549" s="28"/>
      <c r="AE549" s="28"/>
      <c r="AF549" s="28"/>
      <c r="AG549" s="28"/>
      <c r="AH549" s="28"/>
      <c r="AI549" s="28"/>
      <c r="AJ549" s="28"/>
      <c r="AK549" s="28"/>
      <c r="AL549" s="28"/>
      <c r="AM549" s="28"/>
      <c r="AN549" s="28"/>
      <c r="AO549" s="28"/>
      <c r="AP549" s="28"/>
      <c r="AQ549" s="28"/>
      <c r="AR549" s="28"/>
      <c r="AS549" s="28"/>
      <c r="AT549" s="28"/>
      <c r="AU549" s="28"/>
      <c r="AV549" s="28"/>
      <c r="AW549" s="28"/>
      <c r="AX549" s="28"/>
      <c r="AY549" s="28"/>
      <c r="AZ549" s="28"/>
      <c r="BA549" s="28"/>
      <c r="BB549" s="28"/>
      <c r="BC549" s="28"/>
      <c r="BD549" s="28"/>
      <c r="BE549" s="28"/>
      <c r="BF549" s="28"/>
      <c r="BG549" s="28"/>
      <c r="BH549" s="28"/>
      <c r="BI549" s="28"/>
      <c r="BJ549" s="28"/>
      <c r="BK549" s="28"/>
      <c r="BL549" s="28"/>
      <c r="BM549" s="28"/>
      <c r="BN549" s="28"/>
      <c r="BO549" s="28"/>
      <c r="BP549" s="28"/>
      <c r="BQ549" s="28"/>
      <c r="BR549" s="28"/>
      <c r="BS549" s="28"/>
      <c r="BT549" s="28"/>
      <c r="BU549" s="28"/>
      <c r="BV549" s="28"/>
      <c r="BW549" s="28"/>
      <c r="BX549" s="28"/>
      <c r="BY549" s="28"/>
      <c r="BZ549" s="28"/>
      <c r="CA549" s="28"/>
      <c r="CB549" s="28"/>
    </row>
    <row r="550" spans="1:80" hidden="1" x14ac:dyDescent="0.25">
      <c r="A550" s="31" t="s">
        <v>840</v>
      </c>
      <c r="B550" s="39" t="s">
        <v>838</v>
      </c>
      <c r="C550" s="30" t="s">
        <v>839</v>
      </c>
      <c r="D550" s="30" t="s">
        <v>78</v>
      </c>
      <c r="E550" s="20" t="s">
        <v>1997</v>
      </c>
      <c r="F550" s="26" t="s">
        <v>2027</v>
      </c>
      <c r="G550" s="30"/>
      <c r="H550" s="30"/>
      <c r="I550" s="29" t="e">
        <f>VLOOKUP(B550,#REF!,2,FALSE)</f>
        <v>#REF!</v>
      </c>
      <c r="J550" s="28"/>
      <c r="K550" s="28"/>
      <c r="L550" s="28"/>
      <c r="M550" s="28"/>
      <c r="N550" s="28"/>
      <c r="O550" s="28"/>
      <c r="P550" s="28"/>
      <c r="Q550" s="28"/>
      <c r="R550" s="28"/>
      <c r="S550" s="28"/>
      <c r="T550" s="28"/>
      <c r="U550" s="28"/>
      <c r="V550" s="28"/>
      <c r="W550" s="28"/>
      <c r="X550" s="28"/>
      <c r="Y550" s="28"/>
      <c r="Z550" s="28"/>
      <c r="AA550" s="28"/>
      <c r="AB550" s="28"/>
      <c r="AC550" s="28"/>
      <c r="AD550" s="28"/>
      <c r="AE550" s="28"/>
      <c r="AF550" s="28"/>
      <c r="AG550" s="28"/>
      <c r="AH550" s="28"/>
      <c r="AI550" s="28"/>
      <c r="AJ550" s="28"/>
      <c r="AK550" s="28"/>
      <c r="AL550" s="28"/>
      <c r="AM550" s="28"/>
      <c r="AN550" s="28"/>
      <c r="AO550" s="28"/>
      <c r="AP550" s="28"/>
      <c r="AQ550" s="28"/>
      <c r="AR550" s="28"/>
      <c r="AS550" s="28"/>
      <c r="AT550" s="28"/>
      <c r="AU550" s="28"/>
      <c r="AV550" s="28"/>
      <c r="AW550" s="28"/>
      <c r="AX550" s="28"/>
      <c r="AY550" s="28"/>
      <c r="AZ550" s="28"/>
      <c r="BA550" s="28"/>
      <c r="BB550" s="28"/>
      <c r="BC550" s="28"/>
      <c r="BD550" s="28"/>
      <c r="BE550" s="28"/>
      <c r="BF550" s="28"/>
      <c r="BG550" s="28"/>
      <c r="BH550" s="28"/>
      <c r="BI550" s="28"/>
      <c r="BJ550" s="28"/>
      <c r="BK550" s="28"/>
      <c r="BL550" s="28"/>
      <c r="BM550" s="28"/>
      <c r="BN550" s="28"/>
      <c r="BO550" s="28"/>
      <c r="BP550" s="28"/>
      <c r="BQ550" s="28"/>
      <c r="BR550" s="28"/>
      <c r="BS550" s="28"/>
      <c r="BT550" s="28"/>
      <c r="BU550" s="28"/>
      <c r="BV550" s="28"/>
      <c r="BW550" s="28"/>
      <c r="BX550" s="28"/>
      <c r="BY550" s="28"/>
      <c r="BZ550" s="28"/>
      <c r="CA550" s="28"/>
      <c r="CB550" s="28"/>
    </row>
    <row r="551" spans="1:80" hidden="1" x14ac:dyDescent="0.25">
      <c r="A551" s="31" t="s">
        <v>854</v>
      </c>
      <c r="B551" s="39" t="s">
        <v>852</v>
      </c>
      <c r="C551" s="30" t="s">
        <v>853</v>
      </c>
      <c r="D551" s="30" t="s">
        <v>78</v>
      </c>
      <c r="E551" s="20" t="s">
        <v>1997</v>
      </c>
      <c r="F551" s="26" t="s">
        <v>2027</v>
      </c>
      <c r="G551" s="30"/>
      <c r="H551" s="30"/>
      <c r="I551" s="29" t="e">
        <f>VLOOKUP(B551,#REF!,2,FALSE)</f>
        <v>#REF!</v>
      </c>
      <c r="J551" s="28"/>
      <c r="K551" s="28"/>
      <c r="L551" s="28"/>
      <c r="M551" s="28"/>
      <c r="N551" s="28"/>
      <c r="O551" s="28"/>
      <c r="P551" s="28"/>
      <c r="Q551" s="28"/>
      <c r="R551" s="28"/>
      <c r="S551" s="28"/>
      <c r="T551" s="28"/>
      <c r="U551" s="28"/>
      <c r="V551" s="28"/>
      <c r="W551" s="28"/>
      <c r="X551" s="28"/>
      <c r="Y551" s="28"/>
      <c r="Z551" s="28"/>
      <c r="AA551" s="28"/>
      <c r="AB551" s="28"/>
      <c r="AC551" s="28"/>
      <c r="AD551" s="28"/>
      <c r="AE551" s="28"/>
      <c r="AF551" s="28"/>
      <c r="AG551" s="28"/>
      <c r="AH551" s="28"/>
      <c r="AI551" s="28"/>
      <c r="AJ551" s="28"/>
      <c r="AK551" s="28"/>
      <c r="AL551" s="28"/>
      <c r="AM551" s="28"/>
      <c r="AN551" s="28"/>
      <c r="AO551" s="28"/>
      <c r="AP551" s="28"/>
      <c r="AQ551" s="28"/>
      <c r="AR551" s="28"/>
      <c r="AS551" s="28"/>
      <c r="AT551" s="28"/>
      <c r="AU551" s="28"/>
      <c r="AV551" s="28"/>
      <c r="AW551" s="28"/>
      <c r="AX551" s="28"/>
      <c r="AY551" s="28"/>
      <c r="AZ551" s="28"/>
      <c r="BA551" s="28"/>
      <c r="BB551" s="28"/>
      <c r="BC551" s="28"/>
      <c r="BD551" s="28"/>
      <c r="BE551" s="28"/>
      <c r="BF551" s="28"/>
      <c r="BG551" s="28"/>
      <c r="BH551" s="28"/>
      <c r="BI551" s="28"/>
      <c r="BJ551" s="28"/>
      <c r="BK551" s="28"/>
      <c r="BL551" s="28"/>
      <c r="BM551" s="28"/>
      <c r="BN551" s="28"/>
      <c r="BO551" s="28"/>
      <c r="BP551" s="28"/>
      <c r="BQ551" s="28"/>
      <c r="BR551" s="28"/>
      <c r="BS551" s="28"/>
      <c r="BT551" s="28"/>
      <c r="BU551" s="28"/>
      <c r="BV551" s="28"/>
      <c r="BW551" s="28"/>
      <c r="BX551" s="28"/>
      <c r="BY551" s="28"/>
      <c r="BZ551" s="28"/>
      <c r="CA551" s="28"/>
      <c r="CB551" s="28"/>
    </row>
    <row r="552" spans="1:80" hidden="1" x14ac:dyDescent="0.25">
      <c r="A552" s="33" t="s">
        <v>864</v>
      </c>
      <c r="B552" s="38" t="s">
        <v>863</v>
      </c>
      <c r="C552" s="32" t="s">
        <v>292</v>
      </c>
      <c r="D552" s="32" t="s">
        <v>78</v>
      </c>
      <c r="E552" s="21" t="s">
        <v>1997</v>
      </c>
      <c r="F552" s="25" t="s">
        <v>2027</v>
      </c>
      <c r="G552" s="32"/>
      <c r="H552" s="32"/>
      <c r="I552" s="29" t="e">
        <f>VLOOKUP(B552,#REF!,2,FALSE)</f>
        <v>#REF!</v>
      </c>
      <c r="J552" s="28"/>
      <c r="K552" s="28"/>
      <c r="L552" s="28"/>
      <c r="M552" s="28"/>
      <c r="N552" s="28"/>
      <c r="O552" s="28"/>
      <c r="P552" s="28"/>
      <c r="Q552" s="28"/>
      <c r="R552" s="28"/>
      <c r="S552" s="28"/>
      <c r="T552" s="28"/>
      <c r="U552" s="28"/>
      <c r="V552" s="28"/>
      <c r="W552" s="28"/>
      <c r="X552" s="28"/>
      <c r="Y552" s="28"/>
      <c r="Z552" s="28"/>
      <c r="AA552" s="28"/>
      <c r="AB552" s="28"/>
      <c r="AC552" s="28"/>
      <c r="AD552" s="28"/>
      <c r="AE552" s="28"/>
      <c r="AF552" s="28"/>
      <c r="AG552" s="28"/>
      <c r="AH552" s="28"/>
      <c r="AI552" s="28"/>
      <c r="AJ552" s="28"/>
      <c r="AK552" s="28"/>
      <c r="AL552" s="28"/>
      <c r="AM552" s="28"/>
      <c r="AN552" s="28"/>
      <c r="AO552" s="28"/>
      <c r="AP552" s="28"/>
      <c r="AQ552" s="28"/>
      <c r="AR552" s="28"/>
      <c r="AS552" s="28"/>
      <c r="AT552" s="28"/>
      <c r="AU552" s="28"/>
      <c r="AV552" s="28"/>
      <c r="AW552" s="28"/>
      <c r="AX552" s="28"/>
      <c r="AY552" s="28"/>
      <c r="AZ552" s="28"/>
      <c r="BA552" s="28"/>
      <c r="BB552" s="28"/>
      <c r="BC552" s="28"/>
      <c r="BD552" s="28"/>
      <c r="BE552" s="28"/>
      <c r="BF552" s="28"/>
      <c r="BG552" s="28"/>
      <c r="BH552" s="28"/>
      <c r="BI552" s="28"/>
      <c r="BJ552" s="28"/>
      <c r="BK552" s="28"/>
      <c r="BL552" s="28"/>
      <c r="BM552" s="28"/>
      <c r="BN552" s="28"/>
      <c r="BO552" s="28"/>
      <c r="BP552" s="28"/>
      <c r="BQ552" s="28"/>
      <c r="BR552" s="28"/>
      <c r="BS552" s="28"/>
      <c r="BT552" s="28"/>
      <c r="BU552" s="28"/>
      <c r="BV552" s="28"/>
      <c r="BW552" s="28"/>
      <c r="BX552" s="28"/>
      <c r="BY552" s="28"/>
      <c r="BZ552" s="28"/>
      <c r="CA552" s="28"/>
      <c r="CB552" s="28"/>
    </row>
    <row r="553" spans="1:80" hidden="1" x14ac:dyDescent="0.25">
      <c r="A553" s="31" t="s">
        <v>872</v>
      </c>
      <c r="B553" s="39" t="s">
        <v>871</v>
      </c>
      <c r="C553" s="30" t="s">
        <v>107</v>
      </c>
      <c r="D553" s="30" t="s">
        <v>78</v>
      </c>
      <c r="E553" s="20" t="s">
        <v>1997</v>
      </c>
      <c r="F553" s="26" t="s">
        <v>2027</v>
      </c>
      <c r="G553" s="30"/>
      <c r="H553" s="30"/>
      <c r="I553" s="29" t="e">
        <f>VLOOKUP(B553,#REF!,2,FALSE)</f>
        <v>#REF!</v>
      </c>
      <c r="J553" s="28"/>
      <c r="K553" s="28"/>
      <c r="L553" s="28"/>
      <c r="M553" s="28"/>
      <c r="N553" s="28"/>
      <c r="O553" s="28"/>
      <c r="P553" s="28"/>
      <c r="Q553" s="28"/>
      <c r="R553" s="28"/>
      <c r="S553" s="28"/>
      <c r="T553" s="28"/>
      <c r="U553" s="28"/>
      <c r="V553" s="28"/>
      <c r="W553" s="28"/>
      <c r="X553" s="28"/>
      <c r="Y553" s="28"/>
      <c r="Z553" s="28"/>
      <c r="AA553" s="28"/>
      <c r="AB553" s="28"/>
      <c r="AC553" s="28"/>
      <c r="AD553" s="28"/>
      <c r="AE553" s="28"/>
      <c r="AF553" s="28"/>
      <c r="AG553" s="28"/>
      <c r="AH553" s="28"/>
      <c r="AI553" s="28"/>
      <c r="AJ553" s="28"/>
      <c r="AK553" s="28"/>
      <c r="AL553" s="28"/>
      <c r="AM553" s="28"/>
      <c r="AN553" s="28"/>
      <c r="AO553" s="28"/>
      <c r="AP553" s="28"/>
      <c r="AQ553" s="28"/>
      <c r="AR553" s="28"/>
      <c r="AS553" s="28"/>
      <c r="AT553" s="28"/>
      <c r="AU553" s="28"/>
      <c r="AV553" s="28"/>
      <c r="AW553" s="28"/>
      <c r="AX553" s="28"/>
      <c r="AY553" s="28"/>
      <c r="AZ553" s="28"/>
      <c r="BA553" s="28"/>
      <c r="BB553" s="28"/>
      <c r="BC553" s="28"/>
      <c r="BD553" s="28"/>
      <c r="BE553" s="28"/>
      <c r="BF553" s="28"/>
      <c r="BG553" s="28"/>
      <c r="BH553" s="28"/>
      <c r="BI553" s="28"/>
      <c r="BJ553" s="28"/>
      <c r="BK553" s="28"/>
      <c r="BL553" s="28"/>
      <c r="BM553" s="28"/>
      <c r="BN553" s="28"/>
      <c r="BO553" s="28"/>
      <c r="BP553" s="28"/>
      <c r="BQ553" s="28"/>
      <c r="BR553" s="28"/>
      <c r="BS553" s="28"/>
      <c r="BT553" s="28"/>
      <c r="BU553" s="28"/>
      <c r="BV553" s="28"/>
      <c r="BW553" s="28"/>
      <c r="BX553" s="28"/>
      <c r="BY553" s="28"/>
      <c r="BZ553" s="28"/>
      <c r="CA553" s="28"/>
      <c r="CB553" s="28"/>
    </row>
    <row r="554" spans="1:80" x14ac:dyDescent="0.25">
      <c r="A554" s="33" t="s">
        <v>2028</v>
      </c>
      <c r="B554" s="38" t="s">
        <v>2029</v>
      </c>
      <c r="C554" s="32" t="s">
        <v>2030</v>
      </c>
      <c r="D554" s="32" t="s">
        <v>78</v>
      </c>
      <c r="E554" s="21" t="s">
        <v>1997</v>
      </c>
      <c r="F554" s="25" t="s">
        <v>2027</v>
      </c>
      <c r="G554" s="32"/>
      <c r="H554" s="32"/>
      <c r="I554" s="29" t="e">
        <f>VLOOKUP(B554,#REF!,2,FALSE)</f>
        <v>#REF!</v>
      </c>
      <c r="J554" s="28"/>
      <c r="K554" s="28"/>
      <c r="L554" s="28"/>
      <c r="M554" s="28"/>
      <c r="N554" s="28"/>
      <c r="O554" s="28"/>
      <c r="P554" s="28"/>
      <c r="Q554" s="28"/>
      <c r="R554" s="28"/>
      <c r="S554" s="28"/>
      <c r="T554" s="28"/>
      <c r="U554" s="28"/>
      <c r="V554" s="28"/>
      <c r="W554" s="28"/>
      <c r="X554" s="28"/>
      <c r="Y554" s="28"/>
      <c r="Z554" s="28"/>
      <c r="AA554" s="28"/>
      <c r="AB554" s="28"/>
      <c r="AC554" s="28"/>
      <c r="AD554" s="28"/>
      <c r="AE554" s="28"/>
      <c r="AF554" s="28"/>
      <c r="AG554" s="28"/>
      <c r="AH554" s="28"/>
      <c r="AI554" s="28"/>
      <c r="AJ554" s="28"/>
      <c r="AK554" s="28"/>
      <c r="AL554" s="28"/>
      <c r="AM554" s="28"/>
      <c r="AN554" s="28"/>
      <c r="AO554" s="28"/>
      <c r="AP554" s="28"/>
      <c r="AQ554" s="28"/>
      <c r="AR554" s="28"/>
      <c r="AS554" s="28"/>
      <c r="AT554" s="28"/>
      <c r="AU554" s="28"/>
      <c r="AV554" s="28"/>
      <c r="AW554" s="28"/>
      <c r="AX554" s="28"/>
      <c r="AY554" s="28"/>
      <c r="AZ554" s="28"/>
      <c r="BA554" s="28"/>
      <c r="BB554" s="28"/>
      <c r="BC554" s="28"/>
      <c r="BD554" s="28"/>
      <c r="BE554" s="28"/>
      <c r="BF554" s="28"/>
      <c r="BG554" s="28"/>
      <c r="BH554" s="28"/>
      <c r="BI554" s="28"/>
      <c r="BJ554" s="28"/>
      <c r="BK554" s="28"/>
      <c r="BL554" s="28"/>
      <c r="BM554" s="28"/>
      <c r="BN554" s="28"/>
      <c r="BO554" s="28"/>
      <c r="BP554" s="28"/>
      <c r="BQ554" s="28"/>
      <c r="BR554" s="28"/>
      <c r="BS554" s="28"/>
      <c r="BT554" s="28"/>
      <c r="BU554" s="28"/>
      <c r="BV554" s="28"/>
      <c r="BW554" s="28"/>
      <c r="BX554" s="28"/>
      <c r="BY554" s="28"/>
      <c r="BZ554" s="28"/>
      <c r="CA554" s="28"/>
      <c r="CB554" s="28"/>
    </row>
    <row r="555" spans="1:80" hidden="1" x14ac:dyDescent="0.25">
      <c r="A555" s="31" t="s">
        <v>878</v>
      </c>
      <c r="B555" s="39" t="s">
        <v>877</v>
      </c>
      <c r="C555" s="30" t="s">
        <v>453</v>
      </c>
      <c r="D555" s="30" t="s">
        <v>78</v>
      </c>
      <c r="E555" s="20" t="s">
        <v>1997</v>
      </c>
      <c r="F555" s="26" t="s">
        <v>2027</v>
      </c>
      <c r="G555" s="30"/>
      <c r="H555" s="30"/>
      <c r="I555" s="29" t="e">
        <f>VLOOKUP(B555,#REF!,2,FALSE)</f>
        <v>#REF!</v>
      </c>
      <c r="J555" s="28"/>
      <c r="K555" s="28"/>
      <c r="L555" s="28"/>
      <c r="M555" s="28"/>
      <c r="N555" s="28"/>
      <c r="O555" s="28"/>
      <c r="P555" s="28"/>
      <c r="Q555" s="28"/>
      <c r="R555" s="28"/>
      <c r="S555" s="28"/>
      <c r="T555" s="28"/>
      <c r="U555" s="28"/>
      <c r="V555" s="28"/>
      <c r="W555" s="28"/>
      <c r="X555" s="28"/>
      <c r="Y555" s="28"/>
      <c r="Z555" s="28"/>
      <c r="AA555" s="28"/>
      <c r="AB555" s="28"/>
      <c r="AC555" s="28"/>
      <c r="AD555" s="28"/>
      <c r="AE555" s="28"/>
      <c r="AF555" s="28"/>
      <c r="AG555" s="28"/>
      <c r="AH555" s="28"/>
      <c r="AI555" s="28"/>
      <c r="AJ555" s="28"/>
      <c r="AK555" s="28"/>
      <c r="AL555" s="28"/>
      <c r="AM555" s="28"/>
      <c r="AN555" s="28"/>
      <c r="AO555" s="28"/>
      <c r="AP555" s="28"/>
      <c r="AQ555" s="28"/>
      <c r="AR555" s="28"/>
      <c r="AS555" s="28"/>
      <c r="AT555" s="28"/>
      <c r="AU555" s="28"/>
      <c r="AV555" s="28"/>
      <c r="AW555" s="28"/>
      <c r="AX555" s="28"/>
      <c r="AY555" s="28"/>
      <c r="AZ555" s="28"/>
      <c r="BA555" s="28"/>
      <c r="BB555" s="28"/>
      <c r="BC555" s="28"/>
      <c r="BD555" s="28"/>
      <c r="BE555" s="28"/>
      <c r="BF555" s="28"/>
      <c r="BG555" s="28"/>
      <c r="BH555" s="28"/>
      <c r="BI555" s="28"/>
      <c r="BJ555" s="28"/>
      <c r="BK555" s="28"/>
      <c r="BL555" s="28"/>
      <c r="BM555" s="28"/>
      <c r="BN555" s="28"/>
      <c r="BO555" s="28"/>
      <c r="BP555" s="28"/>
      <c r="BQ555" s="28"/>
      <c r="BR555" s="28"/>
      <c r="BS555" s="28"/>
      <c r="BT555" s="28"/>
      <c r="BU555" s="28"/>
      <c r="BV555" s="28"/>
      <c r="BW555" s="28"/>
      <c r="BX555" s="28"/>
      <c r="BY555" s="28"/>
      <c r="BZ555" s="28"/>
      <c r="CA555" s="28"/>
      <c r="CB555" s="28"/>
    </row>
    <row r="556" spans="1:80" hidden="1" x14ac:dyDescent="0.25">
      <c r="A556" s="31" t="s">
        <v>912</v>
      </c>
      <c r="B556" s="39" t="s">
        <v>911</v>
      </c>
      <c r="C556" s="30" t="s">
        <v>412</v>
      </c>
      <c r="D556" s="30" t="s">
        <v>78</v>
      </c>
      <c r="E556" s="20" t="s">
        <v>1997</v>
      </c>
      <c r="F556" s="26" t="s">
        <v>2027</v>
      </c>
      <c r="G556" s="30"/>
      <c r="H556" s="30"/>
      <c r="I556" s="29" t="e">
        <f>VLOOKUP(B556,#REF!,2,FALSE)</f>
        <v>#REF!</v>
      </c>
      <c r="J556" s="28"/>
      <c r="K556" s="28"/>
      <c r="L556" s="28"/>
      <c r="M556" s="28"/>
      <c r="N556" s="28"/>
      <c r="O556" s="28"/>
      <c r="P556" s="28"/>
      <c r="Q556" s="28"/>
      <c r="R556" s="28"/>
      <c r="S556" s="28"/>
      <c r="T556" s="28"/>
      <c r="U556" s="28"/>
      <c r="V556" s="28"/>
      <c r="W556" s="28"/>
      <c r="X556" s="28"/>
      <c r="Y556" s="28"/>
      <c r="Z556" s="28"/>
      <c r="AA556" s="28"/>
      <c r="AB556" s="28"/>
      <c r="AC556" s="28"/>
      <c r="AD556" s="28"/>
      <c r="AE556" s="28"/>
      <c r="AF556" s="28"/>
      <c r="AG556" s="28"/>
      <c r="AH556" s="28"/>
      <c r="AI556" s="28"/>
      <c r="AJ556" s="28"/>
      <c r="AK556" s="28"/>
      <c r="AL556" s="28"/>
      <c r="AM556" s="28"/>
      <c r="AN556" s="28"/>
      <c r="AO556" s="28"/>
      <c r="AP556" s="28"/>
      <c r="AQ556" s="28"/>
      <c r="AR556" s="28"/>
      <c r="AS556" s="28"/>
      <c r="AT556" s="28"/>
      <c r="AU556" s="28"/>
      <c r="AV556" s="28"/>
      <c r="AW556" s="28"/>
      <c r="AX556" s="28"/>
      <c r="AY556" s="28"/>
      <c r="AZ556" s="28"/>
      <c r="BA556" s="28"/>
      <c r="BB556" s="28"/>
      <c r="BC556" s="28"/>
      <c r="BD556" s="28"/>
      <c r="BE556" s="28"/>
      <c r="BF556" s="28"/>
      <c r="BG556" s="28"/>
      <c r="BH556" s="28"/>
      <c r="BI556" s="28"/>
      <c r="BJ556" s="28"/>
      <c r="BK556" s="28"/>
      <c r="BL556" s="28"/>
      <c r="BM556" s="28"/>
      <c r="BN556" s="28"/>
      <c r="BO556" s="28"/>
      <c r="BP556" s="28"/>
      <c r="BQ556" s="28"/>
      <c r="BR556" s="28"/>
      <c r="BS556" s="28"/>
      <c r="BT556" s="28"/>
      <c r="BU556" s="28"/>
      <c r="BV556" s="28"/>
      <c r="BW556" s="28"/>
      <c r="BX556" s="28"/>
      <c r="BY556" s="28"/>
      <c r="BZ556" s="28"/>
      <c r="CA556" s="28"/>
      <c r="CB556" s="28"/>
    </row>
    <row r="557" spans="1:80" hidden="1" x14ac:dyDescent="0.25">
      <c r="A557" s="31" t="s">
        <v>921</v>
      </c>
      <c r="B557" s="39" t="s">
        <v>920</v>
      </c>
      <c r="C557" s="30" t="s">
        <v>148</v>
      </c>
      <c r="D557" s="30" t="s">
        <v>78</v>
      </c>
      <c r="E557" s="20" t="s">
        <v>1997</v>
      </c>
      <c r="F557" s="26" t="s">
        <v>2027</v>
      </c>
      <c r="G557" s="30"/>
      <c r="H557" s="30"/>
      <c r="I557" s="29" t="e">
        <f>VLOOKUP(B557,#REF!,2,FALSE)</f>
        <v>#REF!</v>
      </c>
      <c r="J557" s="28"/>
      <c r="K557" s="28"/>
      <c r="L557" s="28"/>
      <c r="M557" s="28"/>
      <c r="N557" s="28"/>
      <c r="O557" s="28"/>
      <c r="P557" s="28"/>
      <c r="Q557" s="28"/>
      <c r="R557" s="28"/>
      <c r="S557" s="28"/>
      <c r="T557" s="28"/>
      <c r="U557" s="28"/>
      <c r="V557" s="28"/>
      <c r="W557" s="28"/>
      <c r="X557" s="28"/>
      <c r="Y557" s="28"/>
      <c r="Z557" s="28"/>
      <c r="AA557" s="28"/>
      <c r="AB557" s="28"/>
      <c r="AC557" s="28"/>
      <c r="AD557" s="28"/>
      <c r="AE557" s="28"/>
      <c r="AF557" s="28"/>
      <c r="AG557" s="28"/>
      <c r="AH557" s="28"/>
      <c r="AI557" s="28"/>
      <c r="AJ557" s="28"/>
      <c r="AK557" s="28"/>
      <c r="AL557" s="28"/>
      <c r="AM557" s="28"/>
      <c r="AN557" s="28"/>
      <c r="AO557" s="28"/>
      <c r="AP557" s="28"/>
      <c r="AQ557" s="28"/>
      <c r="AR557" s="28"/>
      <c r="AS557" s="28"/>
      <c r="AT557" s="28"/>
      <c r="AU557" s="28"/>
      <c r="AV557" s="28"/>
      <c r="AW557" s="28"/>
      <c r="AX557" s="28"/>
      <c r="AY557" s="28"/>
      <c r="AZ557" s="28"/>
      <c r="BA557" s="28"/>
      <c r="BB557" s="28"/>
      <c r="BC557" s="28"/>
      <c r="BD557" s="28"/>
      <c r="BE557" s="28"/>
      <c r="BF557" s="28"/>
      <c r="BG557" s="28"/>
      <c r="BH557" s="28"/>
      <c r="BI557" s="28"/>
      <c r="BJ557" s="28"/>
      <c r="BK557" s="28"/>
      <c r="BL557" s="28"/>
      <c r="BM557" s="28"/>
      <c r="BN557" s="28"/>
      <c r="BO557" s="28"/>
      <c r="BP557" s="28"/>
      <c r="BQ557" s="28"/>
      <c r="BR557" s="28"/>
      <c r="BS557" s="28"/>
      <c r="BT557" s="28"/>
      <c r="BU557" s="28"/>
      <c r="BV557" s="28"/>
      <c r="BW557" s="28"/>
      <c r="BX557" s="28"/>
      <c r="BY557" s="28"/>
      <c r="BZ557" s="28"/>
      <c r="CA557" s="28"/>
      <c r="CB557" s="28"/>
    </row>
    <row r="558" spans="1:80" hidden="1" x14ac:dyDescent="0.25">
      <c r="A558" s="31" t="s">
        <v>930</v>
      </c>
      <c r="B558" s="39" t="s">
        <v>929</v>
      </c>
      <c r="C558" s="30" t="s">
        <v>197</v>
      </c>
      <c r="D558" s="30" t="s">
        <v>78</v>
      </c>
      <c r="E558" s="20" t="s">
        <v>1997</v>
      </c>
      <c r="F558" s="26" t="s">
        <v>2027</v>
      </c>
      <c r="G558" s="30"/>
      <c r="H558" s="30"/>
      <c r="I558" s="29" t="e">
        <f>VLOOKUP(B558,#REF!,2,FALSE)</f>
        <v>#REF!</v>
      </c>
      <c r="J558" s="29"/>
      <c r="K558" s="29"/>
      <c r="L558" s="29"/>
      <c r="M558" s="29"/>
      <c r="N558" s="29"/>
      <c r="O558" s="29"/>
      <c r="P558" s="29"/>
      <c r="Q558" s="29"/>
      <c r="R558" s="29"/>
      <c r="S558" s="29"/>
      <c r="T558" s="29"/>
      <c r="U558" s="29"/>
      <c r="V558" s="29"/>
      <c r="W558" s="29"/>
      <c r="X558" s="29"/>
      <c r="Y558" s="29"/>
      <c r="Z558" s="29"/>
      <c r="AA558" s="29"/>
      <c r="AB558" s="29"/>
      <c r="AC558" s="29"/>
      <c r="AD558" s="29"/>
      <c r="AE558" s="29"/>
      <c r="AF558" s="29"/>
      <c r="AG558" s="29"/>
      <c r="AH558" s="29"/>
      <c r="AI558" s="29"/>
      <c r="AJ558" s="29"/>
      <c r="AK558" s="29"/>
      <c r="AL558" s="29"/>
      <c r="AM558" s="29"/>
      <c r="AN558" s="29"/>
      <c r="AO558" s="29"/>
      <c r="AP558" s="29"/>
      <c r="AQ558" s="29"/>
      <c r="AR558" s="29"/>
      <c r="AS558" s="29"/>
      <c r="AT558" s="29"/>
      <c r="AU558" s="29"/>
      <c r="AV558" s="29"/>
      <c r="AW558" s="29"/>
      <c r="AX558" s="29"/>
      <c r="AY558" s="29"/>
      <c r="AZ558" s="29"/>
      <c r="BA558" s="29"/>
      <c r="BB558" s="29"/>
      <c r="BC558" s="29"/>
      <c r="BD558" s="29"/>
      <c r="BE558" s="29"/>
      <c r="BF558" s="29"/>
      <c r="BG558" s="29"/>
      <c r="BH558" s="29"/>
      <c r="BI558" s="29"/>
      <c r="BJ558" s="29"/>
      <c r="BK558" s="29"/>
      <c r="BL558" s="29"/>
      <c r="BM558" s="29"/>
      <c r="BN558" s="29"/>
      <c r="BO558" s="29"/>
      <c r="BP558" s="29"/>
      <c r="BQ558" s="29"/>
      <c r="BR558" s="29"/>
      <c r="BS558" s="29"/>
      <c r="BT558" s="29"/>
      <c r="BU558" s="29"/>
      <c r="BV558" s="29"/>
      <c r="BW558" s="29"/>
      <c r="BX558" s="29"/>
      <c r="BY558" s="29"/>
      <c r="BZ558" s="29"/>
      <c r="CA558" s="29"/>
      <c r="CB558" s="29"/>
    </row>
    <row r="559" spans="1:80" hidden="1" x14ac:dyDescent="0.25">
      <c r="A559" s="31" t="s">
        <v>940</v>
      </c>
      <c r="B559" s="39" t="s">
        <v>939</v>
      </c>
      <c r="C559" s="30" t="s">
        <v>273</v>
      </c>
      <c r="D559" s="30" t="s">
        <v>78</v>
      </c>
      <c r="E559" s="20" t="s">
        <v>1997</v>
      </c>
      <c r="F559" s="26" t="s">
        <v>2027</v>
      </c>
      <c r="G559" s="30"/>
      <c r="H559" s="30"/>
      <c r="I559" s="29" t="e">
        <f>VLOOKUP(B559,#REF!,2,FALSE)</f>
        <v>#REF!</v>
      </c>
      <c r="J559" s="28"/>
      <c r="K559" s="28"/>
      <c r="L559" s="28"/>
      <c r="M559" s="28"/>
      <c r="N559" s="28"/>
      <c r="O559" s="28"/>
      <c r="P559" s="28"/>
      <c r="Q559" s="28"/>
      <c r="R559" s="28"/>
      <c r="S559" s="28"/>
      <c r="T559" s="28"/>
      <c r="U559" s="28"/>
      <c r="V559" s="28"/>
      <c r="W559" s="28"/>
      <c r="X559" s="28"/>
      <c r="Y559" s="28"/>
      <c r="Z559" s="28"/>
      <c r="AA559" s="28"/>
      <c r="AB559" s="28"/>
      <c r="AC559" s="28"/>
      <c r="AD559" s="28"/>
      <c r="AE559" s="28"/>
      <c r="AF559" s="28"/>
      <c r="AG559" s="28"/>
      <c r="AH559" s="28"/>
      <c r="AI559" s="28"/>
      <c r="AJ559" s="28"/>
      <c r="AK559" s="28"/>
      <c r="AL559" s="28"/>
      <c r="AM559" s="28"/>
      <c r="AN559" s="28"/>
      <c r="AO559" s="28"/>
      <c r="AP559" s="28"/>
      <c r="AQ559" s="28"/>
      <c r="AR559" s="28"/>
      <c r="AS559" s="28"/>
      <c r="AT559" s="28"/>
      <c r="AU559" s="28"/>
      <c r="AV559" s="28"/>
      <c r="AW559" s="28"/>
      <c r="AX559" s="28"/>
      <c r="AY559" s="28"/>
      <c r="AZ559" s="28"/>
      <c r="BA559" s="28"/>
      <c r="BB559" s="28"/>
      <c r="BC559" s="28"/>
      <c r="BD559" s="28"/>
      <c r="BE559" s="28"/>
      <c r="BF559" s="28"/>
      <c r="BG559" s="28"/>
      <c r="BH559" s="28"/>
      <c r="BI559" s="28"/>
      <c r="BJ559" s="28"/>
      <c r="BK559" s="28"/>
      <c r="BL559" s="28"/>
      <c r="BM559" s="28"/>
      <c r="BN559" s="28"/>
      <c r="BO559" s="28"/>
      <c r="BP559" s="28"/>
      <c r="BQ559" s="28"/>
      <c r="BR559" s="28"/>
      <c r="BS559" s="28"/>
      <c r="BT559" s="28"/>
      <c r="BU559" s="28"/>
      <c r="BV559" s="28"/>
      <c r="BW559" s="28"/>
      <c r="BX559" s="28"/>
      <c r="BY559" s="28"/>
      <c r="BZ559" s="28"/>
      <c r="CA559" s="28"/>
      <c r="CB559" s="28"/>
    </row>
    <row r="560" spans="1:80" hidden="1" x14ac:dyDescent="0.25">
      <c r="A560" s="31" t="s">
        <v>955</v>
      </c>
      <c r="B560" s="39" t="s">
        <v>953</v>
      </c>
      <c r="C560" s="30" t="s">
        <v>954</v>
      </c>
      <c r="D560" s="30" t="s">
        <v>78</v>
      </c>
      <c r="E560" s="20" t="s">
        <v>1997</v>
      </c>
      <c r="F560" s="26" t="s">
        <v>2027</v>
      </c>
      <c r="G560" s="30"/>
      <c r="H560" s="30"/>
      <c r="I560" s="29" t="e">
        <f>VLOOKUP(B560,#REF!,2,FALSE)</f>
        <v>#REF!</v>
      </c>
      <c r="J560" s="28"/>
      <c r="K560" s="28"/>
      <c r="L560" s="28"/>
      <c r="M560" s="28"/>
      <c r="N560" s="28"/>
      <c r="O560" s="28"/>
      <c r="P560" s="28"/>
      <c r="Q560" s="28"/>
      <c r="R560" s="28"/>
      <c r="S560" s="28"/>
      <c r="T560" s="28"/>
      <c r="U560" s="28"/>
      <c r="V560" s="28"/>
      <c r="W560" s="28"/>
      <c r="X560" s="28"/>
      <c r="Y560" s="28"/>
      <c r="Z560" s="28"/>
      <c r="AA560" s="28"/>
      <c r="AB560" s="28"/>
      <c r="AC560" s="28"/>
      <c r="AD560" s="28"/>
      <c r="AE560" s="28"/>
      <c r="AF560" s="28"/>
      <c r="AG560" s="28"/>
      <c r="AH560" s="28"/>
      <c r="AI560" s="28"/>
      <c r="AJ560" s="28"/>
      <c r="AK560" s="28"/>
      <c r="AL560" s="28"/>
      <c r="AM560" s="28"/>
      <c r="AN560" s="28"/>
      <c r="AO560" s="28"/>
      <c r="AP560" s="28"/>
      <c r="AQ560" s="28"/>
      <c r="AR560" s="28"/>
      <c r="AS560" s="28"/>
      <c r="AT560" s="28"/>
      <c r="AU560" s="28"/>
      <c r="AV560" s="28"/>
      <c r="AW560" s="28"/>
      <c r="AX560" s="28"/>
      <c r="AY560" s="28"/>
      <c r="AZ560" s="28"/>
      <c r="BA560" s="28"/>
      <c r="BB560" s="28"/>
      <c r="BC560" s="28"/>
      <c r="BD560" s="28"/>
      <c r="BE560" s="28"/>
      <c r="BF560" s="28"/>
      <c r="BG560" s="28"/>
      <c r="BH560" s="28"/>
      <c r="BI560" s="28"/>
      <c r="BJ560" s="28"/>
      <c r="BK560" s="28"/>
      <c r="BL560" s="28"/>
      <c r="BM560" s="28"/>
      <c r="BN560" s="28"/>
      <c r="BO560" s="28"/>
      <c r="BP560" s="28"/>
      <c r="BQ560" s="28"/>
      <c r="BR560" s="28"/>
      <c r="BS560" s="28"/>
      <c r="BT560" s="28"/>
      <c r="BU560" s="28"/>
      <c r="BV560" s="28"/>
      <c r="BW560" s="28"/>
      <c r="BX560" s="28"/>
      <c r="BY560" s="28"/>
      <c r="BZ560" s="28"/>
      <c r="CA560" s="28"/>
      <c r="CB560" s="28"/>
    </row>
    <row r="561" spans="1:80" x14ac:dyDescent="0.25">
      <c r="A561" s="31" t="s">
        <v>2031</v>
      </c>
      <c r="B561" s="39" t="s">
        <v>2032</v>
      </c>
      <c r="C561" s="30" t="s">
        <v>324</v>
      </c>
      <c r="D561" s="30" t="s">
        <v>10</v>
      </c>
      <c r="E561" s="20" t="s">
        <v>1997</v>
      </c>
      <c r="F561" s="26" t="s">
        <v>2027</v>
      </c>
      <c r="G561" s="30"/>
      <c r="H561" s="30"/>
      <c r="I561" s="29" t="e">
        <f>VLOOKUP(B561,#REF!,2,FALSE)</f>
        <v>#REF!</v>
      </c>
      <c r="J561" s="29"/>
      <c r="K561" s="29"/>
      <c r="L561" s="29"/>
      <c r="M561" s="29"/>
      <c r="N561" s="29"/>
      <c r="O561" s="29"/>
      <c r="P561" s="29"/>
      <c r="Q561" s="29"/>
      <c r="R561" s="29"/>
      <c r="S561" s="29"/>
      <c r="T561" s="29"/>
      <c r="U561" s="29"/>
      <c r="V561" s="29"/>
      <c r="W561" s="29"/>
      <c r="X561" s="29"/>
      <c r="Y561" s="29"/>
      <c r="Z561" s="29"/>
      <c r="AA561" s="29"/>
      <c r="AB561" s="29"/>
      <c r="AC561" s="29"/>
      <c r="AD561" s="29"/>
      <c r="AE561" s="29"/>
      <c r="AF561" s="29"/>
      <c r="AG561" s="29"/>
      <c r="AH561" s="29"/>
      <c r="AI561" s="29"/>
      <c r="AJ561" s="29"/>
      <c r="AK561" s="29"/>
      <c r="AL561" s="29"/>
      <c r="AM561" s="29"/>
      <c r="AN561" s="29"/>
      <c r="AO561" s="29"/>
      <c r="AP561" s="29"/>
      <c r="AQ561" s="29"/>
      <c r="AR561" s="29"/>
      <c r="AS561" s="29"/>
      <c r="AT561" s="29"/>
      <c r="AU561" s="29"/>
      <c r="AV561" s="29"/>
      <c r="AW561" s="29"/>
      <c r="AX561" s="29"/>
      <c r="AY561" s="29"/>
      <c r="AZ561" s="29"/>
      <c r="BA561" s="29"/>
      <c r="BB561" s="29"/>
      <c r="BC561" s="29"/>
      <c r="BD561" s="29"/>
      <c r="BE561" s="29"/>
      <c r="BF561" s="29"/>
      <c r="BG561" s="29"/>
      <c r="BH561" s="29"/>
      <c r="BI561" s="29"/>
      <c r="BJ561" s="29"/>
      <c r="BK561" s="29"/>
      <c r="BL561" s="29"/>
      <c r="BM561" s="29"/>
      <c r="BN561" s="29"/>
      <c r="BO561" s="29"/>
      <c r="BP561" s="29"/>
      <c r="BQ561" s="29"/>
      <c r="BR561" s="29"/>
      <c r="BS561" s="29"/>
      <c r="BT561" s="29"/>
      <c r="BU561" s="29"/>
      <c r="BV561" s="29"/>
      <c r="BW561" s="29"/>
      <c r="BX561" s="29"/>
      <c r="BY561" s="29"/>
      <c r="BZ561" s="29"/>
      <c r="CA561" s="29"/>
      <c r="CB561" s="29"/>
    </row>
    <row r="562" spans="1:80" hidden="1" x14ac:dyDescent="0.25">
      <c r="A562" s="31" t="s">
        <v>964</v>
      </c>
      <c r="B562" s="39" t="s">
        <v>962</v>
      </c>
      <c r="C562" s="30" t="s">
        <v>963</v>
      </c>
      <c r="D562" s="30" t="s">
        <v>78</v>
      </c>
      <c r="E562" s="20" t="s">
        <v>1997</v>
      </c>
      <c r="F562" s="26" t="s">
        <v>2027</v>
      </c>
      <c r="G562" s="30"/>
      <c r="H562" s="30"/>
      <c r="I562" s="29" t="e">
        <f>VLOOKUP(B562,#REF!,2,FALSE)</f>
        <v>#REF!</v>
      </c>
      <c r="J562" s="28"/>
      <c r="K562" s="28"/>
      <c r="L562" s="28"/>
      <c r="M562" s="28"/>
      <c r="N562" s="28"/>
      <c r="O562" s="28"/>
      <c r="P562" s="28"/>
      <c r="Q562" s="28"/>
      <c r="R562" s="28"/>
      <c r="S562" s="28"/>
      <c r="T562" s="28"/>
      <c r="U562" s="28"/>
      <c r="V562" s="28"/>
      <c r="W562" s="28"/>
      <c r="X562" s="28"/>
      <c r="Y562" s="28"/>
      <c r="Z562" s="28"/>
      <c r="AA562" s="28"/>
      <c r="AB562" s="28"/>
      <c r="AC562" s="28"/>
      <c r="AD562" s="28"/>
      <c r="AE562" s="28"/>
      <c r="AF562" s="28"/>
      <c r="AG562" s="28"/>
      <c r="AH562" s="28"/>
      <c r="AI562" s="28"/>
      <c r="AJ562" s="28"/>
      <c r="AK562" s="28"/>
      <c r="AL562" s="28"/>
      <c r="AM562" s="28"/>
      <c r="AN562" s="28"/>
      <c r="AO562" s="28"/>
      <c r="AP562" s="28"/>
      <c r="AQ562" s="28"/>
      <c r="AR562" s="28"/>
      <c r="AS562" s="28"/>
      <c r="AT562" s="28"/>
      <c r="AU562" s="28"/>
      <c r="AV562" s="28"/>
      <c r="AW562" s="28"/>
      <c r="AX562" s="28"/>
      <c r="AY562" s="28"/>
      <c r="AZ562" s="28"/>
      <c r="BA562" s="28"/>
      <c r="BB562" s="28"/>
      <c r="BC562" s="28"/>
      <c r="BD562" s="28"/>
      <c r="BE562" s="28"/>
      <c r="BF562" s="28"/>
      <c r="BG562" s="28"/>
      <c r="BH562" s="28"/>
      <c r="BI562" s="28"/>
      <c r="BJ562" s="28"/>
      <c r="BK562" s="28"/>
      <c r="BL562" s="28"/>
      <c r="BM562" s="28"/>
      <c r="BN562" s="28"/>
      <c r="BO562" s="28"/>
      <c r="BP562" s="28"/>
      <c r="BQ562" s="28"/>
      <c r="BR562" s="28"/>
      <c r="BS562" s="28"/>
      <c r="BT562" s="28"/>
      <c r="BU562" s="28"/>
      <c r="BV562" s="28"/>
      <c r="BW562" s="28"/>
      <c r="BX562" s="28"/>
      <c r="BY562" s="28"/>
      <c r="BZ562" s="28"/>
      <c r="CA562" s="28"/>
      <c r="CB562" s="28"/>
    </row>
    <row r="563" spans="1:80" hidden="1" x14ac:dyDescent="0.25">
      <c r="A563" s="31" t="s">
        <v>978</v>
      </c>
      <c r="B563" s="39" t="s">
        <v>976</v>
      </c>
      <c r="C563" s="30" t="s">
        <v>977</v>
      </c>
      <c r="D563" s="30" t="s">
        <v>78</v>
      </c>
      <c r="E563" s="20" t="s">
        <v>1997</v>
      </c>
      <c r="F563" s="26" t="s">
        <v>2027</v>
      </c>
      <c r="G563" s="30"/>
      <c r="H563" s="30"/>
      <c r="I563" s="29" t="e">
        <f>VLOOKUP(B563,#REF!,2,FALSE)</f>
        <v>#REF!</v>
      </c>
      <c r="J563" s="28"/>
      <c r="K563" s="28"/>
      <c r="L563" s="28"/>
      <c r="M563" s="28"/>
      <c r="N563" s="28"/>
      <c r="O563" s="28"/>
      <c r="P563" s="28"/>
      <c r="Q563" s="28"/>
      <c r="R563" s="28"/>
      <c r="S563" s="28"/>
      <c r="T563" s="28"/>
      <c r="U563" s="28"/>
      <c r="V563" s="28"/>
      <c r="W563" s="28"/>
      <c r="X563" s="28"/>
      <c r="Y563" s="28"/>
      <c r="Z563" s="28"/>
      <c r="AA563" s="28"/>
      <c r="AB563" s="28"/>
      <c r="AC563" s="28"/>
      <c r="AD563" s="28"/>
      <c r="AE563" s="28"/>
      <c r="AF563" s="28"/>
      <c r="AG563" s="28"/>
      <c r="AH563" s="28"/>
      <c r="AI563" s="28"/>
      <c r="AJ563" s="28"/>
      <c r="AK563" s="28"/>
      <c r="AL563" s="28"/>
      <c r="AM563" s="28"/>
      <c r="AN563" s="28"/>
      <c r="AO563" s="28"/>
      <c r="AP563" s="28"/>
      <c r="AQ563" s="28"/>
      <c r="AR563" s="28"/>
      <c r="AS563" s="28"/>
      <c r="AT563" s="28"/>
      <c r="AU563" s="28"/>
      <c r="AV563" s="28"/>
      <c r="AW563" s="28"/>
      <c r="AX563" s="28"/>
      <c r="AY563" s="28"/>
      <c r="AZ563" s="28"/>
      <c r="BA563" s="28"/>
      <c r="BB563" s="28"/>
      <c r="BC563" s="28"/>
      <c r="BD563" s="28"/>
      <c r="BE563" s="28"/>
      <c r="BF563" s="28"/>
      <c r="BG563" s="28"/>
      <c r="BH563" s="28"/>
      <c r="BI563" s="28"/>
      <c r="BJ563" s="28"/>
      <c r="BK563" s="28"/>
      <c r="BL563" s="28"/>
      <c r="BM563" s="28"/>
      <c r="BN563" s="28"/>
      <c r="BO563" s="28"/>
      <c r="BP563" s="28"/>
      <c r="BQ563" s="28"/>
      <c r="BR563" s="28"/>
      <c r="BS563" s="28"/>
      <c r="BT563" s="28"/>
      <c r="BU563" s="28"/>
      <c r="BV563" s="28"/>
      <c r="BW563" s="28"/>
      <c r="BX563" s="28"/>
      <c r="BY563" s="28"/>
      <c r="BZ563" s="28"/>
      <c r="CA563" s="28"/>
      <c r="CB563" s="28"/>
    </row>
    <row r="564" spans="1:80" hidden="1" x14ac:dyDescent="0.25">
      <c r="A564" s="31" t="s">
        <v>980</v>
      </c>
      <c r="B564" s="39" t="s">
        <v>979</v>
      </c>
      <c r="C564" s="30" t="s">
        <v>126</v>
      </c>
      <c r="D564" s="30" t="s">
        <v>78</v>
      </c>
      <c r="E564" s="20" t="s">
        <v>1997</v>
      </c>
      <c r="F564" s="26" t="s">
        <v>2027</v>
      </c>
      <c r="G564" s="30"/>
      <c r="H564" s="30"/>
      <c r="I564" s="29" t="e">
        <f>VLOOKUP(B564,#REF!,2,FALSE)</f>
        <v>#REF!</v>
      </c>
      <c r="J564" s="29"/>
      <c r="K564" s="29"/>
      <c r="L564" s="29"/>
      <c r="M564" s="29"/>
      <c r="N564" s="29"/>
      <c r="O564" s="29"/>
      <c r="P564" s="29"/>
      <c r="Q564" s="29"/>
      <c r="R564" s="29"/>
      <c r="S564" s="29"/>
      <c r="T564" s="29"/>
      <c r="U564" s="29"/>
      <c r="V564" s="29"/>
      <c r="W564" s="29"/>
      <c r="X564" s="29"/>
      <c r="Y564" s="29"/>
      <c r="Z564" s="29"/>
      <c r="AA564" s="29"/>
      <c r="AB564" s="29"/>
      <c r="AC564" s="29"/>
      <c r="AD564" s="29"/>
      <c r="AE564" s="29"/>
      <c r="AF564" s="29"/>
      <c r="AG564" s="29"/>
      <c r="AH564" s="29"/>
      <c r="AI564" s="29"/>
      <c r="AJ564" s="29"/>
      <c r="AK564" s="29"/>
      <c r="AL564" s="29"/>
      <c r="AM564" s="29"/>
      <c r="AN564" s="29"/>
      <c r="AO564" s="29"/>
      <c r="AP564" s="29"/>
      <c r="AQ564" s="29"/>
      <c r="AR564" s="29"/>
      <c r="AS564" s="29"/>
      <c r="AT564" s="29"/>
      <c r="AU564" s="29"/>
      <c r="AV564" s="29"/>
      <c r="AW564" s="29"/>
      <c r="AX564" s="29"/>
      <c r="AY564" s="29"/>
      <c r="AZ564" s="29"/>
      <c r="BA564" s="29"/>
      <c r="BB564" s="29"/>
      <c r="BC564" s="29"/>
      <c r="BD564" s="29"/>
      <c r="BE564" s="29"/>
      <c r="BF564" s="29"/>
      <c r="BG564" s="29"/>
      <c r="BH564" s="29"/>
      <c r="BI564" s="29"/>
      <c r="BJ564" s="29"/>
      <c r="BK564" s="29"/>
      <c r="BL564" s="29"/>
      <c r="BM564" s="29"/>
      <c r="BN564" s="29"/>
      <c r="BO564" s="29"/>
      <c r="BP564" s="29"/>
      <c r="BQ564" s="29"/>
      <c r="BR564" s="29"/>
      <c r="BS564" s="29"/>
      <c r="BT564" s="29"/>
      <c r="BU564" s="29"/>
      <c r="BV564" s="29"/>
      <c r="BW564" s="29"/>
      <c r="BX564" s="29"/>
      <c r="BY564" s="29"/>
      <c r="BZ564" s="29"/>
      <c r="CA564" s="29"/>
      <c r="CB564" s="29"/>
    </row>
    <row r="565" spans="1:80" hidden="1" x14ac:dyDescent="0.25">
      <c r="A565" s="31" t="s">
        <v>992</v>
      </c>
      <c r="B565" s="39" t="s">
        <v>991</v>
      </c>
      <c r="C565" s="30" t="s">
        <v>352</v>
      </c>
      <c r="D565" s="30" t="s">
        <v>78</v>
      </c>
      <c r="E565" s="20" t="s">
        <v>1997</v>
      </c>
      <c r="F565" s="26" t="s">
        <v>2027</v>
      </c>
      <c r="G565" s="30"/>
      <c r="H565" s="30"/>
      <c r="I565" s="29" t="e">
        <f>VLOOKUP(B565,#REF!,2,FALSE)</f>
        <v>#REF!</v>
      </c>
      <c r="J565" s="28"/>
      <c r="K565" s="28"/>
      <c r="L565" s="28"/>
      <c r="M565" s="28"/>
      <c r="N565" s="28"/>
      <c r="O565" s="28"/>
      <c r="P565" s="28"/>
      <c r="Q565" s="28"/>
      <c r="R565" s="28"/>
      <c r="S565" s="28"/>
      <c r="T565" s="28"/>
      <c r="U565" s="28"/>
      <c r="V565" s="28"/>
      <c r="W565" s="28"/>
      <c r="X565" s="28"/>
      <c r="Y565" s="28"/>
      <c r="Z565" s="28"/>
      <c r="AA565" s="28"/>
      <c r="AB565" s="28"/>
      <c r="AC565" s="28"/>
      <c r="AD565" s="28"/>
      <c r="AE565" s="28"/>
      <c r="AF565" s="28"/>
      <c r="AG565" s="28"/>
      <c r="AH565" s="28"/>
      <c r="AI565" s="28"/>
      <c r="AJ565" s="28"/>
      <c r="AK565" s="28"/>
      <c r="AL565" s="28"/>
      <c r="AM565" s="28"/>
      <c r="AN565" s="28"/>
      <c r="AO565" s="28"/>
      <c r="AP565" s="28"/>
      <c r="AQ565" s="28"/>
      <c r="AR565" s="28"/>
      <c r="AS565" s="28"/>
      <c r="AT565" s="28"/>
      <c r="AU565" s="28"/>
      <c r="AV565" s="28"/>
      <c r="AW565" s="28"/>
      <c r="AX565" s="28"/>
      <c r="AY565" s="28"/>
      <c r="AZ565" s="28"/>
      <c r="BA565" s="28"/>
      <c r="BB565" s="28"/>
      <c r="BC565" s="28"/>
      <c r="BD565" s="28"/>
      <c r="BE565" s="28"/>
      <c r="BF565" s="28"/>
      <c r="BG565" s="28"/>
      <c r="BH565" s="28"/>
      <c r="BI565" s="28"/>
      <c r="BJ565" s="28"/>
      <c r="BK565" s="28"/>
      <c r="BL565" s="28"/>
      <c r="BM565" s="28"/>
      <c r="BN565" s="28"/>
      <c r="BO565" s="28"/>
      <c r="BP565" s="28"/>
      <c r="BQ565" s="28"/>
      <c r="BR565" s="28"/>
      <c r="BS565" s="28"/>
      <c r="BT565" s="28"/>
      <c r="BU565" s="28"/>
      <c r="BV565" s="28"/>
      <c r="BW565" s="28"/>
      <c r="BX565" s="28"/>
      <c r="BY565" s="28"/>
      <c r="BZ565" s="28"/>
      <c r="CA565" s="28"/>
      <c r="CB565" s="28"/>
    </row>
    <row r="566" spans="1:80" hidden="1" x14ac:dyDescent="0.25">
      <c r="A566" s="31" t="s">
        <v>1000</v>
      </c>
      <c r="B566" s="39" t="s">
        <v>2033</v>
      </c>
      <c r="C566" s="30" t="s">
        <v>1736</v>
      </c>
      <c r="D566" s="30" t="s">
        <v>78</v>
      </c>
      <c r="E566" s="20" t="s">
        <v>1997</v>
      </c>
      <c r="F566" s="26" t="s">
        <v>2027</v>
      </c>
      <c r="G566" s="30"/>
      <c r="H566" s="30"/>
      <c r="I566" s="29" t="e">
        <f>VLOOKUP(B566,#REF!,2,FALSE)</f>
        <v>#REF!</v>
      </c>
      <c r="J566" s="28"/>
      <c r="K566" s="28"/>
      <c r="L566" s="28"/>
      <c r="M566" s="28"/>
      <c r="N566" s="28"/>
      <c r="O566" s="28"/>
      <c r="P566" s="28"/>
      <c r="Q566" s="28"/>
      <c r="R566" s="28"/>
      <c r="S566" s="28"/>
      <c r="T566" s="28"/>
      <c r="U566" s="28"/>
      <c r="V566" s="28"/>
      <c r="W566" s="28"/>
      <c r="X566" s="28"/>
      <c r="Y566" s="28"/>
      <c r="Z566" s="28"/>
      <c r="AA566" s="28"/>
      <c r="AB566" s="28"/>
      <c r="AC566" s="28"/>
      <c r="AD566" s="28"/>
      <c r="AE566" s="28"/>
      <c r="AF566" s="28"/>
      <c r="AG566" s="28"/>
      <c r="AH566" s="28"/>
      <c r="AI566" s="28"/>
      <c r="AJ566" s="28"/>
      <c r="AK566" s="28"/>
      <c r="AL566" s="28"/>
      <c r="AM566" s="28"/>
      <c r="AN566" s="28"/>
      <c r="AO566" s="28"/>
      <c r="AP566" s="28"/>
      <c r="AQ566" s="28"/>
      <c r="AR566" s="28"/>
      <c r="AS566" s="28"/>
      <c r="AT566" s="28"/>
      <c r="AU566" s="28"/>
      <c r="AV566" s="28"/>
      <c r="AW566" s="28"/>
      <c r="AX566" s="28"/>
      <c r="AY566" s="28"/>
      <c r="AZ566" s="28"/>
      <c r="BA566" s="28"/>
      <c r="BB566" s="28"/>
      <c r="BC566" s="28"/>
      <c r="BD566" s="28"/>
      <c r="BE566" s="28"/>
      <c r="BF566" s="28"/>
      <c r="BG566" s="28"/>
      <c r="BH566" s="28"/>
      <c r="BI566" s="28"/>
      <c r="BJ566" s="28"/>
      <c r="BK566" s="28"/>
      <c r="BL566" s="28"/>
      <c r="BM566" s="28"/>
      <c r="BN566" s="28"/>
      <c r="BO566" s="28"/>
      <c r="BP566" s="28"/>
      <c r="BQ566" s="28"/>
      <c r="BR566" s="28"/>
      <c r="BS566" s="28"/>
      <c r="BT566" s="28"/>
      <c r="BU566" s="28"/>
      <c r="BV566" s="28"/>
      <c r="BW566" s="28"/>
      <c r="BX566" s="28"/>
      <c r="BY566" s="28"/>
      <c r="BZ566" s="28"/>
      <c r="CA566" s="28"/>
      <c r="CB566" s="28"/>
    </row>
    <row r="567" spans="1:80" hidden="1" x14ac:dyDescent="0.25">
      <c r="A567" s="31" t="s">
        <v>1333</v>
      </c>
      <c r="B567" s="39" t="s">
        <v>2034</v>
      </c>
      <c r="C567" s="30" t="s">
        <v>2035</v>
      </c>
      <c r="D567" s="30" t="s">
        <v>78</v>
      </c>
      <c r="E567" s="20" t="s">
        <v>1997</v>
      </c>
      <c r="F567" s="26" t="s">
        <v>2027</v>
      </c>
      <c r="G567" s="30"/>
      <c r="H567" s="30"/>
      <c r="I567" s="29" t="e">
        <f>VLOOKUP(B567,#REF!,2,FALSE)</f>
        <v>#REF!</v>
      </c>
      <c r="J567" s="28"/>
      <c r="K567" s="28"/>
      <c r="L567" s="28"/>
      <c r="M567" s="28"/>
      <c r="N567" s="28"/>
      <c r="O567" s="28"/>
      <c r="P567" s="28"/>
      <c r="Q567" s="28"/>
      <c r="R567" s="28"/>
      <c r="S567" s="28"/>
      <c r="T567" s="28"/>
      <c r="U567" s="28"/>
      <c r="V567" s="28"/>
      <c r="W567" s="28"/>
      <c r="X567" s="28"/>
      <c r="Y567" s="28"/>
      <c r="Z567" s="28"/>
      <c r="AA567" s="28"/>
      <c r="AB567" s="28"/>
      <c r="AC567" s="28"/>
      <c r="AD567" s="28"/>
      <c r="AE567" s="28"/>
      <c r="AF567" s="28"/>
      <c r="AG567" s="28"/>
      <c r="AH567" s="28"/>
      <c r="AI567" s="28"/>
      <c r="AJ567" s="28"/>
      <c r="AK567" s="28"/>
      <c r="AL567" s="28"/>
      <c r="AM567" s="28"/>
      <c r="AN567" s="28"/>
      <c r="AO567" s="28"/>
      <c r="AP567" s="28"/>
      <c r="AQ567" s="28"/>
      <c r="AR567" s="28"/>
      <c r="AS567" s="28"/>
      <c r="AT567" s="28"/>
      <c r="AU567" s="28"/>
      <c r="AV567" s="28"/>
      <c r="AW567" s="28"/>
      <c r="AX567" s="28"/>
      <c r="AY567" s="28"/>
      <c r="AZ567" s="28"/>
      <c r="BA567" s="28"/>
      <c r="BB567" s="28"/>
      <c r="BC567" s="28"/>
      <c r="BD567" s="28"/>
      <c r="BE567" s="28"/>
      <c r="BF567" s="28"/>
      <c r="BG567" s="28"/>
      <c r="BH567" s="28"/>
      <c r="BI567" s="28"/>
      <c r="BJ567" s="28"/>
      <c r="BK567" s="28"/>
      <c r="BL567" s="28"/>
      <c r="BM567" s="28"/>
      <c r="BN567" s="28"/>
      <c r="BO567" s="28"/>
      <c r="BP567" s="28"/>
      <c r="BQ567" s="28"/>
      <c r="BR567" s="28"/>
      <c r="BS567" s="28"/>
      <c r="BT567" s="28"/>
      <c r="BU567" s="28"/>
      <c r="BV567" s="28"/>
      <c r="BW567" s="28"/>
      <c r="BX567" s="28"/>
      <c r="BY567" s="28"/>
      <c r="BZ567" s="28"/>
      <c r="CA567" s="28"/>
      <c r="CB567" s="28"/>
    </row>
    <row r="568" spans="1:80" hidden="1" x14ac:dyDescent="0.25">
      <c r="A568" s="31" t="s">
        <v>1015</v>
      </c>
      <c r="B568" s="39" t="s">
        <v>1014</v>
      </c>
      <c r="C568" s="30" t="s">
        <v>429</v>
      </c>
      <c r="D568" s="30" t="s">
        <v>78</v>
      </c>
      <c r="E568" s="20" t="s">
        <v>1997</v>
      </c>
      <c r="F568" s="26" t="s">
        <v>2027</v>
      </c>
      <c r="G568" s="30"/>
      <c r="H568" s="30"/>
      <c r="I568" s="29" t="e">
        <f>VLOOKUP(B568,#REF!,2,FALSE)</f>
        <v>#REF!</v>
      </c>
      <c r="J568" s="28"/>
      <c r="K568" s="28"/>
      <c r="L568" s="28"/>
      <c r="M568" s="28"/>
      <c r="N568" s="28"/>
      <c r="O568" s="28"/>
      <c r="P568" s="28"/>
      <c r="Q568" s="28"/>
      <c r="R568" s="28"/>
      <c r="S568" s="28"/>
      <c r="T568" s="28"/>
      <c r="U568" s="28"/>
      <c r="V568" s="28"/>
      <c r="W568" s="28"/>
      <c r="X568" s="28"/>
      <c r="Y568" s="28"/>
      <c r="Z568" s="28"/>
      <c r="AA568" s="28"/>
      <c r="AB568" s="28"/>
      <c r="AC568" s="28"/>
      <c r="AD568" s="28"/>
      <c r="AE568" s="28"/>
      <c r="AF568" s="28"/>
      <c r="AG568" s="28"/>
      <c r="AH568" s="28"/>
      <c r="AI568" s="28"/>
      <c r="AJ568" s="28"/>
      <c r="AK568" s="28"/>
      <c r="AL568" s="28"/>
      <c r="AM568" s="28"/>
      <c r="AN568" s="28"/>
      <c r="AO568" s="28"/>
      <c r="AP568" s="28"/>
      <c r="AQ568" s="28"/>
      <c r="AR568" s="28"/>
      <c r="AS568" s="28"/>
      <c r="AT568" s="28"/>
      <c r="AU568" s="28"/>
      <c r="AV568" s="28"/>
      <c r="AW568" s="28"/>
      <c r="AX568" s="28"/>
      <c r="AY568" s="28"/>
      <c r="AZ568" s="28"/>
      <c r="BA568" s="28"/>
      <c r="BB568" s="28"/>
      <c r="BC568" s="28"/>
      <c r="BD568" s="28"/>
      <c r="BE568" s="28"/>
      <c r="BF568" s="28"/>
      <c r="BG568" s="28"/>
      <c r="BH568" s="28"/>
      <c r="BI568" s="28"/>
      <c r="BJ568" s="28"/>
      <c r="BK568" s="28"/>
      <c r="BL568" s="28"/>
      <c r="BM568" s="28"/>
      <c r="BN568" s="28"/>
      <c r="BO568" s="28"/>
      <c r="BP568" s="28"/>
      <c r="BQ568" s="28"/>
      <c r="BR568" s="28"/>
      <c r="BS568" s="28"/>
      <c r="BT568" s="28"/>
      <c r="BU568" s="28"/>
      <c r="BV568" s="28"/>
      <c r="BW568" s="28"/>
      <c r="BX568" s="28"/>
      <c r="BY568" s="28"/>
      <c r="BZ568" s="28"/>
      <c r="CA568" s="28"/>
      <c r="CB568" s="28"/>
    </row>
    <row r="569" spans="1:80" hidden="1" x14ac:dyDescent="0.25">
      <c r="A569" s="31" t="s">
        <v>1030</v>
      </c>
      <c r="B569" s="39" t="s">
        <v>2036</v>
      </c>
      <c r="C569" s="30" t="s">
        <v>1800</v>
      </c>
      <c r="D569" s="30" t="s">
        <v>78</v>
      </c>
      <c r="E569" s="20" t="s">
        <v>1997</v>
      </c>
      <c r="F569" s="26" t="s">
        <v>2027</v>
      </c>
      <c r="G569" s="30"/>
      <c r="H569" s="30"/>
      <c r="I569" s="29" t="e">
        <f>VLOOKUP(B569,#REF!,2,FALSE)</f>
        <v>#REF!</v>
      </c>
      <c r="J569" s="28"/>
      <c r="K569" s="28"/>
      <c r="L569" s="28"/>
      <c r="M569" s="28"/>
      <c r="N569" s="28"/>
      <c r="O569" s="28"/>
      <c r="P569" s="28"/>
      <c r="Q569" s="28"/>
      <c r="R569" s="28"/>
      <c r="S569" s="28"/>
      <c r="T569" s="28"/>
      <c r="U569" s="28"/>
      <c r="V569" s="28"/>
      <c r="W569" s="28"/>
      <c r="X569" s="28"/>
      <c r="Y569" s="28"/>
      <c r="Z569" s="28"/>
      <c r="AA569" s="28"/>
      <c r="AB569" s="28"/>
      <c r="AC569" s="28"/>
      <c r="AD569" s="28"/>
      <c r="AE569" s="28"/>
      <c r="AF569" s="28"/>
      <c r="AG569" s="28"/>
      <c r="AH569" s="28"/>
      <c r="AI569" s="28"/>
      <c r="AJ569" s="28"/>
      <c r="AK569" s="28"/>
      <c r="AL569" s="28"/>
      <c r="AM569" s="28"/>
      <c r="AN569" s="28"/>
      <c r="AO569" s="28"/>
      <c r="AP569" s="28"/>
      <c r="AQ569" s="28"/>
      <c r="AR569" s="28"/>
      <c r="AS569" s="28"/>
      <c r="AT569" s="28"/>
      <c r="AU569" s="28"/>
      <c r="AV569" s="28"/>
      <c r="AW569" s="28"/>
      <c r="AX569" s="28"/>
      <c r="AY569" s="28"/>
      <c r="AZ569" s="28"/>
      <c r="BA569" s="28"/>
      <c r="BB569" s="28"/>
      <c r="BC569" s="28"/>
      <c r="BD569" s="28"/>
      <c r="BE569" s="28"/>
      <c r="BF569" s="28"/>
      <c r="BG569" s="28"/>
      <c r="BH569" s="28"/>
      <c r="BI569" s="28"/>
      <c r="BJ569" s="28"/>
      <c r="BK569" s="28"/>
      <c r="BL569" s="28"/>
      <c r="BM569" s="28"/>
      <c r="BN569" s="28"/>
      <c r="BO569" s="28"/>
      <c r="BP569" s="28"/>
      <c r="BQ569" s="28"/>
      <c r="BR569" s="28"/>
      <c r="BS569" s="28"/>
      <c r="BT569" s="28"/>
      <c r="BU569" s="28"/>
      <c r="BV569" s="28"/>
      <c r="BW569" s="28"/>
      <c r="BX569" s="28"/>
      <c r="BY569" s="28"/>
      <c r="BZ569" s="28"/>
      <c r="CA569" s="28"/>
      <c r="CB569" s="28"/>
    </row>
    <row r="570" spans="1:80" hidden="1" x14ac:dyDescent="0.25">
      <c r="A570" s="31" t="s">
        <v>1048</v>
      </c>
      <c r="B570" s="39" t="s">
        <v>1047</v>
      </c>
      <c r="C570" s="30" t="s">
        <v>163</v>
      </c>
      <c r="D570" s="30" t="s">
        <v>78</v>
      </c>
      <c r="E570" s="20" t="s">
        <v>1997</v>
      </c>
      <c r="F570" s="26" t="s">
        <v>2027</v>
      </c>
      <c r="G570" s="30"/>
      <c r="H570" s="30"/>
      <c r="I570" s="29" t="e">
        <f>VLOOKUP(B570,#REF!,2,FALSE)</f>
        <v>#REF!</v>
      </c>
      <c r="J570" s="28"/>
      <c r="K570" s="28"/>
      <c r="L570" s="28"/>
      <c r="M570" s="28"/>
      <c r="N570" s="28"/>
      <c r="O570" s="28"/>
      <c r="P570" s="28"/>
      <c r="Q570" s="28"/>
      <c r="R570" s="28"/>
      <c r="S570" s="28"/>
      <c r="T570" s="28"/>
      <c r="U570" s="28"/>
      <c r="V570" s="28"/>
      <c r="W570" s="28"/>
      <c r="X570" s="28"/>
      <c r="Y570" s="28"/>
      <c r="Z570" s="28"/>
      <c r="AA570" s="28"/>
      <c r="AB570" s="28"/>
      <c r="AC570" s="28"/>
      <c r="AD570" s="28"/>
      <c r="AE570" s="28"/>
      <c r="AF570" s="28"/>
      <c r="AG570" s="28"/>
      <c r="AH570" s="28"/>
      <c r="AI570" s="28"/>
      <c r="AJ570" s="28"/>
      <c r="AK570" s="28"/>
      <c r="AL570" s="28"/>
      <c r="AM570" s="28"/>
      <c r="AN570" s="28"/>
      <c r="AO570" s="28"/>
      <c r="AP570" s="28"/>
      <c r="AQ570" s="28"/>
      <c r="AR570" s="28"/>
      <c r="AS570" s="28"/>
      <c r="AT570" s="28"/>
      <c r="AU570" s="28"/>
      <c r="AV570" s="28"/>
      <c r="AW570" s="28"/>
      <c r="AX570" s="28"/>
      <c r="AY570" s="28"/>
      <c r="AZ570" s="28"/>
      <c r="BA570" s="28"/>
      <c r="BB570" s="28"/>
      <c r="BC570" s="28"/>
      <c r="BD570" s="28"/>
      <c r="BE570" s="28"/>
      <c r="BF570" s="28"/>
      <c r="BG570" s="28"/>
      <c r="BH570" s="28"/>
      <c r="BI570" s="28"/>
      <c r="BJ570" s="28"/>
      <c r="BK570" s="28"/>
      <c r="BL570" s="28"/>
      <c r="BM570" s="28"/>
      <c r="BN570" s="28"/>
      <c r="BO570" s="28"/>
      <c r="BP570" s="28"/>
      <c r="BQ570" s="28"/>
      <c r="BR570" s="28"/>
      <c r="BS570" s="28"/>
      <c r="BT570" s="28"/>
      <c r="BU570" s="28"/>
      <c r="BV570" s="28"/>
      <c r="BW570" s="28"/>
      <c r="BX570" s="28"/>
      <c r="BY570" s="28"/>
      <c r="BZ570" s="28"/>
      <c r="CA570" s="28"/>
      <c r="CB570" s="28"/>
    </row>
    <row r="571" spans="1:80" hidden="1" x14ac:dyDescent="0.25">
      <c r="A571" s="31" t="s">
        <v>1050</v>
      </c>
      <c r="B571" s="39" t="s">
        <v>1049</v>
      </c>
      <c r="C571" s="30" t="s">
        <v>173</v>
      </c>
      <c r="D571" s="30" t="s">
        <v>78</v>
      </c>
      <c r="E571" s="20" t="s">
        <v>1997</v>
      </c>
      <c r="F571" s="26" t="s">
        <v>2027</v>
      </c>
      <c r="G571" s="30"/>
      <c r="H571" s="30"/>
      <c r="I571" s="29" t="e">
        <f>VLOOKUP(B571,#REF!,2,FALSE)</f>
        <v>#REF!</v>
      </c>
      <c r="J571" s="28"/>
      <c r="K571" s="28"/>
      <c r="L571" s="28"/>
      <c r="M571" s="28"/>
      <c r="N571" s="28"/>
      <c r="O571" s="28"/>
      <c r="P571" s="28"/>
      <c r="Q571" s="28"/>
      <c r="R571" s="28"/>
      <c r="S571" s="28"/>
      <c r="T571" s="28"/>
      <c r="U571" s="28"/>
      <c r="V571" s="28"/>
      <c r="W571" s="28"/>
      <c r="X571" s="28"/>
      <c r="Y571" s="28"/>
      <c r="Z571" s="28"/>
      <c r="AA571" s="28"/>
      <c r="AB571" s="28"/>
      <c r="AC571" s="28"/>
      <c r="AD571" s="28"/>
      <c r="AE571" s="28"/>
      <c r="AF571" s="28"/>
      <c r="AG571" s="28"/>
      <c r="AH571" s="28"/>
      <c r="AI571" s="28"/>
      <c r="AJ571" s="28"/>
      <c r="AK571" s="28"/>
      <c r="AL571" s="28"/>
      <c r="AM571" s="28"/>
      <c r="AN571" s="28"/>
      <c r="AO571" s="28"/>
      <c r="AP571" s="28"/>
      <c r="AQ571" s="28"/>
      <c r="AR571" s="28"/>
      <c r="AS571" s="28"/>
      <c r="AT571" s="28"/>
      <c r="AU571" s="28"/>
      <c r="AV571" s="28"/>
      <c r="AW571" s="28"/>
      <c r="AX571" s="28"/>
      <c r="AY571" s="28"/>
      <c r="AZ571" s="28"/>
      <c r="BA571" s="28"/>
      <c r="BB571" s="28"/>
      <c r="BC571" s="28"/>
      <c r="BD571" s="28"/>
      <c r="BE571" s="28"/>
      <c r="BF571" s="28"/>
      <c r="BG571" s="28"/>
      <c r="BH571" s="28"/>
      <c r="BI571" s="28"/>
      <c r="BJ571" s="28"/>
      <c r="BK571" s="28"/>
      <c r="BL571" s="28"/>
      <c r="BM571" s="28"/>
      <c r="BN571" s="28"/>
      <c r="BO571" s="28"/>
      <c r="BP571" s="28"/>
      <c r="BQ571" s="28"/>
      <c r="BR571" s="28"/>
      <c r="BS571" s="28"/>
      <c r="BT571" s="28"/>
      <c r="BU571" s="28"/>
      <c r="BV571" s="28"/>
      <c r="BW571" s="28"/>
      <c r="BX571" s="28"/>
      <c r="BY571" s="28"/>
      <c r="BZ571" s="28"/>
      <c r="CA571" s="28"/>
      <c r="CB571" s="28"/>
    </row>
    <row r="572" spans="1:80" hidden="1" x14ac:dyDescent="0.25">
      <c r="A572" s="31" t="s">
        <v>1056</v>
      </c>
      <c r="B572" s="39" t="s">
        <v>2037</v>
      </c>
      <c r="C572" s="30" t="s">
        <v>2038</v>
      </c>
      <c r="D572" s="30" t="s">
        <v>78</v>
      </c>
      <c r="E572" s="20" t="s">
        <v>1997</v>
      </c>
      <c r="F572" s="26" t="s">
        <v>2027</v>
      </c>
      <c r="G572" s="30"/>
      <c r="H572" s="30"/>
      <c r="I572" s="29" t="e">
        <f>VLOOKUP(B572,#REF!,2,FALSE)</f>
        <v>#REF!</v>
      </c>
      <c r="J572" s="28"/>
      <c r="K572" s="28"/>
      <c r="L572" s="28"/>
      <c r="M572" s="28"/>
      <c r="N572" s="28"/>
      <c r="O572" s="28"/>
      <c r="P572" s="28"/>
      <c r="Q572" s="28"/>
      <c r="R572" s="28"/>
      <c r="S572" s="28"/>
      <c r="T572" s="28"/>
      <c r="U572" s="28"/>
      <c r="V572" s="28"/>
      <c r="W572" s="28"/>
      <c r="X572" s="28"/>
      <c r="Y572" s="28"/>
      <c r="Z572" s="28"/>
      <c r="AA572" s="28"/>
      <c r="AB572" s="28"/>
      <c r="AC572" s="28"/>
      <c r="AD572" s="28"/>
      <c r="AE572" s="28"/>
      <c r="AF572" s="28"/>
      <c r="AG572" s="28"/>
      <c r="AH572" s="28"/>
      <c r="AI572" s="28"/>
      <c r="AJ572" s="28"/>
      <c r="AK572" s="28"/>
      <c r="AL572" s="28"/>
      <c r="AM572" s="28"/>
      <c r="AN572" s="28"/>
      <c r="AO572" s="28"/>
      <c r="AP572" s="28"/>
      <c r="AQ572" s="28"/>
      <c r="AR572" s="28"/>
      <c r="AS572" s="28"/>
      <c r="AT572" s="28"/>
      <c r="AU572" s="28"/>
      <c r="AV572" s="28"/>
      <c r="AW572" s="28"/>
      <c r="AX572" s="28"/>
      <c r="AY572" s="28"/>
      <c r="AZ572" s="28"/>
      <c r="BA572" s="28"/>
      <c r="BB572" s="28"/>
      <c r="BC572" s="28"/>
      <c r="BD572" s="28"/>
      <c r="BE572" s="28"/>
      <c r="BF572" s="28"/>
      <c r="BG572" s="28"/>
      <c r="BH572" s="28"/>
      <c r="BI572" s="28"/>
      <c r="BJ572" s="28"/>
      <c r="BK572" s="28"/>
      <c r="BL572" s="28"/>
      <c r="BM572" s="28"/>
      <c r="BN572" s="28"/>
      <c r="BO572" s="28"/>
      <c r="BP572" s="28"/>
      <c r="BQ572" s="28"/>
      <c r="BR572" s="28"/>
      <c r="BS572" s="28"/>
      <c r="BT572" s="28"/>
      <c r="BU572" s="28"/>
      <c r="BV572" s="28"/>
      <c r="BW572" s="28"/>
      <c r="BX572" s="28"/>
      <c r="BY572" s="28"/>
      <c r="BZ572" s="28"/>
      <c r="CA572" s="28"/>
      <c r="CB572" s="28"/>
    </row>
    <row r="573" spans="1:80" hidden="1" x14ac:dyDescent="0.25">
      <c r="A573" s="31" t="s">
        <v>1059</v>
      </c>
      <c r="B573" s="39" t="s">
        <v>2039</v>
      </c>
      <c r="C573" s="30" t="s">
        <v>1746</v>
      </c>
      <c r="D573" s="30" t="s">
        <v>78</v>
      </c>
      <c r="E573" s="20" t="s">
        <v>1997</v>
      </c>
      <c r="F573" s="26" t="s">
        <v>2027</v>
      </c>
      <c r="G573" s="30"/>
      <c r="H573" s="30"/>
      <c r="I573" s="29" t="e">
        <f>VLOOKUP(B573,#REF!,2,FALSE)</f>
        <v>#REF!</v>
      </c>
      <c r="J573" s="28"/>
      <c r="K573" s="28"/>
      <c r="L573" s="28"/>
      <c r="M573" s="28"/>
      <c r="N573" s="28"/>
      <c r="O573" s="28"/>
      <c r="P573" s="28"/>
      <c r="Q573" s="28"/>
      <c r="R573" s="28"/>
      <c r="S573" s="28"/>
      <c r="T573" s="28"/>
      <c r="U573" s="28"/>
      <c r="V573" s="28"/>
      <c r="W573" s="28"/>
      <c r="X573" s="28"/>
      <c r="Y573" s="28"/>
      <c r="Z573" s="28"/>
      <c r="AA573" s="28"/>
      <c r="AB573" s="28"/>
      <c r="AC573" s="28"/>
      <c r="AD573" s="28"/>
      <c r="AE573" s="28"/>
      <c r="AF573" s="28"/>
      <c r="AG573" s="28"/>
      <c r="AH573" s="28"/>
      <c r="AI573" s="28"/>
      <c r="AJ573" s="28"/>
      <c r="AK573" s="28"/>
      <c r="AL573" s="28"/>
      <c r="AM573" s="28"/>
      <c r="AN573" s="28"/>
      <c r="AO573" s="28"/>
      <c r="AP573" s="28"/>
      <c r="AQ573" s="28"/>
      <c r="AR573" s="28"/>
      <c r="AS573" s="28"/>
      <c r="AT573" s="28"/>
      <c r="AU573" s="28"/>
      <c r="AV573" s="28"/>
      <c r="AW573" s="28"/>
      <c r="AX573" s="28"/>
      <c r="AY573" s="28"/>
      <c r="AZ573" s="28"/>
      <c r="BA573" s="28"/>
      <c r="BB573" s="28"/>
      <c r="BC573" s="28"/>
      <c r="BD573" s="28"/>
      <c r="BE573" s="28"/>
      <c r="BF573" s="28"/>
      <c r="BG573" s="28"/>
      <c r="BH573" s="28"/>
      <c r="BI573" s="28"/>
      <c r="BJ573" s="28"/>
      <c r="BK573" s="28"/>
      <c r="BL573" s="28"/>
      <c r="BM573" s="28"/>
      <c r="BN573" s="28"/>
      <c r="BO573" s="28"/>
      <c r="BP573" s="28"/>
      <c r="BQ573" s="28"/>
      <c r="BR573" s="28"/>
      <c r="BS573" s="28"/>
      <c r="BT573" s="28"/>
      <c r="BU573" s="28"/>
      <c r="BV573" s="28"/>
      <c r="BW573" s="28"/>
      <c r="BX573" s="28"/>
      <c r="BY573" s="28"/>
      <c r="BZ573" s="28"/>
      <c r="CA573" s="28"/>
      <c r="CB573" s="28"/>
    </row>
    <row r="574" spans="1:80" hidden="1" x14ac:dyDescent="0.25">
      <c r="A574" s="31" t="s">
        <v>1081</v>
      </c>
      <c r="B574" s="39" t="s">
        <v>1080</v>
      </c>
      <c r="C574" s="30" t="s">
        <v>107</v>
      </c>
      <c r="D574" s="30" t="s">
        <v>78</v>
      </c>
      <c r="E574" s="20" t="s">
        <v>1997</v>
      </c>
      <c r="F574" s="26" t="s">
        <v>2027</v>
      </c>
      <c r="G574" s="30"/>
      <c r="H574" s="30"/>
      <c r="I574" s="29" t="e">
        <f>VLOOKUP(B574,#REF!,2,FALSE)</f>
        <v>#REF!</v>
      </c>
      <c r="J574" s="28"/>
      <c r="K574" s="28"/>
      <c r="L574" s="28"/>
      <c r="M574" s="28"/>
      <c r="N574" s="28"/>
      <c r="O574" s="28"/>
      <c r="P574" s="28"/>
      <c r="Q574" s="28"/>
      <c r="R574" s="28"/>
      <c r="S574" s="28"/>
      <c r="T574" s="28"/>
      <c r="U574" s="28"/>
      <c r="V574" s="28"/>
      <c r="W574" s="28"/>
      <c r="X574" s="28"/>
      <c r="Y574" s="28"/>
      <c r="Z574" s="28"/>
      <c r="AA574" s="28"/>
      <c r="AB574" s="28"/>
      <c r="AC574" s="28"/>
      <c r="AD574" s="28"/>
      <c r="AE574" s="28"/>
      <c r="AF574" s="28"/>
      <c r="AG574" s="28"/>
      <c r="AH574" s="28"/>
      <c r="AI574" s="28"/>
      <c r="AJ574" s="28"/>
      <c r="AK574" s="28"/>
      <c r="AL574" s="28"/>
      <c r="AM574" s="28"/>
      <c r="AN574" s="28"/>
      <c r="AO574" s="28"/>
      <c r="AP574" s="28"/>
      <c r="AQ574" s="28"/>
      <c r="AR574" s="28"/>
      <c r="AS574" s="28"/>
      <c r="AT574" s="28"/>
      <c r="AU574" s="28"/>
      <c r="AV574" s="28"/>
      <c r="AW574" s="28"/>
      <c r="AX574" s="28"/>
      <c r="AY574" s="28"/>
      <c r="AZ574" s="28"/>
      <c r="BA574" s="28"/>
      <c r="BB574" s="28"/>
      <c r="BC574" s="28"/>
      <c r="BD574" s="28"/>
      <c r="BE574" s="28"/>
      <c r="BF574" s="28"/>
      <c r="BG574" s="28"/>
      <c r="BH574" s="28"/>
      <c r="BI574" s="28"/>
      <c r="BJ574" s="28"/>
      <c r="BK574" s="28"/>
      <c r="BL574" s="28"/>
      <c r="BM574" s="28"/>
      <c r="BN574" s="28"/>
      <c r="BO574" s="28"/>
      <c r="BP574" s="28"/>
      <c r="BQ574" s="28"/>
      <c r="BR574" s="28"/>
      <c r="BS574" s="28"/>
      <c r="BT574" s="28"/>
      <c r="BU574" s="28"/>
      <c r="BV574" s="28"/>
      <c r="BW574" s="28"/>
      <c r="BX574" s="28"/>
      <c r="BY574" s="28"/>
      <c r="BZ574" s="28"/>
      <c r="CA574" s="28"/>
      <c r="CB574" s="28"/>
    </row>
    <row r="575" spans="1:80" hidden="1" x14ac:dyDescent="0.25">
      <c r="A575" s="31" t="s">
        <v>1088</v>
      </c>
      <c r="B575" s="39" t="s">
        <v>1087</v>
      </c>
      <c r="C575" s="30" t="s">
        <v>292</v>
      </c>
      <c r="D575" s="30" t="s">
        <v>78</v>
      </c>
      <c r="E575" s="20" t="s">
        <v>1997</v>
      </c>
      <c r="F575" s="26" t="s">
        <v>2027</v>
      </c>
      <c r="G575" s="30"/>
      <c r="H575" s="30"/>
      <c r="I575" s="29" t="e">
        <f>VLOOKUP(B575,#REF!,2,FALSE)</f>
        <v>#REF!</v>
      </c>
      <c r="J575" s="28"/>
      <c r="K575" s="28"/>
      <c r="L575" s="28"/>
      <c r="M575" s="28"/>
      <c r="N575" s="28"/>
      <c r="O575" s="28"/>
      <c r="P575" s="28"/>
      <c r="Q575" s="28"/>
      <c r="R575" s="28"/>
      <c r="S575" s="28"/>
      <c r="T575" s="28"/>
      <c r="U575" s="28"/>
      <c r="V575" s="28"/>
      <c r="W575" s="28"/>
      <c r="X575" s="28"/>
      <c r="Y575" s="28"/>
      <c r="Z575" s="28"/>
      <c r="AA575" s="28"/>
      <c r="AB575" s="28"/>
      <c r="AC575" s="28"/>
      <c r="AD575" s="28"/>
      <c r="AE575" s="28"/>
      <c r="AF575" s="28"/>
      <c r="AG575" s="28"/>
      <c r="AH575" s="28"/>
      <c r="AI575" s="28"/>
      <c r="AJ575" s="28"/>
      <c r="AK575" s="28"/>
      <c r="AL575" s="28"/>
      <c r="AM575" s="28"/>
      <c r="AN575" s="28"/>
      <c r="AO575" s="28"/>
      <c r="AP575" s="28"/>
      <c r="AQ575" s="28"/>
      <c r="AR575" s="28"/>
      <c r="AS575" s="28"/>
      <c r="AT575" s="28"/>
      <c r="AU575" s="28"/>
      <c r="AV575" s="28"/>
      <c r="AW575" s="28"/>
      <c r="AX575" s="28"/>
      <c r="AY575" s="28"/>
      <c r="AZ575" s="28"/>
      <c r="BA575" s="28"/>
      <c r="BB575" s="28"/>
      <c r="BC575" s="28"/>
      <c r="BD575" s="28"/>
      <c r="BE575" s="28"/>
      <c r="BF575" s="28"/>
      <c r="BG575" s="28"/>
      <c r="BH575" s="28"/>
      <c r="BI575" s="28"/>
      <c r="BJ575" s="28"/>
      <c r="BK575" s="28"/>
      <c r="BL575" s="28"/>
      <c r="BM575" s="28"/>
      <c r="BN575" s="28"/>
      <c r="BO575" s="28"/>
      <c r="BP575" s="28"/>
      <c r="BQ575" s="28"/>
      <c r="BR575" s="28"/>
      <c r="BS575" s="28"/>
      <c r="BT575" s="28"/>
      <c r="BU575" s="28"/>
      <c r="BV575" s="28"/>
      <c r="BW575" s="28"/>
      <c r="BX575" s="28"/>
      <c r="BY575" s="28"/>
      <c r="BZ575" s="28"/>
      <c r="CA575" s="28"/>
      <c r="CB575" s="28"/>
    </row>
    <row r="576" spans="1:80" x14ac:dyDescent="0.25">
      <c r="A576" s="31" t="s">
        <v>2040</v>
      </c>
      <c r="B576" s="39" t="s">
        <v>2041</v>
      </c>
      <c r="C576" s="30" t="s">
        <v>27</v>
      </c>
      <c r="D576" s="30" t="s">
        <v>78</v>
      </c>
      <c r="E576" s="20" t="s">
        <v>1997</v>
      </c>
      <c r="F576" s="26" t="s">
        <v>2027</v>
      </c>
      <c r="G576" s="30"/>
      <c r="H576" s="30"/>
      <c r="I576" s="29" t="e">
        <f>VLOOKUP(B576,#REF!,2,FALSE)</f>
        <v>#REF!</v>
      </c>
      <c r="J576" s="28"/>
      <c r="K576" s="28"/>
      <c r="L576" s="28"/>
      <c r="M576" s="28"/>
      <c r="N576" s="28"/>
      <c r="O576" s="28"/>
      <c r="P576" s="28"/>
      <c r="Q576" s="28"/>
      <c r="R576" s="28"/>
      <c r="S576" s="28"/>
      <c r="T576" s="28"/>
      <c r="U576" s="28"/>
      <c r="V576" s="28"/>
      <c r="W576" s="28"/>
      <c r="X576" s="28"/>
      <c r="Y576" s="28"/>
      <c r="Z576" s="28"/>
      <c r="AA576" s="28"/>
      <c r="AB576" s="28"/>
      <c r="AC576" s="28"/>
      <c r="AD576" s="28"/>
      <c r="AE576" s="28"/>
      <c r="AF576" s="28"/>
      <c r="AG576" s="28"/>
      <c r="AH576" s="28"/>
      <c r="AI576" s="28"/>
      <c r="AJ576" s="28"/>
      <c r="AK576" s="28"/>
      <c r="AL576" s="28"/>
      <c r="AM576" s="28"/>
      <c r="AN576" s="28"/>
      <c r="AO576" s="28"/>
      <c r="AP576" s="28"/>
      <c r="AQ576" s="28"/>
      <c r="AR576" s="28"/>
      <c r="AS576" s="28"/>
      <c r="AT576" s="28"/>
      <c r="AU576" s="28"/>
      <c r="AV576" s="28"/>
      <c r="AW576" s="28"/>
      <c r="AX576" s="28"/>
      <c r="AY576" s="28"/>
      <c r="AZ576" s="28"/>
      <c r="BA576" s="28"/>
      <c r="BB576" s="28"/>
      <c r="BC576" s="28"/>
      <c r="BD576" s="28"/>
      <c r="BE576" s="28"/>
      <c r="BF576" s="28"/>
      <c r="BG576" s="28"/>
      <c r="BH576" s="28"/>
      <c r="BI576" s="28"/>
      <c r="BJ576" s="28"/>
      <c r="BK576" s="28"/>
      <c r="BL576" s="28"/>
      <c r="BM576" s="28"/>
      <c r="BN576" s="28"/>
      <c r="BO576" s="28"/>
      <c r="BP576" s="28"/>
      <c r="BQ576" s="28"/>
      <c r="BR576" s="28"/>
      <c r="BS576" s="28"/>
      <c r="BT576" s="28"/>
      <c r="BU576" s="28"/>
      <c r="BV576" s="28"/>
      <c r="BW576" s="28"/>
      <c r="BX576" s="28"/>
      <c r="BY576" s="28"/>
      <c r="BZ576" s="28"/>
      <c r="CA576" s="28"/>
      <c r="CB576" s="28"/>
    </row>
    <row r="577" spans="1:9" hidden="1" x14ac:dyDescent="0.25">
      <c r="A577" s="31" t="s">
        <v>1105</v>
      </c>
      <c r="B577" s="39" t="s">
        <v>1104</v>
      </c>
      <c r="C577" s="30" t="s">
        <v>239</v>
      </c>
      <c r="D577" s="30" t="s">
        <v>78</v>
      </c>
      <c r="E577" s="20" t="s">
        <v>1997</v>
      </c>
      <c r="F577" s="26" t="s">
        <v>2027</v>
      </c>
      <c r="G577" s="30"/>
      <c r="H577" s="30"/>
      <c r="I577" s="29" t="e">
        <f>VLOOKUP(B577,#REF!,2,FALSE)</f>
        <v>#REF!</v>
      </c>
    </row>
    <row r="578" spans="1:9" hidden="1" x14ac:dyDescent="0.25">
      <c r="A578" s="31" t="s">
        <v>1122</v>
      </c>
      <c r="B578" s="39" t="s">
        <v>1120</v>
      </c>
      <c r="C578" s="30" t="s">
        <v>1121</v>
      </c>
      <c r="D578" s="30" t="s">
        <v>78</v>
      </c>
      <c r="E578" s="20" t="s">
        <v>1997</v>
      </c>
      <c r="F578" s="26" t="s">
        <v>2027</v>
      </c>
      <c r="G578" s="30"/>
      <c r="H578" s="30"/>
      <c r="I578" s="29" t="e">
        <f>VLOOKUP(B578,#REF!,2,FALSE)</f>
        <v>#REF!</v>
      </c>
    </row>
    <row r="579" spans="1:9" hidden="1" x14ac:dyDescent="0.25">
      <c r="A579" s="31" t="s">
        <v>1130</v>
      </c>
      <c r="B579" s="39" t="s">
        <v>1129</v>
      </c>
      <c r="C579" s="30" t="s">
        <v>249</v>
      </c>
      <c r="D579" s="30" t="s">
        <v>78</v>
      </c>
      <c r="E579" s="20" t="s">
        <v>1997</v>
      </c>
      <c r="F579" s="26" t="s">
        <v>2027</v>
      </c>
      <c r="G579" s="30"/>
      <c r="H579" s="30"/>
      <c r="I579" s="29" t="e">
        <f>VLOOKUP(B579,#REF!,2,FALSE)</f>
        <v>#REF!</v>
      </c>
    </row>
    <row r="580" spans="1:9" hidden="1" x14ac:dyDescent="0.25">
      <c r="A580" s="31" t="s">
        <v>1142</v>
      </c>
      <c r="B580" s="39" t="s">
        <v>1141</v>
      </c>
      <c r="C580" s="30" t="s">
        <v>148</v>
      </c>
      <c r="D580" s="30" t="s">
        <v>78</v>
      </c>
      <c r="E580" s="20" t="s">
        <v>1997</v>
      </c>
      <c r="F580" s="26" t="s">
        <v>2027</v>
      </c>
      <c r="G580" s="30"/>
      <c r="H580" s="30"/>
      <c r="I580" s="29" t="e">
        <f>VLOOKUP(B580,#REF!,2,FALSE)</f>
        <v>#REF!</v>
      </c>
    </row>
    <row r="581" spans="1:9" hidden="1" x14ac:dyDescent="0.25">
      <c r="A581" s="31" t="s">
        <v>789</v>
      </c>
      <c r="B581" s="39" t="s">
        <v>788</v>
      </c>
      <c r="C581" s="30" t="s">
        <v>148</v>
      </c>
      <c r="D581" s="30" t="s">
        <v>10</v>
      </c>
      <c r="E581" s="20" t="s">
        <v>1997</v>
      </c>
      <c r="F581" s="26" t="s">
        <v>2042</v>
      </c>
      <c r="G581" s="30"/>
      <c r="H581" s="30"/>
      <c r="I581" s="29" t="e">
        <f>VLOOKUP(B581,#REF!,2,FALSE)</f>
        <v>#REF!</v>
      </c>
    </row>
    <row r="582" spans="1:9" hidden="1" x14ac:dyDescent="0.25">
      <c r="A582" s="31" t="s">
        <v>822</v>
      </c>
      <c r="B582" s="39" t="s">
        <v>326</v>
      </c>
      <c r="C582" s="30" t="s">
        <v>67</v>
      </c>
      <c r="D582" s="30" t="s">
        <v>52</v>
      </c>
      <c r="E582" s="20" t="s">
        <v>1997</v>
      </c>
      <c r="F582" s="26" t="s">
        <v>2042</v>
      </c>
      <c r="G582" s="30"/>
      <c r="H582" s="30"/>
      <c r="I582" s="29" t="e">
        <f>VLOOKUP(B582,#REF!,2,FALSE)</f>
        <v>#REF!</v>
      </c>
    </row>
    <row r="583" spans="1:9" hidden="1" x14ac:dyDescent="0.25">
      <c r="A583" s="31" t="s">
        <v>824</v>
      </c>
      <c r="B583" s="39" t="s">
        <v>823</v>
      </c>
      <c r="C583" s="30" t="s">
        <v>144</v>
      </c>
      <c r="D583" s="30" t="s">
        <v>52</v>
      </c>
      <c r="E583" s="20" t="s">
        <v>1997</v>
      </c>
      <c r="F583" s="26" t="s">
        <v>2042</v>
      </c>
      <c r="G583" s="30"/>
      <c r="H583" s="30"/>
      <c r="I583" s="29" t="e">
        <f>VLOOKUP(B583,#REF!,2,FALSE)</f>
        <v>#REF!</v>
      </c>
    </row>
    <row r="584" spans="1:9" hidden="1" x14ac:dyDescent="0.25">
      <c r="A584" s="31" t="s">
        <v>830</v>
      </c>
      <c r="B584" s="39" t="s">
        <v>828</v>
      </c>
      <c r="C584" s="30" t="s">
        <v>829</v>
      </c>
      <c r="D584" s="30" t="s">
        <v>52</v>
      </c>
      <c r="E584" s="20" t="s">
        <v>1997</v>
      </c>
      <c r="F584" s="26" t="s">
        <v>2042</v>
      </c>
      <c r="G584" s="30"/>
      <c r="H584" s="30"/>
      <c r="I584" s="29" t="e">
        <f>VLOOKUP(B584,#REF!,2,FALSE)</f>
        <v>#REF!</v>
      </c>
    </row>
    <row r="585" spans="1:9" hidden="1" x14ac:dyDescent="0.25">
      <c r="A585" s="31" t="s">
        <v>856</v>
      </c>
      <c r="B585" s="39" t="s">
        <v>855</v>
      </c>
      <c r="C585" s="30" t="s">
        <v>67</v>
      </c>
      <c r="D585" s="30" t="s">
        <v>52</v>
      </c>
      <c r="E585" s="20" t="s">
        <v>1997</v>
      </c>
      <c r="F585" s="26" t="s">
        <v>2042</v>
      </c>
      <c r="G585" s="30"/>
      <c r="H585" s="30"/>
      <c r="I585" s="29" t="e">
        <f>VLOOKUP(B585,#REF!,2,FALSE)</f>
        <v>#REF!</v>
      </c>
    </row>
    <row r="586" spans="1:9" hidden="1" x14ac:dyDescent="0.25">
      <c r="A586" s="33" t="s">
        <v>866</v>
      </c>
      <c r="B586" s="38" t="s">
        <v>865</v>
      </c>
      <c r="C586" s="32" t="s">
        <v>2043</v>
      </c>
      <c r="D586" s="32" t="s">
        <v>52</v>
      </c>
      <c r="E586" s="21" t="s">
        <v>1997</v>
      </c>
      <c r="F586" s="25" t="s">
        <v>2042</v>
      </c>
      <c r="G586" s="32"/>
      <c r="H586" s="32"/>
      <c r="I586" s="29" t="e">
        <f>VLOOKUP(B586,#REF!,2,FALSE)</f>
        <v>#REF!</v>
      </c>
    </row>
    <row r="587" spans="1:9" hidden="1" x14ac:dyDescent="0.25">
      <c r="A587" s="31" t="s">
        <v>870</v>
      </c>
      <c r="B587" s="39" t="s">
        <v>869</v>
      </c>
      <c r="C587" s="30" t="s">
        <v>73</v>
      </c>
      <c r="D587" s="30" t="s">
        <v>52</v>
      </c>
      <c r="E587" s="20" t="s">
        <v>1997</v>
      </c>
      <c r="F587" s="26" t="s">
        <v>2042</v>
      </c>
      <c r="G587" s="30"/>
      <c r="H587" s="30"/>
      <c r="I587" s="29" t="e">
        <f>VLOOKUP(B587,#REF!,2,FALSE)</f>
        <v>#REF!</v>
      </c>
    </row>
    <row r="588" spans="1:9" hidden="1" x14ac:dyDescent="0.25">
      <c r="A588" s="31" t="s">
        <v>874</v>
      </c>
      <c r="B588" s="39" t="s">
        <v>873</v>
      </c>
      <c r="C588" s="30" t="s">
        <v>107</v>
      </c>
      <c r="D588" s="30" t="s">
        <v>52</v>
      </c>
      <c r="E588" s="20" t="s">
        <v>1997</v>
      </c>
      <c r="F588" s="26" t="s">
        <v>2042</v>
      </c>
      <c r="G588" s="30"/>
      <c r="H588" s="30"/>
      <c r="I588" s="29" t="e">
        <f>VLOOKUP(B588,#REF!,2,FALSE)</f>
        <v>#REF!</v>
      </c>
    </row>
    <row r="589" spans="1:9" hidden="1" x14ac:dyDescent="0.25">
      <c r="A589" s="31" t="s">
        <v>893</v>
      </c>
      <c r="B589" s="39" t="s">
        <v>892</v>
      </c>
      <c r="C589" s="30" t="s">
        <v>119</v>
      </c>
      <c r="D589" s="30" t="s">
        <v>52</v>
      </c>
      <c r="E589" s="20" t="s">
        <v>1997</v>
      </c>
      <c r="F589" s="26" t="s">
        <v>2042</v>
      </c>
      <c r="G589" s="30"/>
      <c r="H589" s="30"/>
      <c r="I589" s="29" t="e">
        <f>VLOOKUP(B589,#REF!,2,FALSE)</f>
        <v>#REF!</v>
      </c>
    </row>
    <row r="590" spans="1:9" hidden="1" x14ac:dyDescent="0.25">
      <c r="A590" s="31" t="s">
        <v>897</v>
      </c>
      <c r="B590" s="39" t="s">
        <v>896</v>
      </c>
      <c r="C590" s="30" t="s">
        <v>195</v>
      </c>
      <c r="D590" s="30" t="s">
        <v>52</v>
      </c>
      <c r="E590" s="20" t="s">
        <v>1997</v>
      </c>
      <c r="F590" s="26" t="s">
        <v>2042</v>
      </c>
      <c r="G590" s="30"/>
      <c r="H590" s="30"/>
      <c r="I590" s="29" t="e">
        <f>VLOOKUP(B590,#REF!,2,FALSE)</f>
        <v>#REF!</v>
      </c>
    </row>
    <row r="591" spans="1:9" hidden="1" x14ac:dyDescent="0.25">
      <c r="A591" s="31" t="s">
        <v>905</v>
      </c>
      <c r="B591" s="39" t="s">
        <v>2044</v>
      </c>
      <c r="C591" s="30" t="s">
        <v>1794</v>
      </c>
      <c r="D591" s="30" t="s">
        <v>52</v>
      </c>
      <c r="E591" s="20" t="s">
        <v>1997</v>
      </c>
      <c r="F591" s="26" t="s">
        <v>2042</v>
      </c>
      <c r="G591" s="30"/>
      <c r="H591" s="30"/>
      <c r="I591" s="29" t="e">
        <f>VLOOKUP(B591,#REF!,2,FALSE)</f>
        <v>#REF!</v>
      </c>
    </row>
    <row r="592" spans="1:9" hidden="1" x14ac:dyDescent="0.25">
      <c r="A592" s="33" t="s">
        <v>932</v>
      </c>
      <c r="B592" s="38" t="s">
        <v>931</v>
      </c>
      <c r="C592" s="32" t="s">
        <v>590</v>
      </c>
      <c r="D592" s="32" t="s">
        <v>78</v>
      </c>
      <c r="E592" s="21" t="s">
        <v>1997</v>
      </c>
      <c r="F592" s="25" t="s">
        <v>2042</v>
      </c>
      <c r="G592" s="32"/>
      <c r="H592" s="32"/>
      <c r="I592" s="29" t="e">
        <f>VLOOKUP(B592,#REF!,2,FALSE)</f>
        <v>#REF!</v>
      </c>
    </row>
    <row r="593" spans="1:80" hidden="1" x14ac:dyDescent="0.25">
      <c r="A593" s="31" t="s">
        <v>959</v>
      </c>
      <c r="B593" s="39" t="s">
        <v>2045</v>
      </c>
      <c r="C593" s="30" t="s">
        <v>1746</v>
      </c>
      <c r="D593" s="30" t="s">
        <v>52</v>
      </c>
      <c r="E593" s="20" t="s">
        <v>1997</v>
      </c>
      <c r="F593" s="26" t="s">
        <v>2042</v>
      </c>
      <c r="G593" s="30"/>
      <c r="H593" s="30"/>
      <c r="I593" s="29" t="e">
        <f>VLOOKUP(B593,#REF!,2,FALSE)</f>
        <v>#REF!</v>
      </c>
      <c r="J593" s="28"/>
      <c r="K593" s="28"/>
      <c r="L593" s="28"/>
      <c r="M593" s="28"/>
      <c r="N593" s="28"/>
      <c r="O593" s="28"/>
      <c r="P593" s="28"/>
      <c r="Q593" s="28"/>
      <c r="R593" s="28"/>
      <c r="S593" s="28"/>
      <c r="T593" s="28"/>
      <c r="U593" s="28"/>
      <c r="V593" s="28"/>
      <c r="W593" s="28"/>
      <c r="X593" s="28"/>
      <c r="Y593" s="28"/>
      <c r="Z593" s="28"/>
      <c r="AA593" s="28"/>
      <c r="AB593" s="28"/>
      <c r="AC593" s="28"/>
      <c r="AD593" s="28"/>
      <c r="AE593" s="28"/>
      <c r="AF593" s="28"/>
      <c r="AG593" s="28"/>
      <c r="AH593" s="28"/>
      <c r="AI593" s="28"/>
      <c r="AJ593" s="28"/>
      <c r="AK593" s="28"/>
      <c r="AL593" s="28"/>
      <c r="AM593" s="28"/>
      <c r="AN593" s="28"/>
      <c r="AO593" s="28"/>
      <c r="AP593" s="28"/>
      <c r="AQ593" s="28"/>
      <c r="AR593" s="28"/>
      <c r="AS593" s="28"/>
      <c r="AT593" s="28"/>
      <c r="AU593" s="28"/>
      <c r="AV593" s="28"/>
      <c r="AW593" s="28"/>
      <c r="AX593" s="28"/>
      <c r="AY593" s="28"/>
      <c r="AZ593" s="28"/>
      <c r="BA593" s="28"/>
      <c r="BB593" s="28"/>
      <c r="BC593" s="28"/>
      <c r="BD593" s="28"/>
      <c r="BE593" s="28"/>
      <c r="BF593" s="28"/>
      <c r="BG593" s="28"/>
      <c r="BH593" s="28"/>
      <c r="BI593" s="28"/>
      <c r="BJ593" s="28"/>
      <c r="BK593" s="28"/>
      <c r="BL593" s="28"/>
      <c r="BM593" s="28"/>
      <c r="BN593" s="28"/>
      <c r="BO593" s="28"/>
      <c r="BP593" s="28"/>
      <c r="BQ593" s="28"/>
      <c r="BR593" s="28"/>
      <c r="BS593" s="28"/>
      <c r="BT593" s="28"/>
      <c r="BU593" s="28"/>
      <c r="BV593" s="28"/>
      <c r="BW593" s="28"/>
      <c r="BX593" s="28"/>
      <c r="BY593" s="28"/>
      <c r="BZ593" s="28"/>
      <c r="CA593" s="28"/>
      <c r="CB593" s="28"/>
    </row>
    <row r="594" spans="1:80" hidden="1" x14ac:dyDescent="0.25">
      <c r="A594" s="31" t="s">
        <v>982</v>
      </c>
      <c r="B594" s="39" t="s">
        <v>981</v>
      </c>
      <c r="C594" s="30" t="s">
        <v>1264</v>
      </c>
      <c r="D594" s="30" t="s">
        <v>14</v>
      </c>
      <c r="E594" s="20" t="s">
        <v>1997</v>
      </c>
      <c r="F594" s="26" t="s">
        <v>2042</v>
      </c>
      <c r="G594" s="30"/>
      <c r="H594" s="30"/>
      <c r="I594" s="29" t="e">
        <f>VLOOKUP(B594,#REF!,2,FALSE)</f>
        <v>#REF!</v>
      </c>
      <c r="J594" s="28"/>
      <c r="K594" s="28"/>
      <c r="L594" s="28"/>
      <c r="M594" s="28"/>
      <c r="N594" s="28"/>
      <c r="O594" s="28"/>
      <c r="P594" s="28"/>
      <c r="Q594" s="28"/>
      <c r="R594" s="28"/>
      <c r="S594" s="28"/>
      <c r="T594" s="28"/>
      <c r="U594" s="28"/>
      <c r="V594" s="28"/>
      <c r="W594" s="28"/>
      <c r="X594" s="28"/>
      <c r="Y594" s="28"/>
      <c r="Z594" s="28"/>
      <c r="AA594" s="28"/>
      <c r="AB594" s="28"/>
      <c r="AC594" s="28"/>
      <c r="AD594" s="28"/>
      <c r="AE594" s="28"/>
      <c r="AF594" s="28"/>
      <c r="AG594" s="28"/>
      <c r="AH594" s="28"/>
      <c r="AI594" s="28"/>
      <c r="AJ594" s="28"/>
      <c r="AK594" s="28"/>
      <c r="AL594" s="28"/>
      <c r="AM594" s="28"/>
      <c r="AN594" s="28"/>
      <c r="AO594" s="28"/>
      <c r="AP594" s="28"/>
      <c r="AQ594" s="28"/>
      <c r="AR594" s="28"/>
      <c r="AS594" s="28"/>
      <c r="AT594" s="28"/>
      <c r="AU594" s="28"/>
      <c r="AV594" s="28"/>
      <c r="AW594" s="28"/>
      <c r="AX594" s="28"/>
      <c r="AY594" s="28"/>
      <c r="AZ594" s="28"/>
      <c r="BA594" s="28"/>
      <c r="BB594" s="28"/>
      <c r="BC594" s="28"/>
      <c r="BD594" s="28"/>
      <c r="BE594" s="28"/>
      <c r="BF594" s="28"/>
      <c r="BG594" s="28"/>
      <c r="BH594" s="28"/>
      <c r="BI594" s="28"/>
      <c r="BJ594" s="28"/>
      <c r="BK594" s="28"/>
      <c r="BL594" s="28"/>
      <c r="BM594" s="28"/>
      <c r="BN594" s="28"/>
      <c r="BO594" s="28"/>
      <c r="BP594" s="28"/>
      <c r="BQ594" s="28"/>
      <c r="BR594" s="28"/>
      <c r="BS594" s="28"/>
      <c r="BT594" s="28"/>
      <c r="BU594" s="28"/>
      <c r="BV594" s="28"/>
      <c r="BW594" s="28"/>
      <c r="BX594" s="28"/>
      <c r="BY594" s="28"/>
      <c r="BZ594" s="28"/>
      <c r="CA594" s="28"/>
      <c r="CB594" s="28"/>
    </row>
    <row r="595" spans="1:80" hidden="1" x14ac:dyDescent="0.25">
      <c r="A595" s="31" t="s">
        <v>995</v>
      </c>
      <c r="B595" s="39" t="s">
        <v>2046</v>
      </c>
      <c r="C595" s="30" t="s">
        <v>2047</v>
      </c>
      <c r="D595" s="30" t="s">
        <v>52</v>
      </c>
      <c r="E595" s="20" t="s">
        <v>1997</v>
      </c>
      <c r="F595" s="26" t="s">
        <v>2042</v>
      </c>
      <c r="G595" s="30"/>
      <c r="H595" s="30"/>
      <c r="I595" s="29" t="e">
        <f>VLOOKUP(B595,#REF!,2,FALSE)</f>
        <v>#REF!</v>
      </c>
      <c r="J595" s="28"/>
      <c r="K595" s="28"/>
      <c r="L595" s="28"/>
      <c r="M595" s="28"/>
      <c r="N595" s="28"/>
      <c r="O595" s="28"/>
      <c r="P595" s="28"/>
      <c r="Q595" s="28"/>
      <c r="R595" s="28"/>
      <c r="S595" s="28"/>
      <c r="T595" s="28"/>
      <c r="U595" s="28"/>
      <c r="V595" s="28"/>
      <c r="W595" s="28"/>
      <c r="X595" s="28"/>
      <c r="Y595" s="28"/>
      <c r="Z595" s="28"/>
      <c r="AA595" s="28"/>
      <c r="AB595" s="28"/>
      <c r="AC595" s="28"/>
      <c r="AD595" s="28"/>
      <c r="AE595" s="28"/>
      <c r="AF595" s="28"/>
      <c r="AG595" s="28"/>
      <c r="AH595" s="28"/>
      <c r="AI595" s="28"/>
      <c r="AJ595" s="28"/>
      <c r="AK595" s="28"/>
      <c r="AL595" s="28"/>
      <c r="AM595" s="28"/>
      <c r="AN595" s="28"/>
      <c r="AO595" s="28"/>
      <c r="AP595" s="28"/>
      <c r="AQ595" s="28"/>
      <c r="AR595" s="28"/>
      <c r="AS595" s="28"/>
      <c r="AT595" s="28"/>
      <c r="AU595" s="28"/>
      <c r="AV595" s="28"/>
      <c r="AW595" s="28"/>
      <c r="AX595" s="28"/>
      <c r="AY595" s="28"/>
      <c r="AZ595" s="28"/>
      <c r="BA595" s="28"/>
      <c r="BB595" s="28"/>
      <c r="BC595" s="28"/>
      <c r="BD595" s="28"/>
      <c r="BE595" s="28"/>
      <c r="BF595" s="28"/>
      <c r="BG595" s="28"/>
      <c r="BH595" s="28"/>
      <c r="BI595" s="28"/>
      <c r="BJ595" s="28"/>
      <c r="BK595" s="28"/>
      <c r="BL595" s="28"/>
      <c r="BM595" s="28"/>
      <c r="BN595" s="28"/>
      <c r="BO595" s="28"/>
      <c r="BP595" s="28"/>
      <c r="BQ595" s="28"/>
      <c r="BR595" s="28"/>
      <c r="BS595" s="28"/>
      <c r="BT595" s="28"/>
      <c r="BU595" s="28"/>
      <c r="BV595" s="28"/>
      <c r="BW595" s="28"/>
      <c r="BX595" s="28"/>
      <c r="BY595" s="28"/>
      <c r="BZ595" s="28"/>
      <c r="CA595" s="28"/>
      <c r="CB595" s="28"/>
    </row>
    <row r="596" spans="1:80" hidden="1" x14ac:dyDescent="0.25">
      <c r="A596" s="31" t="s">
        <v>998</v>
      </c>
      <c r="B596" s="39" t="s">
        <v>996</v>
      </c>
      <c r="C596" s="30" t="s">
        <v>997</v>
      </c>
      <c r="D596" s="30" t="s">
        <v>52</v>
      </c>
      <c r="E596" s="20" t="s">
        <v>1997</v>
      </c>
      <c r="F596" s="26" t="s">
        <v>2042</v>
      </c>
      <c r="G596" s="30"/>
      <c r="H596" s="30"/>
      <c r="I596" s="29" t="e">
        <f>VLOOKUP(B596,#REF!,2,FALSE)</f>
        <v>#REF!</v>
      </c>
      <c r="J596" s="28"/>
      <c r="K596" s="28"/>
      <c r="L596" s="28"/>
      <c r="M596" s="28"/>
      <c r="N596" s="28"/>
      <c r="O596" s="28"/>
      <c r="P596" s="28"/>
      <c r="Q596" s="28"/>
      <c r="R596" s="28"/>
      <c r="S596" s="28"/>
      <c r="T596" s="28"/>
      <c r="U596" s="28"/>
      <c r="V596" s="28"/>
      <c r="W596" s="28"/>
      <c r="X596" s="28"/>
      <c r="Y596" s="28"/>
      <c r="Z596" s="28"/>
      <c r="AA596" s="28"/>
      <c r="AB596" s="28"/>
      <c r="AC596" s="28"/>
      <c r="AD596" s="28"/>
      <c r="AE596" s="28"/>
      <c r="AF596" s="28"/>
      <c r="AG596" s="28"/>
      <c r="AH596" s="28"/>
      <c r="AI596" s="28"/>
      <c r="AJ596" s="28"/>
      <c r="AK596" s="28"/>
      <c r="AL596" s="28"/>
      <c r="AM596" s="28"/>
      <c r="AN596" s="28"/>
      <c r="AO596" s="28"/>
      <c r="AP596" s="28"/>
      <c r="AQ596" s="28"/>
      <c r="AR596" s="28"/>
      <c r="AS596" s="28"/>
      <c r="AT596" s="28"/>
      <c r="AU596" s="28"/>
      <c r="AV596" s="28"/>
      <c r="AW596" s="28"/>
      <c r="AX596" s="28"/>
      <c r="AY596" s="28"/>
      <c r="AZ596" s="28"/>
      <c r="BA596" s="28"/>
      <c r="BB596" s="28"/>
      <c r="BC596" s="28"/>
      <c r="BD596" s="28"/>
      <c r="BE596" s="28"/>
      <c r="BF596" s="28"/>
      <c r="BG596" s="28"/>
      <c r="BH596" s="28"/>
      <c r="BI596" s="28"/>
      <c r="BJ596" s="28"/>
      <c r="BK596" s="28"/>
      <c r="BL596" s="28"/>
      <c r="BM596" s="28"/>
      <c r="BN596" s="28"/>
      <c r="BO596" s="28"/>
      <c r="BP596" s="28"/>
      <c r="BQ596" s="28"/>
      <c r="BR596" s="28"/>
      <c r="BS596" s="28"/>
      <c r="BT596" s="28"/>
      <c r="BU596" s="28"/>
      <c r="BV596" s="28"/>
      <c r="BW596" s="28"/>
      <c r="BX596" s="28"/>
      <c r="BY596" s="28"/>
      <c r="BZ596" s="28"/>
      <c r="CA596" s="28"/>
      <c r="CB596" s="28"/>
    </row>
    <row r="597" spans="1:80" hidden="1" x14ac:dyDescent="0.25">
      <c r="A597" s="31" t="s">
        <v>1036</v>
      </c>
      <c r="B597" s="39" t="s">
        <v>1035</v>
      </c>
      <c r="C597" s="30" t="s">
        <v>412</v>
      </c>
      <c r="D597" s="30" t="s">
        <v>52</v>
      </c>
      <c r="E597" s="20" t="s">
        <v>1997</v>
      </c>
      <c r="F597" s="26" t="s">
        <v>2042</v>
      </c>
      <c r="G597" s="30"/>
      <c r="H597" s="30"/>
      <c r="I597" s="29" t="e">
        <f>VLOOKUP(B597,#REF!,2,FALSE)</f>
        <v>#REF!</v>
      </c>
      <c r="J597" s="28"/>
      <c r="K597" s="28"/>
      <c r="L597" s="28"/>
      <c r="M597" s="28"/>
      <c r="N597" s="28"/>
      <c r="O597" s="28"/>
      <c r="P597" s="28"/>
      <c r="Q597" s="28"/>
      <c r="R597" s="28"/>
      <c r="S597" s="28"/>
      <c r="T597" s="28"/>
      <c r="U597" s="28"/>
      <c r="V597" s="28"/>
      <c r="W597" s="28"/>
      <c r="X597" s="28"/>
      <c r="Y597" s="28"/>
      <c r="Z597" s="28"/>
      <c r="AA597" s="28"/>
      <c r="AB597" s="28"/>
      <c r="AC597" s="28"/>
      <c r="AD597" s="28"/>
      <c r="AE597" s="28"/>
      <c r="AF597" s="28"/>
      <c r="AG597" s="28"/>
      <c r="AH597" s="28"/>
      <c r="AI597" s="28"/>
      <c r="AJ597" s="28"/>
      <c r="AK597" s="28"/>
      <c r="AL597" s="28"/>
      <c r="AM597" s="28"/>
      <c r="AN597" s="28"/>
      <c r="AO597" s="28"/>
      <c r="AP597" s="28"/>
      <c r="AQ597" s="28"/>
      <c r="AR597" s="28"/>
      <c r="AS597" s="28"/>
      <c r="AT597" s="28"/>
      <c r="AU597" s="28"/>
      <c r="AV597" s="28"/>
      <c r="AW597" s="28"/>
      <c r="AX597" s="28"/>
      <c r="AY597" s="28"/>
      <c r="AZ597" s="28"/>
      <c r="BA597" s="28"/>
      <c r="BB597" s="28"/>
      <c r="BC597" s="28"/>
      <c r="BD597" s="28"/>
      <c r="BE597" s="28"/>
      <c r="BF597" s="28"/>
      <c r="BG597" s="28"/>
      <c r="BH597" s="28"/>
      <c r="BI597" s="28"/>
      <c r="BJ597" s="28"/>
      <c r="BK597" s="28"/>
      <c r="BL597" s="28"/>
      <c r="BM597" s="28"/>
      <c r="BN597" s="28"/>
      <c r="BO597" s="28"/>
      <c r="BP597" s="28"/>
      <c r="BQ597" s="28"/>
      <c r="BR597" s="28"/>
      <c r="BS597" s="28"/>
      <c r="BT597" s="28"/>
      <c r="BU597" s="28"/>
      <c r="BV597" s="28"/>
      <c r="BW597" s="28"/>
      <c r="BX597" s="28"/>
      <c r="BY597" s="28"/>
      <c r="BZ597" s="28"/>
      <c r="CA597" s="28"/>
      <c r="CB597" s="28"/>
    </row>
    <row r="598" spans="1:80" hidden="1" x14ac:dyDescent="0.25">
      <c r="A598" s="31" t="s">
        <v>1053</v>
      </c>
      <c r="B598" s="39" t="s">
        <v>2048</v>
      </c>
      <c r="C598" s="30" t="s">
        <v>2049</v>
      </c>
      <c r="D598" s="30" t="s">
        <v>52</v>
      </c>
      <c r="E598" s="20" t="s">
        <v>1997</v>
      </c>
      <c r="F598" s="26" t="s">
        <v>2042</v>
      </c>
      <c r="G598" s="30"/>
      <c r="H598" s="30"/>
      <c r="I598" s="29" t="e">
        <f>VLOOKUP(B598,#REF!,2,FALSE)</f>
        <v>#REF!</v>
      </c>
      <c r="J598" s="28"/>
      <c r="K598" s="28"/>
      <c r="L598" s="28"/>
      <c r="M598" s="28"/>
      <c r="N598" s="28"/>
      <c r="O598" s="28"/>
      <c r="P598" s="28"/>
      <c r="Q598" s="28"/>
      <c r="R598" s="28"/>
      <c r="S598" s="28"/>
      <c r="T598" s="28"/>
      <c r="U598" s="28"/>
      <c r="V598" s="28"/>
      <c r="W598" s="28"/>
      <c r="X598" s="28"/>
      <c r="Y598" s="28"/>
      <c r="Z598" s="28"/>
      <c r="AA598" s="28"/>
      <c r="AB598" s="28"/>
      <c r="AC598" s="28"/>
      <c r="AD598" s="28"/>
      <c r="AE598" s="28"/>
      <c r="AF598" s="28"/>
      <c r="AG598" s="28"/>
      <c r="AH598" s="28"/>
      <c r="AI598" s="28"/>
      <c r="AJ598" s="28"/>
      <c r="AK598" s="28"/>
      <c r="AL598" s="28"/>
      <c r="AM598" s="28"/>
      <c r="AN598" s="28"/>
      <c r="AO598" s="28"/>
      <c r="AP598" s="28"/>
      <c r="AQ598" s="28"/>
      <c r="AR598" s="28"/>
      <c r="AS598" s="28"/>
      <c r="AT598" s="28"/>
      <c r="AU598" s="28"/>
      <c r="AV598" s="28"/>
      <c r="AW598" s="28"/>
      <c r="AX598" s="28"/>
      <c r="AY598" s="28"/>
      <c r="AZ598" s="28"/>
      <c r="BA598" s="28"/>
      <c r="BB598" s="28"/>
      <c r="BC598" s="28"/>
      <c r="BD598" s="28"/>
      <c r="BE598" s="28"/>
      <c r="BF598" s="28"/>
      <c r="BG598" s="28"/>
      <c r="BH598" s="28"/>
      <c r="BI598" s="28"/>
      <c r="BJ598" s="28"/>
      <c r="BK598" s="28"/>
      <c r="BL598" s="28"/>
      <c r="BM598" s="28"/>
      <c r="BN598" s="28"/>
      <c r="BO598" s="28"/>
      <c r="BP598" s="28"/>
      <c r="BQ598" s="28"/>
      <c r="BR598" s="28"/>
      <c r="BS598" s="28"/>
      <c r="BT598" s="28"/>
      <c r="BU598" s="28"/>
      <c r="BV598" s="28"/>
      <c r="BW598" s="28"/>
      <c r="BX598" s="28"/>
      <c r="BY598" s="28"/>
      <c r="BZ598" s="28"/>
      <c r="CA598" s="28"/>
      <c r="CB598" s="28"/>
    </row>
    <row r="599" spans="1:80" hidden="1" x14ac:dyDescent="0.25">
      <c r="A599" s="31" t="s">
        <v>1057</v>
      </c>
      <c r="B599" s="39" t="s">
        <v>644</v>
      </c>
      <c r="C599" s="30" t="s">
        <v>33</v>
      </c>
      <c r="D599" s="30" t="s">
        <v>52</v>
      </c>
      <c r="E599" s="20" t="s">
        <v>1997</v>
      </c>
      <c r="F599" s="26" t="s">
        <v>2042</v>
      </c>
      <c r="G599" s="30"/>
      <c r="H599" s="30"/>
      <c r="I599" s="29" t="e">
        <f>VLOOKUP(B599,#REF!,2,FALSE)</f>
        <v>#REF!</v>
      </c>
      <c r="J599" s="28"/>
      <c r="K599" s="28"/>
      <c r="L599" s="28"/>
      <c r="M599" s="28"/>
      <c r="N599" s="28"/>
      <c r="O599" s="28"/>
      <c r="P599" s="28"/>
      <c r="Q599" s="28"/>
      <c r="R599" s="28"/>
      <c r="S599" s="28"/>
      <c r="T599" s="28"/>
      <c r="U599" s="28"/>
      <c r="V599" s="28"/>
      <c r="W599" s="28"/>
      <c r="X599" s="28"/>
      <c r="Y599" s="28"/>
      <c r="Z599" s="28"/>
      <c r="AA599" s="28"/>
      <c r="AB599" s="28"/>
      <c r="AC599" s="28"/>
      <c r="AD599" s="28"/>
      <c r="AE599" s="28"/>
      <c r="AF599" s="28"/>
      <c r="AG599" s="28"/>
      <c r="AH599" s="28"/>
      <c r="AI599" s="28"/>
      <c r="AJ599" s="28"/>
      <c r="AK599" s="28"/>
      <c r="AL599" s="28"/>
      <c r="AM599" s="28"/>
      <c r="AN599" s="28"/>
      <c r="AO599" s="28"/>
      <c r="AP599" s="28"/>
      <c r="AQ599" s="28"/>
      <c r="AR599" s="28"/>
      <c r="AS599" s="28"/>
      <c r="AT599" s="28"/>
      <c r="AU599" s="28"/>
      <c r="AV599" s="28"/>
      <c r="AW599" s="28"/>
      <c r="AX599" s="28"/>
      <c r="AY599" s="28"/>
      <c r="AZ599" s="28"/>
      <c r="BA599" s="28"/>
      <c r="BB599" s="28"/>
      <c r="BC599" s="28"/>
      <c r="BD599" s="28"/>
      <c r="BE599" s="28"/>
      <c r="BF599" s="28"/>
      <c r="BG599" s="28"/>
      <c r="BH599" s="28"/>
      <c r="BI599" s="28"/>
      <c r="BJ599" s="28"/>
      <c r="BK599" s="28"/>
      <c r="BL599" s="28"/>
      <c r="BM599" s="28"/>
      <c r="BN599" s="28"/>
      <c r="BO599" s="28"/>
      <c r="BP599" s="28"/>
      <c r="BQ599" s="28"/>
      <c r="BR599" s="28"/>
      <c r="BS599" s="28"/>
      <c r="BT599" s="28"/>
      <c r="BU599" s="28"/>
      <c r="BV599" s="28"/>
      <c r="BW599" s="28"/>
      <c r="BX599" s="28"/>
      <c r="BY599" s="28"/>
      <c r="BZ599" s="28"/>
      <c r="CA599" s="28"/>
      <c r="CB599" s="28"/>
    </row>
    <row r="600" spans="1:80" hidden="1" x14ac:dyDescent="0.25">
      <c r="A600" s="31" t="s">
        <v>1144</v>
      </c>
      <c r="B600" s="39" t="s">
        <v>1143</v>
      </c>
      <c r="C600" s="30" t="s">
        <v>33</v>
      </c>
      <c r="D600" s="30" t="s">
        <v>52</v>
      </c>
      <c r="E600" s="20" t="s">
        <v>1997</v>
      </c>
      <c r="F600" s="26" t="s">
        <v>2042</v>
      </c>
      <c r="G600" s="30"/>
      <c r="H600" s="30"/>
      <c r="I600" s="29" t="e">
        <f>VLOOKUP(B600,#REF!,2,FALSE)</f>
        <v>#REF!</v>
      </c>
      <c r="J600" s="28"/>
      <c r="K600" s="28"/>
      <c r="L600" s="28"/>
      <c r="M600" s="28"/>
      <c r="N600" s="28"/>
      <c r="O600" s="28"/>
      <c r="P600" s="28"/>
      <c r="Q600" s="28"/>
      <c r="R600" s="28"/>
      <c r="S600" s="28"/>
      <c r="T600" s="28"/>
      <c r="U600" s="28"/>
      <c r="V600" s="28"/>
      <c r="W600" s="28"/>
      <c r="X600" s="28"/>
      <c r="Y600" s="28"/>
      <c r="Z600" s="28"/>
      <c r="AA600" s="28"/>
      <c r="AB600" s="28"/>
      <c r="AC600" s="28"/>
      <c r="AD600" s="28"/>
      <c r="AE600" s="28"/>
      <c r="AF600" s="28"/>
      <c r="AG600" s="28"/>
      <c r="AH600" s="28"/>
      <c r="AI600" s="28"/>
      <c r="AJ600" s="28"/>
      <c r="AK600" s="28"/>
      <c r="AL600" s="28"/>
      <c r="AM600" s="28"/>
      <c r="AN600" s="28"/>
      <c r="AO600" s="28"/>
      <c r="AP600" s="28"/>
      <c r="AQ600" s="28"/>
      <c r="AR600" s="28"/>
      <c r="AS600" s="28"/>
      <c r="AT600" s="28"/>
      <c r="AU600" s="28"/>
      <c r="AV600" s="28"/>
      <c r="AW600" s="28"/>
      <c r="AX600" s="28"/>
      <c r="AY600" s="28"/>
      <c r="AZ600" s="28"/>
      <c r="BA600" s="28"/>
      <c r="BB600" s="28"/>
      <c r="BC600" s="28"/>
      <c r="BD600" s="28"/>
      <c r="BE600" s="28"/>
      <c r="BF600" s="28"/>
      <c r="BG600" s="28"/>
      <c r="BH600" s="28"/>
      <c r="BI600" s="28"/>
      <c r="BJ600" s="28"/>
      <c r="BK600" s="28"/>
      <c r="BL600" s="28"/>
      <c r="BM600" s="28"/>
      <c r="BN600" s="28"/>
      <c r="BO600" s="28"/>
      <c r="BP600" s="28"/>
      <c r="BQ600" s="28"/>
      <c r="BR600" s="28"/>
      <c r="BS600" s="28"/>
      <c r="BT600" s="28"/>
      <c r="BU600" s="28"/>
      <c r="BV600" s="28"/>
      <c r="BW600" s="28"/>
      <c r="BX600" s="28"/>
      <c r="BY600" s="28"/>
      <c r="BZ600" s="28"/>
      <c r="CA600" s="28"/>
      <c r="CB600" s="28"/>
    </row>
    <row r="601" spans="1:80" hidden="1" x14ac:dyDescent="0.25">
      <c r="A601" s="31" t="s">
        <v>837</v>
      </c>
      <c r="B601" s="39" t="s">
        <v>2050</v>
      </c>
      <c r="C601" s="30" t="s">
        <v>1847</v>
      </c>
      <c r="D601" s="30" t="s">
        <v>52</v>
      </c>
      <c r="E601" s="20" t="s">
        <v>1997</v>
      </c>
      <c r="F601" s="26" t="s">
        <v>2051</v>
      </c>
      <c r="G601" s="30"/>
      <c r="H601" s="30"/>
      <c r="I601" s="29" t="e">
        <f>VLOOKUP(B601,#REF!,2,FALSE)</f>
        <v>#REF!</v>
      </c>
      <c r="J601" s="28"/>
      <c r="K601" s="28"/>
      <c r="L601" s="28"/>
      <c r="M601" s="28"/>
      <c r="N601" s="28"/>
      <c r="O601" s="28"/>
      <c r="P601" s="28"/>
      <c r="Q601" s="28"/>
      <c r="R601" s="28"/>
      <c r="S601" s="28"/>
      <c r="T601" s="28"/>
      <c r="U601" s="28"/>
      <c r="V601" s="28"/>
      <c r="W601" s="28"/>
      <c r="X601" s="28"/>
      <c r="Y601" s="28"/>
      <c r="Z601" s="28"/>
      <c r="AA601" s="28"/>
      <c r="AB601" s="28"/>
      <c r="AC601" s="28"/>
      <c r="AD601" s="28"/>
      <c r="AE601" s="28"/>
      <c r="AF601" s="28"/>
      <c r="AG601" s="28"/>
      <c r="AH601" s="28"/>
      <c r="AI601" s="28"/>
      <c r="AJ601" s="28"/>
      <c r="AK601" s="28"/>
      <c r="AL601" s="28"/>
      <c r="AM601" s="28"/>
      <c r="AN601" s="28"/>
      <c r="AO601" s="28"/>
      <c r="AP601" s="28"/>
      <c r="AQ601" s="28"/>
      <c r="AR601" s="28"/>
      <c r="AS601" s="28"/>
      <c r="AT601" s="28"/>
      <c r="AU601" s="28"/>
      <c r="AV601" s="28"/>
      <c r="AW601" s="28"/>
      <c r="AX601" s="28"/>
      <c r="AY601" s="28"/>
      <c r="AZ601" s="28"/>
      <c r="BA601" s="28"/>
      <c r="BB601" s="28"/>
      <c r="BC601" s="28"/>
      <c r="BD601" s="28"/>
      <c r="BE601" s="28"/>
      <c r="BF601" s="28"/>
      <c r="BG601" s="28"/>
      <c r="BH601" s="28"/>
      <c r="BI601" s="28"/>
      <c r="BJ601" s="28"/>
      <c r="BK601" s="28"/>
      <c r="BL601" s="28"/>
      <c r="BM601" s="28"/>
      <c r="BN601" s="28"/>
      <c r="BO601" s="28"/>
      <c r="BP601" s="28"/>
      <c r="BQ601" s="28"/>
      <c r="BR601" s="28"/>
      <c r="BS601" s="28"/>
      <c r="BT601" s="28"/>
      <c r="BU601" s="28"/>
      <c r="BV601" s="28"/>
      <c r="BW601" s="28"/>
      <c r="BX601" s="28"/>
      <c r="BY601" s="28"/>
      <c r="BZ601" s="28"/>
      <c r="CA601" s="28"/>
      <c r="CB601" s="28"/>
    </row>
    <row r="602" spans="1:80" hidden="1" x14ac:dyDescent="0.25">
      <c r="A602" s="31" t="s">
        <v>888</v>
      </c>
      <c r="B602" s="39" t="s">
        <v>2052</v>
      </c>
      <c r="C602" s="30" t="s">
        <v>2053</v>
      </c>
      <c r="D602" s="30" t="s">
        <v>52</v>
      </c>
      <c r="E602" s="20" t="s">
        <v>1997</v>
      </c>
      <c r="F602" s="26" t="s">
        <v>2051</v>
      </c>
      <c r="G602" s="30"/>
      <c r="H602" s="30"/>
      <c r="I602" s="29" t="e">
        <f>VLOOKUP(B602,#REF!,2,FALSE)</f>
        <v>#REF!</v>
      </c>
      <c r="J602" s="28"/>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28"/>
      <c r="AJ602" s="28"/>
      <c r="AK602" s="28"/>
      <c r="AL602" s="28"/>
      <c r="AM602" s="28"/>
      <c r="AN602" s="28"/>
      <c r="AO602" s="28"/>
      <c r="AP602" s="28"/>
      <c r="AQ602" s="28"/>
      <c r="AR602" s="28"/>
      <c r="AS602" s="28"/>
      <c r="AT602" s="28"/>
      <c r="AU602" s="28"/>
      <c r="AV602" s="28"/>
      <c r="AW602" s="28"/>
      <c r="AX602" s="28"/>
      <c r="AY602" s="28"/>
      <c r="AZ602" s="28"/>
      <c r="BA602" s="28"/>
      <c r="BB602" s="28"/>
      <c r="BC602" s="28"/>
      <c r="BD602" s="28"/>
      <c r="BE602" s="28"/>
      <c r="BF602" s="28"/>
      <c r="BG602" s="28"/>
      <c r="BH602" s="28"/>
      <c r="BI602" s="28"/>
      <c r="BJ602" s="28"/>
      <c r="BK602" s="28"/>
      <c r="BL602" s="28"/>
      <c r="BM602" s="28"/>
      <c r="BN602" s="28"/>
      <c r="BO602" s="28"/>
      <c r="BP602" s="28"/>
      <c r="BQ602" s="28"/>
      <c r="BR602" s="28"/>
      <c r="BS602" s="28"/>
      <c r="BT602" s="28"/>
      <c r="BU602" s="28"/>
      <c r="BV602" s="28"/>
      <c r="BW602" s="28"/>
      <c r="BX602" s="28"/>
      <c r="BY602" s="28"/>
      <c r="BZ602" s="28"/>
      <c r="CA602" s="28"/>
      <c r="CB602" s="28"/>
    </row>
    <row r="603" spans="1:80" hidden="1" x14ac:dyDescent="0.25">
      <c r="A603" s="31" t="s">
        <v>903</v>
      </c>
      <c r="B603" s="39" t="s">
        <v>2054</v>
      </c>
      <c r="C603" s="30" t="s">
        <v>1670</v>
      </c>
      <c r="D603" s="30" t="s">
        <v>52</v>
      </c>
      <c r="E603" s="20" t="s">
        <v>1997</v>
      </c>
      <c r="F603" s="26" t="s">
        <v>2051</v>
      </c>
      <c r="G603" s="30"/>
      <c r="H603" s="30"/>
      <c r="I603" s="29" t="e">
        <f>VLOOKUP(B603,#REF!,2,FALSE)</f>
        <v>#REF!</v>
      </c>
      <c r="J603" s="28"/>
      <c r="K603" s="28"/>
      <c r="L603" s="28"/>
      <c r="M603" s="28"/>
      <c r="N603" s="28"/>
      <c r="O603" s="28"/>
      <c r="P603" s="28"/>
      <c r="Q603" s="28"/>
      <c r="R603" s="28"/>
      <c r="S603" s="28"/>
      <c r="T603" s="28"/>
      <c r="U603" s="28"/>
      <c r="V603" s="28"/>
      <c r="W603" s="28"/>
      <c r="X603" s="28"/>
      <c r="Y603" s="28"/>
      <c r="Z603" s="28"/>
      <c r="AA603" s="28"/>
      <c r="AB603" s="28"/>
      <c r="AC603" s="28"/>
      <c r="AD603" s="28"/>
      <c r="AE603" s="28"/>
      <c r="AF603" s="28"/>
      <c r="AG603" s="28"/>
      <c r="AH603" s="28"/>
      <c r="AI603" s="28"/>
      <c r="AJ603" s="28"/>
      <c r="AK603" s="28"/>
      <c r="AL603" s="28"/>
      <c r="AM603" s="28"/>
      <c r="AN603" s="28"/>
      <c r="AO603" s="28"/>
      <c r="AP603" s="28"/>
      <c r="AQ603" s="28"/>
      <c r="AR603" s="28"/>
      <c r="AS603" s="28"/>
      <c r="AT603" s="28"/>
      <c r="AU603" s="28"/>
      <c r="AV603" s="28"/>
      <c r="AW603" s="28"/>
      <c r="AX603" s="28"/>
      <c r="AY603" s="28"/>
      <c r="AZ603" s="28"/>
      <c r="BA603" s="28"/>
      <c r="BB603" s="28"/>
      <c r="BC603" s="28"/>
      <c r="BD603" s="28"/>
      <c r="BE603" s="28"/>
      <c r="BF603" s="28"/>
      <c r="BG603" s="28"/>
      <c r="BH603" s="28"/>
      <c r="BI603" s="28"/>
      <c r="BJ603" s="28"/>
      <c r="BK603" s="28"/>
      <c r="BL603" s="28"/>
      <c r="BM603" s="28"/>
      <c r="BN603" s="28"/>
      <c r="BO603" s="28"/>
      <c r="BP603" s="28"/>
      <c r="BQ603" s="28"/>
      <c r="BR603" s="28"/>
      <c r="BS603" s="28"/>
      <c r="BT603" s="28"/>
      <c r="BU603" s="28"/>
      <c r="BV603" s="28"/>
      <c r="BW603" s="28"/>
      <c r="BX603" s="28"/>
      <c r="BY603" s="28"/>
      <c r="BZ603" s="28"/>
      <c r="CA603" s="28"/>
      <c r="CB603" s="28"/>
    </row>
    <row r="604" spans="1:80" hidden="1" x14ac:dyDescent="0.25">
      <c r="A604" s="31" t="s">
        <v>952</v>
      </c>
      <c r="B604" s="39" t="s">
        <v>2055</v>
      </c>
      <c r="C604" s="30" t="s">
        <v>2056</v>
      </c>
      <c r="D604" s="30" t="s">
        <v>14</v>
      </c>
      <c r="E604" s="20" t="s">
        <v>1997</v>
      </c>
      <c r="F604" s="26" t="s">
        <v>2051</v>
      </c>
      <c r="G604" s="30"/>
      <c r="H604" s="30"/>
      <c r="I604" s="29" t="e">
        <f>VLOOKUP(B604,#REF!,2,FALSE)</f>
        <v>#REF!</v>
      </c>
      <c r="J604" s="28"/>
      <c r="K604" s="28"/>
      <c r="L604" s="28"/>
      <c r="M604" s="28"/>
      <c r="N604" s="28"/>
      <c r="O604" s="28"/>
      <c r="P604" s="28"/>
      <c r="Q604" s="28"/>
      <c r="R604" s="28"/>
      <c r="S604" s="28"/>
      <c r="T604" s="28"/>
      <c r="U604" s="28"/>
      <c r="V604" s="28"/>
      <c r="W604" s="28"/>
      <c r="X604" s="28"/>
      <c r="Y604" s="28"/>
      <c r="Z604" s="28"/>
      <c r="AA604" s="28"/>
      <c r="AB604" s="28"/>
      <c r="AC604" s="28"/>
      <c r="AD604" s="28"/>
      <c r="AE604" s="28"/>
      <c r="AF604" s="28"/>
      <c r="AG604" s="28"/>
      <c r="AH604" s="28"/>
      <c r="AI604" s="28"/>
      <c r="AJ604" s="28"/>
      <c r="AK604" s="28"/>
      <c r="AL604" s="28"/>
      <c r="AM604" s="28"/>
      <c r="AN604" s="28"/>
      <c r="AO604" s="28"/>
      <c r="AP604" s="28"/>
      <c r="AQ604" s="28"/>
      <c r="AR604" s="28"/>
      <c r="AS604" s="28"/>
      <c r="AT604" s="28"/>
      <c r="AU604" s="28"/>
      <c r="AV604" s="28"/>
      <c r="AW604" s="28"/>
      <c r="AX604" s="28"/>
      <c r="AY604" s="28"/>
      <c r="AZ604" s="28"/>
      <c r="BA604" s="28"/>
      <c r="BB604" s="28"/>
      <c r="BC604" s="28"/>
      <c r="BD604" s="28"/>
      <c r="BE604" s="28"/>
      <c r="BF604" s="28"/>
      <c r="BG604" s="28"/>
      <c r="BH604" s="28"/>
      <c r="BI604" s="28"/>
      <c r="BJ604" s="28"/>
      <c r="BK604" s="28"/>
      <c r="BL604" s="28"/>
      <c r="BM604" s="28"/>
      <c r="BN604" s="28"/>
      <c r="BO604" s="28"/>
      <c r="BP604" s="28"/>
      <c r="BQ604" s="28"/>
      <c r="BR604" s="28"/>
      <c r="BS604" s="28"/>
      <c r="BT604" s="28"/>
      <c r="BU604" s="28"/>
      <c r="BV604" s="28"/>
      <c r="BW604" s="28"/>
      <c r="BX604" s="28"/>
      <c r="BY604" s="28"/>
      <c r="BZ604" s="28"/>
      <c r="CA604" s="28"/>
      <c r="CB604" s="28"/>
    </row>
    <row r="605" spans="1:80" hidden="1" x14ac:dyDescent="0.25">
      <c r="A605" s="31" t="s">
        <v>969</v>
      </c>
      <c r="B605" s="39" t="s">
        <v>968</v>
      </c>
      <c r="C605" s="30" t="s">
        <v>148</v>
      </c>
      <c r="D605" s="30" t="s">
        <v>52</v>
      </c>
      <c r="E605" s="20" t="s">
        <v>1997</v>
      </c>
      <c r="F605" s="26" t="s">
        <v>2051</v>
      </c>
      <c r="G605" s="30"/>
      <c r="H605" s="30"/>
      <c r="I605" s="29" t="e">
        <f>VLOOKUP(B605,#REF!,2,FALSE)</f>
        <v>#REF!</v>
      </c>
      <c r="J605" s="28"/>
      <c r="K605" s="28"/>
      <c r="L605" s="28"/>
      <c r="M605" s="28"/>
      <c r="N605" s="28"/>
      <c r="O605" s="28"/>
      <c r="P605" s="28"/>
      <c r="Q605" s="28"/>
      <c r="R605" s="28"/>
      <c r="S605" s="28"/>
      <c r="T605" s="28"/>
      <c r="U605" s="28"/>
      <c r="V605" s="28"/>
      <c r="W605" s="28"/>
      <c r="X605" s="28"/>
      <c r="Y605" s="28"/>
      <c r="Z605" s="28"/>
      <c r="AA605" s="28"/>
      <c r="AB605" s="28"/>
      <c r="AC605" s="28"/>
      <c r="AD605" s="28"/>
      <c r="AE605" s="28"/>
      <c r="AF605" s="28"/>
      <c r="AG605" s="28"/>
      <c r="AH605" s="28"/>
      <c r="AI605" s="28"/>
      <c r="AJ605" s="28"/>
      <c r="AK605" s="28"/>
      <c r="AL605" s="28"/>
      <c r="AM605" s="28"/>
      <c r="AN605" s="28"/>
      <c r="AO605" s="28"/>
      <c r="AP605" s="28"/>
      <c r="AQ605" s="28"/>
      <c r="AR605" s="28"/>
      <c r="AS605" s="28"/>
      <c r="AT605" s="28"/>
      <c r="AU605" s="28"/>
      <c r="AV605" s="28"/>
      <c r="AW605" s="28"/>
      <c r="AX605" s="28"/>
      <c r="AY605" s="28"/>
      <c r="AZ605" s="28"/>
      <c r="BA605" s="28"/>
      <c r="BB605" s="28"/>
      <c r="BC605" s="28"/>
      <c r="BD605" s="28"/>
      <c r="BE605" s="28"/>
      <c r="BF605" s="28"/>
      <c r="BG605" s="28"/>
      <c r="BH605" s="28"/>
      <c r="BI605" s="28"/>
      <c r="BJ605" s="28"/>
      <c r="BK605" s="28"/>
      <c r="BL605" s="28"/>
      <c r="BM605" s="28"/>
      <c r="BN605" s="28"/>
      <c r="BO605" s="28"/>
      <c r="BP605" s="28"/>
      <c r="BQ605" s="28"/>
      <c r="BR605" s="28"/>
      <c r="BS605" s="28"/>
      <c r="BT605" s="28"/>
      <c r="BU605" s="28"/>
      <c r="BV605" s="28"/>
      <c r="BW605" s="28"/>
      <c r="BX605" s="28"/>
      <c r="BY605" s="28"/>
      <c r="BZ605" s="28"/>
      <c r="CA605" s="28"/>
      <c r="CB605" s="28"/>
    </row>
    <row r="606" spans="1:80" hidden="1" x14ac:dyDescent="0.25">
      <c r="A606" s="31" t="s">
        <v>795</v>
      </c>
      <c r="B606" s="39" t="s">
        <v>794</v>
      </c>
      <c r="C606" s="30" t="s">
        <v>173</v>
      </c>
      <c r="D606" s="30" t="s">
        <v>10</v>
      </c>
      <c r="E606" s="20" t="s">
        <v>1997</v>
      </c>
      <c r="F606" s="26" t="s">
        <v>2051</v>
      </c>
      <c r="G606" s="30"/>
      <c r="H606" s="30"/>
      <c r="I606" s="29" t="e">
        <f>VLOOKUP(B606,#REF!,2,FALSE)</f>
        <v>#REF!</v>
      </c>
      <c r="J606" s="29"/>
      <c r="K606" s="29"/>
      <c r="L606" s="29"/>
      <c r="M606" s="29"/>
      <c r="N606" s="29"/>
      <c r="O606" s="29"/>
      <c r="P606" s="29"/>
      <c r="Q606" s="29"/>
      <c r="R606" s="29"/>
      <c r="S606" s="29"/>
      <c r="T606" s="29"/>
      <c r="U606" s="29"/>
      <c r="V606" s="29"/>
      <c r="W606" s="29"/>
      <c r="X606" s="29"/>
      <c r="Y606" s="29"/>
      <c r="Z606" s="29"/>
      <c r="AA606" s="29"/>
      <c r="AB606" s="29"/>
      <c r="AC606" s="29"/>
      <c r="AD606" s="29"/>
      <c r="AE606" s="29"/>
      <c r="AF606" s="29"/>
      <c r="AG606" s="29"/>
      <c r="AH606" s="29"/>
      <c r="AI606" s="29"/>
      <c r="AJ606" s="29"/>
      <c r="AK606" s="29"/>
      <c r="AL606" s="29"/>
      <c r="AM606" s="29"/>
      <c r="AN606" s="29"/>
      <c r="AO606" s="29"/>
      <c r="AP606" s="29"/>
      <c r="AQ606" s="29"/>
      <c r="AR606" s="29"/>
      <c r="AS606" s="29"/>
      <c r="AT606" s="29"/>
      <c r="AU606" s="29"/>
      <c r="AV606" s="29"/>
      <c r="AW606" s="29"/>
      <c r="AX606" s="29"/>
      <c r="AY606" s="29"/>
      <c r="AZ606" s="29"/>
      <c r="BA606" s="29"/>
      <c r="BB606" s="29"/>
      <c r="BC606" s="29"/>
      <c r="BD606" s="29"/>
      <c r="BE606" s="29"/>
      <c r="BF606" s="29"/>
      <c r="BG606" s="29"/>
      <c r="BH606" s="29"/>
      <c r="BI606" s="29"/>
      <c r="BJ606" s="29"/>
      <c r="BK606" s="29"/>
      <c r="BL606" s="29"/>
      <c r="BM606" s="29"/>
      <c r="BN606" s="29"/>
      <c r="BO606" s="29"/>
      <c r="BP606" s="29"/>
      <c r="BQ606" s="29"/>
      <c r="BR606" s="29"/>
      <c r="BS606" s="29"/>
      <c r="BT606" s="29"/>
      <c r="BU606" s="29"/>
      <c r="BV606" s="29"/>
      <c r="BW606" s="29"/>
      <c r="BX606" s="29"/>
      <c r="BY606" s="29"/>
      <c r="BZ606" s="29"/>
      <c r="CA606" s="29"/>
      <c r="CB606" s="29"/>
    </row>
    <row r="607" spans="1:80" x14ac:dyDescent="0.25">
      <c r="A607" s="31" t="s">
        <v>2057</v>
      </c>
      <c r="B607" s="39" t="s">
        <v>2058</v>
      </c>
      <c r="C607" s="30" t="s">
        <v>2059</v>
      </c>
      <c r="D607" s="30" t="s">
        <v>52</v>
      </c>
      <c r="E607" s="20" t="s">
        <v>1997</v>
      </c>
      <c r="F607" s="26" t="s">
        <v>2051</v>
      </c>
      <c r="G607" s="30"/>
      <c r="H607" s="30"/>
      <c r="I607" s="29" t="e">
        <f>VLOOKUP(B607,#REF!,2,FALSE)</f>
        <v>#REF!</v>
      </c>
      <c r="J607" s="28"/>
      <c r="K607" s="28"/>
      <c r="L607" s="28"/>
      <c r="M607" s="28"/>
      <c r="N607" s="28"/>
      <c r="O607" s="28"/>
      <c r="P607" s="28"/>
      <c r="Q607" s="28"/>
      <c r="R607" s="28"/>
      <c r="S607" s="28"/>
      <c r="T607" s="28"/>
      <c r="U607" s="28"/>
      <c r="V607" s="28"/>
      <c r="W607" s="28"/>
      <c r="X607" s="28"/>
      <c r="Y607" s="28"/>
      <c r="Z607" s="28"/>
      <c r="AA607" s="28"/>
      <c r="AB607" s="28"/>
      <c r="AC607" s="28"/>
      <c r="AD607" s="28"/>
      <c r="AE607" s="28"/>
      <c r="AF607" s="28"/>
      <c r="AG607" s="28"/>
      <c r="AH607" s="28"/>
      <c r="AI607" s="28"/>
      <c r="AJ607" s="28"/>
      <c r="AK607" s="28"/>
      <c r="AL607" s="28"/>
      <c r="AM607" s="28"/>
      <c r="AN607" s="28"/>
      <c r="AO607" s="28"/>
      <c r="AP607" s="28"/>
      <c r="AQ607" s="28"/>
      <c r="AR607" s="28"/>
      <c r="AS607" s="28"/>
      <c r="AT607" s="28"/>
      <c r="AU607" s="28"/>
      <c r="AV607" s="28"/>
      <c r="AW607" s="28"/>
      <c r="AX607" s="28"/>
      <c r="AY607" s="28"/>
      <c r="AZ607" s="28"/>
      <c r="BA607" s="28"/>
      <c r="BB607" s="28"/>
      <c r="BC607" s="28"/>
      <c r="BD607" s="28"/>
      <c r="BE607" s="28"/>
      <c r="BF607" s="28"/>
      <c r="BG607" s="28"/>
      <c r="BH607" s="28"/>
      <c r="BI607" s="28"/>
      <c r="BJ607" s="28"/>
      <c r="BK607" s="28"/>
      <c r="BL607" s="28"/>
      <c r="BM607" s="28"/>
      <c r="BN607" s="28"/>
      <c r="BO607" s="28"/>
      <c r="BP607" s="28"/>
      <c r="BQ607" s="28"/>
      <c r="BR607" s="28"/>
      <c r="BS607" s="28"/>
      <c r="BT607" s="28"/>
      <c r="BU607" s="28"/>
      <c r="BV607" s="28"/>
      <c r="BW607" s="28"/>
      <c r="BX607" s="28"/>
      <c r="BY607" s="28"/>
      <c r="BZ607" s="28"/>
      <c r="CA607" s="28"/>
      <c r="CB607" s="28"/>
    </row>
    <row r="608" spans="1:80" hidden="1" x14ac:dyDescent="0.25">
      <c r="A608" s="31" t="s">
        <v>1114</v>
      </c>
      <c r="B608" s="39" t="s">
        <v>1113</v>
      </c>
      <c r="C608" s="30" t="s">
        <v>148</v>
      </c>
      <c r="D608" s="30" t="s">
        <v>14</v>
      </c>
      <c r="E608" s="20" t="s">
        <v>1997</v>
      </c>
      <c r="F608" s="26" t="s">
        <v>2051</v>
      </c>
      <c r="G608" s="30"/>
      <c r="H608" s="30"/>
      <c r="I608" s="29" t="e">
        <f>VLOOKUP(B608,#REF!,2,FALSE)</f>
        <v>#REF!</v>
      </c>
      <c r="J608" s="28"/>
      <c r="K608" s="28"/>
      <c r="L608" s="28"/>
      <c r="M608" s="28"/>
      <c r="N608" s="28"/>
      <c r="O608" s="28"/>
      <c r="P608" s="28"/>
      <c r="Q608" s="28"/>
      <c r="R608" s="28"/>
      <c r="S608" s="28"/>
      <c r="T608" s="28"/>
      <c r="U608" s="28"/>
      <c r="V608" s="28"/>
      <c r="W608" s="28"/>
      <c r="X608" s="28"/>
      <c r="Y608" s="28"/>
      <c r="Z608" s="28"/>
      <c r="AA608" s="28"/>
      <c r="AB608" s="28"/>
      <c r="AC608" s="28"/>
      <c r="AD608" s="28"/>
      <c r="AE608" s="28"/>
      <c r="AF608" s="28"/>
      <c r="AG608" s="28"/>
      <c r="AH608" s="28"/>
      <c r="AI608" s="28"/>
      <c r="AJ608" s="28"/>
      <c r="AK608" s="28"/>
      <c r="AL608" s="28"/>
      <c r="AM608" s="28"/>
      <c r="AN608" s="28"/>
      <c r="AO608" s="28"/>
      <c r="AP608" s="28"/>
      <c r="AQ608" s="28"/>
      <c r="AR608" s="28"/>
      <c r="AS608" s="28"/>
      <c r="AT608" s="28"/>
      <c r="AU608" s="28"/>
      <c r="AV608" s="28"/>
      <c r="AW608" s="28"/>
      <c r="AX608" s="28"/>
      <c r="AY608" s="28"/>
      <c r="AZ608" s="28"/>
      <c r="BA608" s="28"/>
      <c r="BB608" s="28"/>
      <c r="BC608" s="28"/>
      <c r="BD608" s="28"/>
      <c r="BE608" s="28"/>
      <c r="BF608" s="28"/>
      <c r="BG608" s="28"/>
      <c r="BH608" s="28"/>
      <c r="BI608" s="28"/>
      <c r="BJ608" s="28"/>
      <c r="BK608" s="28"/>
      <c r="BL608" s="28"/>
      <c r="BM608" s="28"/>
      <c r="BN608" s="28"/>
      <c r="BO608" s="28"/>
      <c r="BP608" s="28"/>
      <c r="BQ608" s="28"/>
      <c r="BR608" s="28"/>
      <c r="BS608" s="28"/>
      <c r="BT608" s="28"/>
      <c r="BU608" s="28"/>
      <c r="BV608" s="28"/>
      <c r="BW608" s="28"/>
      <c r="BX608" s="28"/>
      <c r="BY608" s="28"/>
      <c r="BZ608" s="28"/>
      <c r="CA608" s="28"/>
      <c r="CB608" s="28"/>
    </row>
    <row r="609" spans="1:80" hidden="1" x14ac:dyDescent="0.25">
      <c r="A609" s="31" t="s">
        <v>1140</v>
      </c>
      <c r="B609" s="39" t="s">
        <v>2060</v>
      </c>
      <c r="C609" s="30" t="s">
        <v>1767</v>
      </c>
      <c r="D609" s="30" t="s">
        <v>52</v>
      </c>
      <c r="E609" s="20" t="s">
        <v>1997</v>
      </c>
      <c r="F609" s="26" t="s">
        <v>2051</v>
      </c>
      <c r="G609" s="30"/>
      <c r="H609" s="30"/>
      <c r="I609" s="29" t="e">
        <f>VLOOKUP(B609,#REF!,2,FALSE)</f>
        <v>#REF!</v>
      </c>
      <c r="J609" s="28"/>
      <c r="K609" s="28"/>
      <c r="L609" s="28"/>
      <c r="M609" s="28"/>
      <c r="N609" s="28"/>
      <c r="O609" s="28"/>
      <c r="P609" s="28"/>
      <c r="Q609" s="28"/>
      <c r="R609" s="28"/>
      <c r="S609" s="28"/>
      <c r="T609" s="28"/>
      <c r="U609" s="28"/>
      <c r="V609" s="28"/>
      <c r="W609" s="28"/>
      <c r="X609" s="28"/>
      <c r="Y609" s="28"/>
      <c r="Z609" s="28"/>
      <c r="AA609" s="28"/>
      <c r="AB609" s="28"/>
      <c r="AC609" s="28"/>
      <c r="AD609" s="28"/>
      <c r="AE609" s="28"/>
      <c r="AF609" s="28"/>
      <c r="AG609" s="28"/>
      <c r="AH609" s="28"/>
      <c r="AI609" s="28"/>
      <c r="AJ609" s="28"/>
      <c r="AK609" s="28"/>
      <c r="AL609" s="28"/>
      <c r="AM609" s="28"/>
      <c r="AN609" s="28"/>
      <c r="AO609" s="28"/>
      <c r="AP609" s="28"/>
      <c r="AQ609" s="28"/>
      <c r="AR609" s="28"/>
      <c r="AS609" s="28"/>
      <c r="AT609" s="28"/>
      <c r="AU609" s="28"/>
      <c r="AV609" s="28"/>
      <c r="AW609" s="28"/>
      <c r="AX609" s="28"/>
      <c r="AY609" s="28"/>
      <c r="AZ609" s="28"/>
      <c r="BA609" s="28"/>
      <c r="BB609" s="28"/>
      <c r="BC609" s="28"/>
      <c r="BD609" s="28"/>
      <c r="BE609" s="28"/>
      <c r="BF609" s="28"/>
      <c r="BG609" s="28"/>
      <c r="BH609" s="28"/>
      <c r="BI609" s="28"/>
      <c r="BJ609" s="28"/>
      <c r="BK609" s="28"/>
      <c r="BL609" s="28"/>
      <c r="BM609" s="28"/>
      <c r="BN609" s="28"/>
      <c r="BO609" s="28"/>
      <c r="BP609" s="28"/>
      <c r="BQ609" s="28"/>
      <c r="BR609" s="28"/>
      <c r="BS609" s="28"/>
      <c r="BT609" s="28"/>
      <c r="BU609" s="28"/>
      <c r="BV609" s="28"/>
      <c r="BW609" s="28"/>
      <c r="BX609" s="28"/>
      <c r="BY609" s="28"/>
      <c r="BZ609" s="28"/>
      <c r="CA609" s="28"/>
      <c r="CB609" s="28"/>
    </row>
    <row r="610" spans="1:80" hidden="1" x14ac:dyDescent="0.25">
      <c r="A610" s="31" t="s">
        <v>814</v>
      </c>
      <c r="B610" s="39" t="s">
        <v>813</v>
      </c>
      <c r="C610" s="30" t="s">
        <v>195</v>
      </c>
      <c r="D610" s="30" t="s">
        <v>52</v>
      </c>
      <c r="E610" s="20" t="s">
        <v>1997</v>
      </c>
      <c r="F610" s="26" t="s">
        <v>2061</v>
      </c>
      <c r="G610" s="30"/>
      <c r="H610" s="30"/>
      <c r="I610" s="29" t="e">
        <f>VLOOKUP(B610,#REF!,2,FALSE)</f>
        <v>#REF!</v>
      </c>
      <c r="J610" s="28"/>
      <c r="K610" s="28"/>
      <c r="L610" s="28"/>
      <c r="M610" s="28"/>
      <c r="N610" s="28"/>
      <c r="O610" s="28"/>
      <c r="P610" s="28"/>
      <c r="Q610" s="28"/>
      <c r="R610" s="28"/>
      <c r="S610" s="28"/>
      <c r="T610" s="28"/>
      <c r="U610" s="28"/>
      <c r="V610" s="28"/>
      <c r="W610" s="28"/>
      <c r="X610" s="28"/>
      <c r="Y610" s="28"/>
      <c r="Z610" s="28"/>
      <c r="AA610" s="28"/>
      <c r="AB610" s="28"/>
      <c r="AC610" s="28"/>
      <c r="AD610" s="28"/>
      <c r="AE610" s="28"/>
      <c r="AF610" s="28"/>
      <c r="AG610" s="28"/>
      <c r="AH610" s="28"/>
      <c r="AI610" s="28"/>
      <c r="AJ610" s="28"/>
      <c r="AK610" s="28"/>
      <c r="AL610" s="28"/>
      <c r="AM610" s="28"/>
      <c r="AN610" s="28"/>
      <c r="AO610" s="28"/>
      <c r="AP610" s="28"/>
      <c r="AQ610" s="28"/>
      <c r="AR610" s="28"/>
      <c r="AS610" s="28"/>
      <c r="AT610" s="28"/>
      <c r="AU610" s="22"/>
      <c r="AV610" s="22"/>
      <c r="AW610" s="22"/>
      <c r="AX610" s="22"/>
      <c r="AY610" s="22"/>
      <c r="AZ610" s="22"/>
      <c r="BA610" s="22"/>
      <c r="BB610" s="22"/>
      <c r="BC610" s="22"/>
      <c r="BD610" s="22"/>
      <c r="BE610" s="22"/>
      <c r="BF610" s="22"/>
      <c r="BG610" s="22"/>
      <c r="BH610" s="22"/>
      <c r="BI610" s="22"/>
      <c r="BJ610" s="22"/>
      <c r="BK610" s="22"/>
      <c r="BL610" s="22"/>
      <c r="BM610" s="22"/>
      <c r="BN610" s="22"/>
      <c r="BO610" s="22"/>
      <c r="BP610" s="22"/>
      <c r="BQ610" s="22"/>
      <c r="BR610" s="22"/>
      <c r="BS610" s="22"/>
      <c r="BT610" s="22"/>
      <c r="BU610" s="22"/>
      <c r="BV610" s="22"/>
      <c r="BW610" s="22"/>
      <c r="BX610" s="22"/>
      <c r="BY610" s="22"/>
      <c r="BZ610" s="22"/>
      <c r="CA610" s="22"/>
      <c r="CB610" s="22"/>
    </row>
    <row r="611" spans="1:80" hidden="1" x14ac:dyDescent="0.25">
      <c r="A611" s="31" t="s">
        <v>819</v>
      </c>
      <c r="B611" s="39" t="s">
        <v>2062</v>
      </c>
      <c r="C611" s="30" t="s">
        <v>2063</v>
      </c>
      <c r="D611" s="30" t="s">
        <v>52</v>
      </c>
      <c r="E611" s="20" t="s">
        <v>1997</v>
      </c>
      <c r="F611" s="26" t="s">
        <v>2061</v>
      </c>
      <c r="G611" s="30"/>
      <c r="H611" s="30"/>
      <c r="I611" s="29" t="e">
        <f>VLOOKUP(B611,#REF!,2,FALSE)</f>
        <v>#REF!</v>
      </c>
      <c r="J611" s="28"/>
      <c r="K611" s="28"/>
      <c r="L611" s="28"/>
      <c r="M611" s="28"/>
      <c r="N611" s="28"/>
      <c r="O611" s="28"/>
      <c r="P611" s="28"/>
      <c r="Q611" s="28"/>
      <c r="R611" s="28"/>
      <c r="S611" s="28"/>
      <c r="T611" s="28"/>
      <c r="U611" s="28"/>
      <c r="V611" s="28"/>
      <c r="W611" s="28"/>
      <c r="X611" s="28"/>
      <c r="Y611" s="28"/>
      <c r="Z611" s="28"/>
      <c r="AA611" s="28"/>
      <c r="AB611" s="28"/>
      <c r="AC611" s="28"/>
      <c r="AD611" s="28"/>
      <c r="AE611" s="28"/>
      <c r="AF611" s="28"/>
      <c r="AG611" s="28"/>
      <c r="AH611" s="28"/>
      <c r="AI611" s="28"/>
      <c r="AJ611" s="28"/>
      <c r="AK611" s="28"/>
      <c r="AL611" s="28"/>
      <c r="AM611" s="28"/>
      <c r="AN611" s="28"/>
      <c r="AO611" s="28"/>
      <c r="AP611" s="28"/>
      <c r="AQ611" s="28"/>
      <c r="AR611" s="28"/>
      <c r="AS611" s="28"/>
      <c r="AT611" s="28"/>
      <c r="AU611" s="28"/>
      <c r="AV611" s="28"/>
      <c r="AW611" s="28"/>
      <c r="AX611" s="28"/>
      <c r="AY611" s="28"/>
      <c r="AZ611" s="28"/>
      <c r="BA611" s="28"/>
      <c r="BB611" s="28"/>
      <c r="BC611" s="28"/>
      <c r="BD611" s="28"/>
      <c r="BE611" s="28"/>
      <c r="BF611" s="28"/>
      <c r="BG611" s="28"/>
      <c r="BH611" s="28"/>
      <c r="BI611" s="28"/>
      <c r="BJ611" s="28"/>
      <c r="BK611" s="28"/>
      <c r="BL611" s="28"/>
      <c r="BM611" s="28"/>
      <c r="BN611" s="28"/>
      <c r="BO611" s="28"/>
      <c r="BP611" s="28"/>
      <c r="BQ611" s="28"/>
      <c r="BR611" s="28"/>
      <c r="BS611" s="28"/>
      <c r="BT611" s="28"/>
      <c r="BU611" s="28"/>
      <c r="BV611" s="28"/>
      <c r="BW611" s="28"/>
      <c r="BX611" s="28"/>
      <c r="BY611" s="28"/>
      <c r="BZ611" s="28"/>
      <c r="CA611" s="28"/>
      <c r="CB611" s="28"/>
    </row>
    <row r="612" spans="1:80" hidden="1" x14ac:dyDescent="0.25">
      <c r="A612" s="31" t="s">
        <v>907</v>
      </c>
      <c r="B612" s="39" t="s">
        <v>2064</v>
      </c>
      <c r="C612" s="30" t="s">
        <v>2065</v>
      </c>
      <c r="D612" s="30" t="s">
        <v>52</v>
      </c>
      <c r="E612" s="20" t="s">
        <v>1997</v>
      </c>
      <c r="F612" s="26" t="s">
        <v>2061</v>
      </c>
      <c r="G612" s="30"/>
      <c r="H612" s="30"/>
      <c r="I612" s="29" t="e">
        <f>VLOOKUP(B612,#REF!,2,FALSE)</f>
        <v>#REF!</v>
      </c>
      <c r="J612" s="28"/>
      <c r="K612" s="28"/>
      <c r="L612" s="28"/>
      <c r="M612" s="28"/>
      <c r="N612" s="28"/>
      <c r="O612" s="28"/>
      <c r="P612" s="28"/>
      <c r="Q612" s="28"/>
      <c r="R612" s="28"/>
      <c r="S612" s="28"/>
      <c r="T612" s="28"/>
      <c r="U612" s="28"/>
      <c r="V612" s="28"/>
      <c r="W612" s="28"/>
      <c r="X612" s="28"/>
      <c r="Y612" s="28"/>
      <c r="Z612" s="28"/>
      <c r="AA612" s="28"/>
      <c r="AB612" s="28"/>
      <c r="AC612" s="28"/>
      <c r="AD612" s="28"/>
      <c r="AE612" s="28"/>
      <c r="AF612" s="28"/>
      <c r="AG612" s="28"/>
      <c r="AH612" s="28"/>
      <c r="AI612" s="28"/>
      <c r="AJ612" s="28"/>
      <c r="AK612" s="28"/>
      <c r="AL612" s="28"/>
      <c r="AM612" s="28"/>
      <c r="AN612" s="28"/>
      <c r="AO612" s="28"/>
      <c r="AP612" s="28"/>
      <c r="AQ612" s="28"/>
      <c r="AR612" s="28"/>
      <c r="AS612" s="28"/>
      <c r="AT612" s="28"/>
      <c r="AU612" s="28"/>
      <c r="AV612" s="28"/>
      <c r="AW612" s="28"/>
      <c r="AX612" s="28"/>
      <c r="AY612" s="28"/>
      <c r="AZ612" s="28"/>
      <c r="BA612" s="28"/>
      <c r="BB612" s="28"/>
      <c r="BC612" s="28"/>
      <c r="BD612" s="28"/>
      <c r="BE612" s="28"/>
      <c r="BF612" s="28"/>
      <c r="BG612" s="28"/>
      <c r="BH612" s="28"/>
      <c r="BI612" s="28"/>
      <c r="BJ612" s="28"/>
      <c r="BK612" s="28"/>
      <c r="BL612" s="28"/>
      <c r="BM612" s="28"/>
      <c r="BN612" s="28"/>
      <c r="BO612" s="28"/>
      <c r="BP612" s="28"/>
      <c r="BQ612" s="28"/>
      <c r="BR612" s="28"/>
      <c r="BS612" s="28"/>
      <c r="BT612" s="28"/>
      <c r="BU612" s="28"/>
      <c r="BV612" s="28"/>
      <c r="BW612" s="28"/>
      <c r="BX612" s="28"/>
      <c r="BY612" s="28"/>
      <c r="BZ612" s="28"/>
      <c r="CA612" s="28"/>
      <c r="CB612" s="28"/>
    </row>
    <row r="613" spans="1:80" hidden="1" x14ac:dyDescent="0.25">
      <c r="A613" s="31" t="s">
        <v>917</v>
      </c>
      <c r="B613" s="39" t="s">
        <v>2066</v>
      </c>
      <c r="C613" s="30" t="s">
        <v>2067</v>
      </c>
      <c r="D613" s="30" t="s">
        <v>52</v>
      </c>
      <c r="E613" s="20" t="s">
        <v>1997</v>
      </c>
      <c r="F613" s="26" t="s">
        <v>2061</v>
      </c>
      <c r="G613" s="30"/>
      <c r="H613" s="30"/>
      <c r="I613" s="29" t="e">
        <f>VLOOKUP(B613,#REF!,2,FALSE)</f>
        <v>#REF!</v>
      </c>
      <c r="J613" s="28"/>
      <c r="K613" s="28"/>
      <c r="L613" s="28"/>
      <c r="M613" s="28"/>
      <c r="N613" s="28"/>
      <c r="O613" s="28"/>
      <c r="P613" s="28"/>
      <c r="Q613" s="28"/>
      <c r="R613" s="28"/>
      <c r="S613" s="28"/>
      <c r="T613" s="28"/>
      <c r="U613" s="28"/>
      <c r="V613" s="28"/>
      <c r="W613" s="28"/>
      <c r="X613" s="28"/>
      <c r="Y613" s="28"/>
      <c r="Z613" s="28"/>
      <c r="AA613" s="28"/>
      <c r="AB613" s="28"/>
      <c r="AC613" s="28"/>
      <c r="AD613" s="28"/>
      <c r="AE613" s="28"/>
      <c r="AF613" s="28"/>
      <c r="AG613" s="28"/>
      <c r="AH613" s="28"/>
      <c r="AI613" s="28"/>
      <c r="AJ613" s="28"/>
      <c r="AK613" s="28"/>
      <c r="AL613" s="28"/>
      <c r="AM613" s="28"/>
      <c r="AN613" s="28"/>
      <c r="AO613" s="28"/>
      <c r="AP613" s="28"/>
      <c r="AQ613" s="28"/>
      <c r="AR613" s="28"/>
      <c r="AS613" s="28"/>
      <c r="AT613" s="28"/>
      <c r="AU613" s="28"/>
      <c r="AV613" s="28"/>
      <c r="AW613" s="28"/>
      <c r="AX613" s="28"/>
      <c r="AY613" s="28"/>
      <c r="AZ613" s="28"/>
      <c r="BA613" s="28"/>
      <c r="BB613" s="28"/>
      <c r="BC613" s="28"/>
      <c r="BD613" s="28"/>
      <c r="BE613" s="28"/>
      <c r="BF613" s="28"/>
      <c r="BG613" s="28"/>
      <c r="BH613" s="28"/>
      <c r="BI613" s="28"/>
      <c r="BJ613" s="28"/>
      <c r="BK613" s="28"/>
      <c r="BL613" s="28"/>
      <c r="BM613" s="28"/>
      <c r="BN613" s="28"/>
      <c r="BO613" s="28"/>
      <c r="BP613" s="28"/>
      <c r="BQ613" s="28"/>
      <c r="BR613" s="28"/>
      <c r="BS613" s="28"/>
      <c r="BT613" s="28"/>
      <c r="BU613" s="28"/>
      <c r="BV613" s="28"/>
      <c r="BW613" s="28"/>
      <c r="BX613" s="28"/>
      <c r="BY613" s="28"/>
      <c r="BZ613" s="28"/>
      <c r="CA613" s="28"/>
      <c r="CB613" s="28"/>
    </row>
    <row r="614" spans="1:80" hidden="1" x14ac:dyDescent="0.25">
      <c r="A614" s="31" t="s">
        <v>923</v>
      </c>
      <c r="B614" s="39" t="s">
        <v>2068</v>
      </c>
      <c r="C614" s="30" t="s">
        <v>1672</v>
      </c>
      <c r="D614" s="30" t="s">
        <v>52</v>
      </c>
      <c r="E614" s="20" t="s">
        <v>1997</v>
      </c>
      <c r="F614" s="26" t="s">
        <v>2061</v>
      </c>
      <c r="G614" s="30"/>
      <c r="H614" s="30"/>
      <c r="I614" s="29" t="e">
        <f>VLOOKUP(B614,#REF!,2,FALSE)</f>
        <v>#REF!</v>
      </c>
      <c r="J614" s="28"/>
      <c r="K614" s="28"/>
      <c r="L614" s="28"/>
      <c r="M614" s="28"/>
      <c r="N614" s="28"/>
      <c r="O614" s="28"/>
      <c r="P614" s="28"/>
      <c r="Q614" s="28"/>
      <c r="R614" s="28"/>
      <c r="S614" s="28"/>
      <c r="T614" s="28"/>
      <c r="U614" s="28"/>
      <c r="V614" s="28"/>
      <c r="W614" s="28"/>
      <c r="X614" s="28"/>
      <c r="Y614" s="28"/>
      <c r="Z614" s="28"/>
      <c r="AA614" s="28"/>
      <c r="AB614" s="28"/>
      <c r="AC614" s="28"/>
      <c r="AD614" s="28"/>
      <c r="AE614" s="28"/>
      <c r="AF614" s="28"/>
      <c r="AG614" s="28"/>
      <c r="AH614" s="28"/>
      <c r="AI614" s="28"/>
      <c r="AJ614" s="28"/>
      <c r="AK614" s="28"/>
      <c r="AL614" s="28"/>
      <c r="AM614" s="28"/>
      <c r="AN614" s="28"/>
      <c r="AO614" s="28"/>
      <c r="AP614" s="28"/>
      <c r="AQ614" s="28"/>
      <c r="AR614" s="28"/>
      <c r="AS614" s="28"/>
      <c r="AT614" s="28"/>
      <c r="AU614" s="28"/>
      <c r="AV614" s="28"/>
      <c r="AW614" s="28"/>
      <c r="AX614" s="28"/>
      <c r="AY614" s="28"/>
      <c r="AZ614" s="28"/>
      <c r="BA614" s="28"/>
      <c r="BB614" s="28"/>
      <c r="BC614" s="28"/>
      <c r="BD614" s="28"/>
      <c r="BE614" s="28"/>
      <c r="BF614" s="28"/>
      <c r="BG614" s="28"/>
      <c r="BH614" s="28"/>
      <c r="BI614" s="28"/>
      <c r="BJ614" s="28"/>
      <c r="BK614" s="28"/>
      <c r="BL614" s="28"/>
      <c r="BM614" s="28"/>
      <c r="BN614" s="28"/>
      <c r="BO614" s="28"/>
      <c r="BP614" s="28"/>
      <c r="BQ614" s="28"/>
      <c r="BR614" s="28"/>
      <c r="BS614" s="28"/>
      <c r="BT614" s="28"/>
      <c r="BU614" s="28"/>
      <c r="BV614" s="28"/>
      <c r="BW614" s="28"/>
      <c r="BX614" s="28"/>
      <c r="BY614" s="28"/>
      <c r="BZ614" s="28"/>
      <c r="CA614" s="28"/>
      <c r="CB614" s="28"/>
    </row>
    <row r="615" spans="1:80" hidden="1" x14ac:dyDescent="0.25">
      <c r="A615" s="31" t="s">
        <v>792</v>
      </c>
      <c r="B615" s="39" t="s">
        <v>791</v>
      </c>
      <c r="C615" s="30" t="s">
        <v>495</v>
      </c>
      <c r="D615" s="30" t="s">
        <v>10</v>
      </c>
      <c r="E615" s="20" t="s">
        <v>1997</v>
      </c>
      <c r="F615" s="26" t="s">
        <v>2061</v>
      </c>
      <c r="G615" s="30"/>
      <c r="H615" s="30"/>
      <c r="I615" s="29" t="e">
        <f>VLOOKUP(B615,#REF!,2,FALSE)</f>
        <v>#REF!</v>
      </c>
      <c r="J615" s="28"/>
      <c r="K615" s="28"/>
      <c r="L615" s="28"/>
      <c r="M615" s="28"/>
      <c r="N615" s="28"/>
      <c r="O615" s="28"/>
      <c r="P615" s="28"/>
      <c r="Q615" s="28"/>
      <c r="R615" s="28"/>
      <c r="S615" s="28"/>
      <c r="T615" s="28"/>
      <c r="U615" s="28"/>
      <c r="V615" s="28"/>
      <c r="W615" s="28"/>
      <c r="X615" s="28"/>
      <c r="Y615" s="28"/>
      <c r="Z615" s="28"/>
      <c r="AA615" s="28"/>
      <c r="AB615" s="28"/>
      <c r="AC615" s="28"/>
      <c r="AD615" s="28"/>
      <c r="AE615" s="28"/>
      <c r="AF615" s="28"/>
      <c r="AG615" s="28"/>
      <c r="AH615" s="28"/>
      <c r="AI615" s="28"/>
      <c r="AJ615" s="28"/>
      <c r="AK615" s="28"/>
      <c r="AL615" s="28"/>
      <c r="AM615" s="28"/>
      <c r="AN615" s="28"/>
      <c r="AO615" s="28"/>
      <c r="AP615" s="28"/>
      <c r="AQ615" s="28"/>
      <c r="AR615" s="28"/>
      <c r="AS615" s="28"/>
      <c r="AT615" s="28"/>
      <c r="AU615" s="28"/>
      <c r="AV615" s="28"/>
      <c r="AW615" s="28"/>
      <c r="AX615" s="28"/>
      <c r="AY615" s="28"/>
      <c r="AZ615" s="28"/>
      <c r="BA615" s="28"/>
      <c r="BB615" s="28"/>
      <c r="BC615" s="28"/>
      <c r="BD615" s="28"/>
      <c r="BE615" s="28"/>
      <c r="BF615" s="28"/>
      <c r="BG615" s="28"/>
      <c r="BH615" s="28"/>
      <c r="BI615" s="28"/>
      <c r="BJ615" s="28"/>
      <c r="BK615" s="28"/>
      <c r="BL615" s="28"/>
      <c r="BM615" s="28"/>
      <c r="BN615" s="28"/>
      <c r="BO615" s="28"/>
      <c r="BP615" s="28"/>
      <c r="BQ615" s="28"/>
      <c r="BR615" s="28"/>
      <c r="BS615" s="28"/>
      <c r="BT615" s="28"/>
      <c r="BU615" s="28"/>
      <c r="BV615" s="28"/>
      <c r="BW615" s="28"/>
      <c r="BX615" s="28"/>
      <c r="BY615" s="28"/>
      <c r="BZ615" s="28"/>
      <c r="CA615" s="28"/>
      <c r="CB615" s="28"/>
    </row>
    <row r="616" spans="1:80" hidden="1" x14ac:dyDescent="0.25">
      <c r="A616" s="31" t="s">
        <v>934</v>
      </c>
      <c r="B616" s="39" t="s">
        <v>933</v>
      </c>
      <c r="C616" s="30" t="s">
        <v>518</v>
      </c>
      <c r="D616" s="30" t="s">
        <v>52</v>
      </c>
      <c r="E616" s="20" t="s">
        <v>1997</v>
      </c>
      <c r="F616" s="26" t="s">
        <v>2061</v>
      </c>
      <c r="G616" s="30"/>
      <c r="H616" s="30"/>
      <c r="I616" s="29" t="e">
        <f>VLOOKUP(B616,#REF!,2,FALSE)</f>
        <v>#REF!</v>
      </c>
      <c r="J616" s="28"/>
      <c r="K616" s="28"/>
      <c r="L616" s="28"/>
      <c r="M616" s="28"/>
      <c r="N616" s="28"/>
      <c r="O616" s="28"/>
      <c r="P616" s="28"/>
      <c r="Q616" s="28"/>
      <c r="R616" s="28"/>
      <c r="S616" s="28"/>
      <c r="T616" s="28"/>
      <c r="U616" s="28"/>
      <c r="V616" s="28"/>
      <c r="W616" s="28"/>
      <c r="X616" s="28"/>
      <c r="Y616" s="28"/>
      <c r="Z616" s="28"/>
      <c r="AA616" s="28"/>
      <c r="AB616" s="28"/>
      <c r="AC616" s="28"/>
      <c r="AD616" s="28"/>
      <c r="AE616" s="28"/>
      <c r="AF616" s="28"/>
      <c r="AG616" s="28"/>
      <c r="AH616" s="28"/>
      <c r="AI616" s="28"/>
      <c r="AJ616" s="28"/>
      <c r="AK616" s="28"/>
      <c r="AL616" s="28"/>
      <c r="AM616" s="28"/>
      <c r="AN616" s="28"/>
      <c r="AO616" s="28"/>
      <c r="AP616" s="28"/>
      <c r="AQ616" s="28"/>
      <c r="AR616" s="28"/>
      <c r="AS616" s="28"/>
      <c r="AT616" s="28"/>
      <c r="AU616" s="28"/>
      <c r="AV616" s="28"/>
      <c r="AW616" s="28"/>
      <c r="AX616" s="28"/>
      <c r="AY616" s="28"/>
      <c r="AZ616" s="28"/>
      <c r="BA616" s="28"/>
      <c r="BB616" s="28"/>
      <c r="BC616" s="28"/>
      <c r="BD616" s="28"/>
      <c r="BE616" s="28"/>
      <c r="BF616" s="28"/>
      <c r="BG616" s="28"/>
      <c r="BH616" s="28"/>
      <c r="BI616" s="28"/>
      <c r="BJ616" s="28"/>
      <c r="BK616" s="28"/>
      <c r="BL616" s="28"/>
      <c r="BM616" s="28"/>
      <c r="BN616" s="28"/>
      <c r="BO616" s="28"/>
      <c r="BP616" s="28"/>
      <c r="BQ616" s="28"/>
      <c r="BR616" s="28"/>
      <c r="BS616" s="28"/>
      <c r="BT616" s="28"/>
      <c r="BU616" s="28"/>
      <c r="BV616" s="28"/>
      <c r="BW616" s="28"/>
      <c r="BX616" s="28"/>
      <c r="BY616" s="28"/>
      <c r="BZ616" s="28"/>
      <c r="CA616" s="28"/>
      <c r="CB616" s="28"/>
    </row>
    <row r="617" spans="1:80" hidden="1" x14ac:dyDescent="0.25">
      <c r="A617" s="31" t="s">
        <v>943</v>
      </c>
      <c r="B617" s="39" t="s">
        <v>2069</v>
      </c>
      <c r="C617" s="30" t="s">
        <v>1836</v>
      </c>
      <c r="D617" s="30" t="s">
        <v>52</v>
      </c>
      <c r="E617" s="20" t="s">
        <v>1997</v>
      </c>
      <c r="F617" s="26" t="s">
        <v>2061</v>
      </c>
      <c r="G617" s="30"/>
      <c r="H617" s="30"/>
      <c r="I617" s="29" t="e">
        <f>VLOOKUP(B617,#REF!,2,FALSE)</f>
        <v>#REF!</v>
      </c>
      <c r="J617" s="28"/>
      <c r="K617" s="28"/>
      <c r="L617" s="28"/>
      <c r="M617" s="28"/>
      <c r="N617" s="28"/>
      <c r="O617" s="28"/>
      <c r="P617" s="28"/>
      <c r="Q617" s="28"/>
      <c r="R617" s="28"/>
      <c r="S617" s="28"/>
      <c r="T617" s="28"/>
      <c r="U617" s="28"/>
      <c r="V617" s="28"/>
      <c r="W617" s="28"/>
      <c r="X617" s="28"/>
      <c r="Y617" s="28"/>
      <c r="Z617" s="28"/>
      <c r="AA617" s="28"/>
      <c r="AB617" s="28"/>
      <c r="AC617" s="28"/>
      <c r="AD617" s="28"/>
      <c r="AE617" s="28"/>
      <c r="AF617" s="28"/>
      <c r="AG617" s="28"/>
      <c r="AH617" s="28"/>
      <c r="AI617" s="28"/>
      <c r="AJ617" s="28"/>
      <c r="AK617" s="28"/>
      <c r="AL617" s="28"/>
      <c r="AM617" s="28"/>
      <c r="AN617" s="28"/>
      <c r="AO617" s="28"/>
      <c r="AP617" s="28"/>
      <c r="AQ617" s="28"/>
      <c r="AR617" s="28"/>
      <c r="AS617" s="28"/>
      <c r="AT617" s="28"/>
      <c r="AU617" s="28"/>
      <c r="AV617" s="28"/>
      <c r="AW617" s="28"/>
      <c r="AX617" s="28"/>
      <c r="AY617" s="28"/>
      <c r="AZ617" s="28"/>
      <c r="BA617" s="28"/>
      <c r="BB617" s="28"/>
      <c r="BC617" s="28"/>
      <c r="BD617" s="28"/>
      <c r="BE617" s="28"/>
      <c r="BF617" s="28"/>
      <c r="BG617" s="28"/>
      <c r="BH617" s="28"/>
      <c r="BI617" s="28"/>
      <c r="BJ617" s="28"/>
      <c r="BK617" s="28"/>
      <c r="BL617" s="28"/>
      <c r="BM617" s="28"/>
      <c r="BN617" s="28"/>
      <c r="BO617" s="28"/>
      <c r="BP617" s="28"/>
      <c r="BQ617" s="28"/>
      <c r="BR617" s="28"/>
      <c r="BS617" s="28"/>
      <c r="BT617" s="28"/>
      <c r="BU617" s="28"/>
      <c r="BV617" s="28"/>
      <c r="BW617" s="28"/>
      <c r="BX617" s="28"/>
      <c r="BY617" s="28"/>
      <c r="BZ617" s="28"/>
      <c r="CA617" s="28"/>
      <c r="CB617" s="28"/>
    </row>
    <row r="618" spans="1:80" hidden="1" x14ac:dyDescent="0.25">
      <c r="A618" s="31" t="s">
        <v>945</v>
      </c>
      <c r="B618" s="39" t="s">
        <v>944</v>
      </c>
      <c r="C618" s="30" t="s">
        <v>2070</v>
      </c>
      <c r="D618" s="30" t="s">
        <v>52</v>
      </c>
      <c r="E618" s="20" t="s">
        <v>1997</v>
      </c>
      <c r="F618" s="26" t="s">
        <v>2061</v>
      </c>
      <c r="G618" s="30"/>
      <c r="H618" s="30"/>
      <c r="I618" s="29" t="e">
        <f>VLOOKUP(B618,#REF!,2,FALSE)</f>
        <v>#REF!</v>
      </c>
      <c r="J618" s="28"/>
      <c r="K618" s="28"/>
      <c r="L618" s="28"/>
      <c r="M618" s="28"/>
      <c r="N618" s="28"/>
      <c r="O618" s="28"/>
      <c r="P618" s="28"/>
      <c r="Q618" s="28"/>
      <c r="R618" s="28"/>
      <c r="S618" s="28"/>
      <c r="T618" s="28"/>
      <c r="U618" s="28"/>
      <c r="V618" s="28"/>
      <c r="W618" s="28"/>
      <c r="X618" s="28"/>
      <c r="Y618" s="28"/>
      <c r="Z618" s="28"/>
      <c r="AA618" s="28"/>
      <c r="AB618" s="28"/>
      <c r="AC618" s="28"/>
      <c r="AD618" s="28"/>
      <c r="AE618" s="28"/>
      <c r="AF618" s="28"/>
      <c r="AG618" s="28"/>
      <c r="AH618" s="28"/>
      <c r="AI618" s="28"/>
      <c r="AJ618" s="28"/>
      <c r="AK618" s="28"/>
      <c r="AL618" s="28"/>
      <c r="AM618" s="28"/>
      <c r="AN618" s="28"/>
      <c r="AO618" s="28"/>
      <c r="AP618" s="28"/>
      <c r="AQ618" s="28"/>
      <c r="AR618" s="28"/>
      <c r="AS618" s="28"/>
      <c r="AT618" s="28"/>
      <c r="AU618" s="28"/>
      <c r="AV618" s="28"/>
      <c r="AW618" s="28"/>
      <c r="AX618" s="28"/>
      <c r="AY618" s="28"/>
      <c r="AZ618" s="28"/>
      <c r="BA618" s="28"/>
      <c r="BB618" s="28"/>
      <c r="BC618" s="28"/>
      <c r="BD618" s="28"/>
      <c r="BE618" s="28"/>
      <c r="BF618" s="28"/>
      <c r="BG618" s="28"/>
      <c r="BH618" s="28"/>
      <c r="BI618" s="28"/>
      <c r="BJ618" s="28"/>
      <c r="BK618" s="28"/>
      <c r="BL618" s="28"/>
      <c r="BM618" s="28"/>
      <c r="BN618" s="28"/>
      <c r="BO618" s="28"/>
      <c r="BP618" s="28"/>
      <c r="BQ618" s="28"/>
      <c r="BR618" s="28"/>
      <c r="BS618" s="28"/>
      <c r="BT618" s="28"/>
      <c r="BU618" s="28"/>
      <c r="BV618" s="28"/>
      <c r="BW618" s="28"/>
      <c r="BX618" s="28"/>
      <c r="BY618" s="28"/>
      <c r="BZ618" s="28"/>
      <c r="CA618" s="28"/>
      <c r="CB618" s="28"/>
    </row>
    <row r="619" spans="1:80" hidden="1" x14ac:dyDescent="0.25">
      <c r="A619" s="31" t="s">
        <v>947</v>
      </c>
      <c r="B619" s="39" t="s">
        <v>946</v>
      </c>
      <c r="C619" s="30" t="s">
        <v>200</v>
      </c>
      <c r="D619" s="30" t="s">
        <v>52</v>
      </c>
      <c r="E619" s="20" t="s">
        <v>1997</v>
      </c>
      <c r="F619" s="26" t="s">
        <v>2061</v>
      </c>
      <c r="G619" s="30"/>
      <c r="H619" s="30"/>
      <c r="I619" s="29" t="e">
        <f>VLOOKUP(B619,#REF!,2,FALSE)</f>
        <v>#REF!</v>
      </c>
      <c r="J619" s="28"/>
      <c r="K619" s="28"/>
      <c r="L619" s="28"/>
      <c r="M619" s="28"/>
      <c r="N619" s="28"/>
      <c r="O619" s="28"/>
      <c r="P619" s="28"/>
      <c r="Q619" s="28"/>
      <c r="R619" s="28"/>
      <c r="S619" s="28"/>
      <c r="T619" s="28"/>
      <c r="U619" s="28"/>
      <c r="V619" s="28"/>
      <c r="W619" s="28"/>
      <c r="X619" s="28"/>
      <c r="Y619" s="28"/>
      <c r="Z619" s="28"/>
      <c r="AA619" s="28"/>
      <c r="AB619" s="28"/>
      <c r="AC619" s="28"/>
      <c r="AD619" s="28"/>
      <c r="AE619" s="28"/>
      <c r="AF619" s="28"/>
      <c r="AG619" s="28"/>
      <c r="AH619" s="28"/>
      <c r="AI619" s="28"/>
      <c r="AJ619" s="28"/>
      <c r="AK619" s="28"/>
      <c r="AL619" s="28"/>
      <c r="AM619" s="28"/>
      <c r="AN619" s="28"/>
      <c r="AO619" s="28"/>
      <c r="AP619" s="28"/>
      <c r="AQ619" s="28"/>
      <c r="AR619" s="28"/>
      <c r="AS619" s="28"/>
      <c r="AT619" s="28"/>
      <c r="AU619" s="28"/>
      <c r="AV619" s="28"/>
      <c r="AW619" s="28"/>
      <c r="AX619" s="28"/>
      <c r="AY619" s="28"/>
      <c r="AZ619" s="28"/>
      <c r="BA619" s="28"/>
      <c r="BB619" s="28"/>
      <c r="BC619" s="28"/>
      <c r="BD619" s="28"/>
      <c r="BE619" s="28"/>
      <c r="BF619" s="28"/>
      <c r="BG619" s="28"/>
      <c r="BH619" s="28"/>
      <c r="BI619" s="28"/>
      <c r="BJ619" s="28"/>
      <c r="BK619" s="28"/>
      <c r="BL619" s="28"/>
      <c r="BM619" s="28"/>
      <c r="BN619" s="28"/>
      <c r="BO619" s="28"/>
      <c r="BP619" s="28"/>
      <c r="BQ619" s="28"/>
      <c r="BR619" s="28"/>
      <c r="BS619" s="28"/>
      <c r="BT619" s="28"/>
      <c r="BU619" s="28"/>
      <c r="BV619" s="28"/>
      <c r="BW619" s="28"/>
      <c r="BX619" s="28"/>
      <c r="BY619" s="28"/>
      <c r="BZ619" s="28"/>
      <c r="CA619" s="28"/>
      <c r="CB619" s="28"/>
    </row>
    <row r="620" spans="1:80" hidden="1" x14ac:dyDescent="0.25">
      <c r="A620" s="31" t="s">
        <v>950</v>
      </c>
      <c r="B620" s="39" t="s">
        <v>948</v>
      </c>
      <c r="C620" s="30" t="s">
        <v>949</v>
      </c>
      <c r="D620" s="30" t="s">
        <v>52</v>
      </c>
      <c r="E620" s="20" t="s">
        <v>1997</v>
      </c>
      <c r="F620" s="26" t="s">
        <v>2061</v>
      </c>
      <c r="G620" s="30"/>
      <c r="H620" s="30"/>
      <c r="I620" s="29" t="e">
        <f>VLOOKUP(B620,#REF!,2,FALSE)</f>
        <v>#REF!</v>
      </c>
      <c r="J620" s="29"/>
      <c r="K620" s="29"/>
      <c r="L620" s="29"/>
      <c r="M620" s="29"/>
      <c r="N620" s="29"/>
      <c r="O620" s="29"/>
      <c r="P620" s="29"/>
      <c r="Q620" s="29"/>
      <c r="R620" s="29"/>
      <c r="S620" s="29"/>
      <c r="T620" s="29"/>
      <c r="U620" s="29"/>
      <c r="V620" s="29"/>
      <c r="W620" s="29"/>
      <c r="X620" s="29"/>
      <c r="Y620" s="29"/>
      <c r="Z620" s="29"/>
      <c r="AA620" s="29"/>
      <c r="AB620" s="29"/>
      <c r="AC620" s="29"/>
      <c r="AD620" s="29"/>
      <c r="AE620" s="29"/>
      <c r="AF620" s="29"/>
      <c r="AG620" s="29"/>
      <c r="AH620" s="29"/>
      <c r="AI620" s="29"/>
      <c r="AJ620" s="29"/>
      <c r="AK620" s="29"/>
      <c r="AL620" s="29"/>
      <c r="AM620" s="29"/>
      <c r="AN620" s="29"/>
      <c r="AO620" s="29"/>
      <c r="AP620" s="29"/>
      <c r="AQ620" s="29"/>
      <c r="AR620" s="29"/>
      <c r="AS620" s="29"/>
      <c r="AT620" s="29"/>
      <c r="AU620" s="29"/>
      <c r="AV620" s="29"/>
      <c r="AW620" s="29"/>
      <c r="AX620" s="29"/>
      <c r="AY620" s="29"/>
      <c r="AZ620" s="29"/>
      <c r="BA620" s="29"/>
      <c r="BB620" s="29"/>
      <c r="BC620" s="29"/>
      <c r="BD620" s="29"/>
      <c r="BE620" s="29"/>
      <c r="BF620" s="29"/>
      <c r="BG620" s="29"/>
      <c r="BH620" s="29"/>
      <c r="BI620" s="29"/>
      <c r="BJ620" s="29"/>
      <c r="BK620" s="29"/>
      <c r="BL620" s="29"/>
      <c r="BM620" s="29"/>
      <c r="BN620" s="29"/>
      <c r="BO620" s="29"/>
      <c r="BP620" s="29"/>
      <c r="BQ620" s="29"/>
      <c r="BR620" s="29"/>
      <c r="BS620" s="29"/>
      <c r="BT620" s="29"/>
      <c r="BU620" s="29"/>
      <c r="BV620" s="29"/>
      <c r="BW620" s="29"/>
      <c r="BX620" s="29"/>
      <c r="BY620" s="29"/>
      <c r="BZ620" s="29"/>
      <c r="CA620" s="29"/>
      <c r="CB620" s="29"/>
    </row>
    <row r="621" spans="1:80" hidden="1" x14ac:dyDescent="0.25">
      <c r="A621" s="31" t="s">
        <v>956</v>
      </c>
      <c r="B621" s="39" t="s">
        <v>2071</v>
      </c>
      <c r="C621" s="30" t="s">
        <v>1704</v>
      </c>
      <c r="D621" s="30" t="s">
        <v>52</v>
      </c>
      <c r="E621" s="20" t="s">
        <v>1997</v>
      </c>
      <c r="F621" s="26" t="s">
        <v>2061</v>
      </c>
      <c r="G621" s="30"/>
      <c r="H621" s="30"/>
      <c r="I621" s="29" t="e">
        <f>VLOOKUP(B621,#REF!,2,FALSE)</f>
        <v>#REF!</v>
      </c>
      <c r="J621" s="28"/>
      <c r="K621" s="28"/>
      <c r="L621" s="28"/>
      <c r="M621" s="28"/>
      <c r="N621" s="28"/>
      <c r="O621" s="28"/>
      <c r="P621" s="28"/>
      <c r="Q621" s="28"/>
      <c r="R621" s="28"/>
      <c r="S621" s="28"/>
      <c r="T621" s="28"/>
      <c r="U621" s="28"/>
      <c r="V621" s="28"/>
      <c r="W621" s="28"/>
      <c r="X621" s="28"/>
      <c r="Y621" s="28"/>
      <c r="Z621" s="28"/>
      <c r="AA621" s="28"/>
      <c r="AB621" s="28"/>
      <c r="AC621" s="28"/>
      <c r="AD621" s="28"/>
      <c r="AE621" s="28"/>
      <c r="AF621" s="28"/>
      <c r="AG621" s="28"/>
      <c r="AH621" s="28"/>
      <c r="AI621" s="28"/>
      <c r="AJ621" s="28"/>
      <c r="AK621" s="28"/>
      <c r="AL621" s="28"/>
      <c r="AM621" s="28"/>
      <c r="AN621" s="28"/>
      <c r="AO621" s="28"/>
      <c r="AP621" s="28"/>
      <c r="AQ621" s="28"/>
      <c r="AR621" s="28"/>
      <c r="AS621" s="28"/>
      <c r="AT621" s="28"/>
      <c r="AU621" s="28"/>
      <c r="AV621" s="28"/>
      <c r="AW621" s="28"/>
      <c r="AX621" s="28"/>
      <c r="AY621" s="28"/>
      <c r="AZ621" s="28"/>
      <c r="BA621" s="28"/>
      <c r="BB621" s="28"/>
      <c r="BC621" s="28"/>
      <c r="BD621" s="28"/>
      <c r="BE621" s="28"/>
      <c r="BF621" s="28"/>
      <c r="BG621" s="28"/>
      <c r="BH621" s="28"/>
      <c r="BI621" s="28"/>
      <c r="BJ621" s="28"/>
      <c r="BK621" s="28"/>
      <c r="BL621" s="28"/>
      <c r="BM621" s="28"/>
      <c r="BN621" s="28"/>
      <c r="BO621" s="28"/>
      <c r="BP621" s="28"/>
      <c r="BQ621" s="28"/>
      <c r="BR621" s="28"/>
      <c r="BS621" s="28"/>
      <c r="BT621" s="28"/>
      <c r="BU621" s="28"/>
      <c r="BV621" s="28"/>
      <c r="BW621" s="28"/>
      <c r="BX621" s="28"/>
      <c r="BY621" s="28"/>
      <c r="BZ621" s="28"/>
      <c r="CA621" s="28"/>
      <c r="CB621" s="28"/>
    </row>
    <row r="622" spans="1:80" hidden="1" x14ac:dyDescent="0.25">
      <c r="A622" s="33" t="s">
        <v>988</v>
      </c>
      <c r="B622" s="38" t="s">
        <v>987</v>
      </c>
      <c r="C622" s="32" t="s">
        <v>228</v>
      </c>
      <c r="D622" s="32" t="s">
        <v>52</v>
      </c>
      <c r="E622" s="21" t="s">
        <v>1997</v>
      </c>
      <c r="F622" s="25" t="s">
        <v>2061</v>
      </c>
      <c r="G622" s="32"/>
      <c r="H622" s="32"/>
      <c r="I622" s="29" t="e">
        <f>VLOOKUP(B622,#REF!,2,FALSE)</f>
        <v>#REF!</v>
      </c>
      <c r="J622" s="28"/>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28"/>
      <c r="AJ622" s="28"/>
      <c r="AK622" s="28"/>
      <c r="AL622" s="28"/>
      <c r="AM622" s="28"/>
      <c r="AN622" s="28"/>
      <c r="AO622" s="28"/>
      <c r="AP622" s="28"/>
      <c r="AQ622" s="28"/>
      <c r="AR622" s="28"/>
      <c r="AS622" s="28"/>
      <c r="AT622" s="28"/>
      <c r="AU622" s="28"/>
      <c r="AV622" s="28"/>
      <c r="AW622" s="28"/>
      <c r="AX622" s="28"/>
      <c r="AY622" s="28"/>
      <c r="AZ622" s="28"/>
      <c r="BA622" s="28"/>
      <c r="BB622" s="28"/>
      <c r="BC622" s="28"/>
      <c r="BD622" s="28"/>
      <c r="BE622" s="28"/>
      <c r="BF622" s="28"/>
      <c r="BG622" s="28"/>
      <c r="BH622" s="28"/>
      <c r="BI622" s="28"/>
      <c r="BJ622" s="28"/>
      <c r="BK622" s="28"/>
      <c r="BL622" s="28"/>
      <c r="BM622" s="28"/>
      <c r="BN622" s="28"/>
      <c r="BO622" s="28"/>
      <c r="BP622" s="28"/>
      <c r="BQ622" s="28"/>
      <c r="BR622" s="28"/>
      <c r="BS622" s="28"/>
      <c r="BT622" s="28"/>
      <c r="BU622" s="28"/>
      <c r="BV622" s="28"/>
      <c r="BW622" s="28"/>
      <c r="BX622" s="28"/>
      <c r="BY622" s="28"/>
      <c r="BZ622" s="28"/>
      <c r="CA622" s="28"/>
      <c r="CB622" s="28"/>
    </row>
    <row r="623" spans="1:80" hidden="1" x14ac:dyDescent="0.25">
      <c r="A623" s="31" t="s">
        <v>1002</v>
      </c>
      <c r="B623" s="39" t="s">
        <v>2072</v>
      </c>
      <c r="C623" s="30" t="s">
        <v>1927</v>
      </c>
      <c r="D623" s="30" t="s">
        <v>52</v>
      </c>
      <c r="E623" s="20" t="s">
        <v>1997</v>
      </c>
      <c r="F623" s="26" t="s">
        <v>2061</v>
      </c>
      <c r="G623" s="30"/>
      <c r="H623" s="30"/>
      <c r="I623" s="29" t="e">
        <f>VLOOKUP(B623,#REF!,2,FALSE)</f>
        <v>#REF!</v>
      </c>
      <c r="J623" s="28"/>
      <c r="K623" s="28"/>
      <c r="L623" s="28"/>
      <c r="M623" s="28"/>
      <c r="N623" s="28"/>
      <c r="O623" s="28"/>
      <c r="P623" s="28"/>
      <c r="Q623" s="28"/>
      <c r="R623" s="28"/>
      <c r="S623" s="28"/>
      <c r="T623" s="28"/>
      <c r="U623" s="28"/>
      <c r="V623" s="28"/>
      <c r="W623" s="28"/>
      <c r="X623" s="28"/>
      <c r="Y623" s="28"/>
      <c r="Z623" s="28"/>
      <c r="AA623" s="28"/>
      <c r="AB623" s="28"/>
      <c r="AC623" s="28"/>
      <c r="AD623" s="28"/>
      <c r="AE623" s="28"/>
      <c r="AF623" s="28"/>
      <c r="AG623" s="28"/>
      <c r="AH623" s="28"/>
      <c r="AI623" s="28"/>
      <c r="AJ623" s="28"/>
      <c r="AK623" s="28"/>
      <c r="AL623" s="28"/>
      <c r="AM623" s="28"/>
      <c r="AN623" s="28"/>
      <c r="AO623" s="28"/>
      <c r="AP623" s="28"/>
      <c r="AQ623" s="28"/>
      <c r="AR623" s="28"/>
      <c r="AS623" s="28"/>
      <c r="AT623" s="28"/>
      <c r="AU623" s="28"/>
      <c r="AV623" s="28"/>
      <c r="AW623" s="28"/>
      <c r="AX623" s="28"/>
      <c r="AY623" s="28"/>
      <c r="AZ623" s="28"/>
      <c r="BA623" s="28"/>
      <c r="BB623" s="28"/>
      <c r="BC623" s="28"/>
      <c r="BD623" s="28"/>
      <c r="BE623" s="28"/>
      <c r="BF623" s="28"/>
      <c r="BG623" s="28"/>
      <c r="BH623" s="28"/>
      <c r="BI623" s="28"/>
      <c r="BJ623" s="28"/>
      <c r="BK623" s="28"/>
      <c r="BL623" s="28"/>
      <c r="BM623" s="28"/>
      <c r="BN623" s="28"/>
      <c r="BO623" s="28"/>
      <c r="BP623" s="28"/>
      <c r="BQ623" s="28"/>
      <c r="BR623" s="28"/>
      <c r="BS623" s="28"/>
      <c r="BT623" s="28"/>
      <c r="BU623" s="28"/>
      <c r="BV623" s="28"/>
      <c r="BW623" s="28"/>
      <c r="BX623" s="28"/>
      <c r="BY623" s="28"/>
      <c r="BZ623" s="28"/>
      <c r="CA623" s="28"/>
      <c r="CB623" s="28"/>
    </row>
    <row r="624" spans="1:80" hidden="1" x14ac:dyDescent="0.25">
      <c r="A624" s="31" t="s">
        <v>1005</v>
      </c>
      <c r="B624" s="39" t="s">
        <v>456</v>
      </c>
      <c r="C624" s="30" t="s">
        <v>197</v>
      </c>
      <c r="D624" s="30" t="s">
        <v>52</v>
      </c>
      <c r="E624" s="20" t="s">
        <v>1997</v>
      </c>
      <c r="F624" s="26" t="s">
        <v>2061</v>
      </c>
      <c r="G624" s="30"/>
      <c r="H624" s="30"/>
      <c r="I624" s="29" t="e">
        <f>VLOOKUP(B624,#REF!,2,FALSE)</f>
        <v>#REF!</v>
      </c>
      <c r="J624" s="28"/>
      <c r="K624" s="28"/>
      <c r="L624" s="28"/>
      <c r="M624" s="28"/>
      <c r="N624" s="28"/>
      <c r="O624" s="28"/>
      <c r="P624" s="28"/>
      <c r="Q624" s="28"/>
      <c r="R624" s="28"/>
      <c r="S624" s="28"/>
      <c r="T624" s="28"/>
      <c r="U624" s="28"/>
      <c r="V624" s="28"/>
      <c r="W624" s="28"/>
      <c r="X624" s="28"/>
      <c r="Y624" s="28"/>
      <c r="Z624" s="28"/>
      <c r="AA624" s="28"/>
      <c r="AB624" s="28"/>
      <c r="AC624" s="28"/>
      <c r="AD624" s="28"/>
      <c r="AE624" s="28"/>
      <c r="AF624" s="28"/>
      <c r="AG624" s="28"/>
      <c r="AH624" s="28"/>
      <c r="AI624" s="28"/>
      <c r="AJ624" s="28"/>
      <c r="AK624" s="28"/>
      <c r="AL624" s="28"/>
      <c r="AM624" s="28"/>
      <c r="AN624" s="28"/>
      <c r="AO624" s="28"/>
      <c r="AP624" s="28"/>
      <c r="AQ624" s="28"/>
      <c r="AR624" s="28"/>
      <c r="AS624" s="28"/>
      <c r="AT624" s="28"/>
      <c r="AU624" s="28"/>
      <c r="AV624" s="28"/>
      <c r="AW624" s="28"/>
      <c r="AX624" s="28"/>
      <c r="AY624" s="28"/>
      <c r="AZ624" s="28"/>
      <c r="BA624" s="28"/>
      <c r="BB624" s="28"/>
      <c r="BC624" s="28"/>
      <c r="BD624" s="28"/>
      <c r="BE624" s="28"/>
      <c r="BF624" s="28"/>
      <c r="BG624" s="28"/>
      <c r="BH624" s="28"/>
      <c r="BI624" s="28"/>
      <c r="BJ624" s="28"/>
      <c r="BK624" s="28"/>
      <c r="BL624" s="28"/>
      <c r="BM624" s="28"/>
      <c r="BN624" s="28"/>
      <c r="BO624" s="28"/>
      <c r="BP624" s="28"/>
      <c r="BQ624" s="28"/>
      <c r="BR624" s="28"/>
      <c r="BS624" s="28"/>
      <c r="BT624" s="28"/>
      <c r="BU624" s="28"/>
      <c r="BV624" s="28"/>
      <c r="BW624" s="28"/>
      <c r="BX624" s="28"/>
      <c r="BY624" s="28"/>
      <c r="BZ624" s="28"/>
      <c r="CA624" s="28"/>
      <c r="CB624" s="28"/>
    </row>
    <row r="625" spans="1:80" hidden="1" x14ac:dyDescent="0.25">
      <c r="A625" s="31" t="s">
        <v>1008</v>
      </c>
      <c r="B625" s="39" t="s">
        <v>1006</v>
      </c>
      <c r="C625" s="30" t="s">
        <v>1007</v>
      </c>
      <c r="D625" s="30" t="s">
        <v>52</v>
      </c>
      <c r="E625" s="20" t="s">
        <v>1997</v>
      </c>
      <c r="F625" s="26" t="s">
        <v>2061</v>
      </c>
      <c r="G625" s="30"/>
      <c r="H625" s="30"/>
      <c r="I625" s="29" t="e">
        <f>VLOOKUP(B625,#REF!,2,FALSE)</f>
        <v>#REF!</v>
      </c>
      <c r="J625" s="28"/>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28"/>
      <c r="AJ625" s="28"/>
      <c r="AK625" s="28"/>
      <c r="AL625" s="28"/>
      <c r="AM625" s="28"/>
      <c r="AN625" s="28"/>
      <c r="AO625" s="28"/>
      <c r="AP625" s="28"/>
      <c r="AQ625" s="28"/>
      <c r="AR625" s="28"/>
      <c r="AS625" s="28"/>
      <c r="AT625" s="28"/>
      <c r="AU625" s="28"/>
      <c r="AV625" s="28"/>
      <c r="AW625" s="28"/>
      <c r="AX625" s="28"/>
      <c r="AY625" s="28"/>
      <c r="AZ625" s="28"/>
      <c r="BA625" s="28"/>
      <c r="BB625" s="28"/>
      <c r="BC625" s="28"/>
      <c r="BD625" s="28"/>
      <c r="BE625" s="28"/>
      <c r="BF625" s="28"/>
      <c r="BG625" s="28"/>
      <c r="BH625" s="28"/>
      <c r="BI625" s="28"/>
      <c r="BJ625" s="28"/>
      <c r="BK625" s="28"/>
      <c r="BL625" s="28"/>
      <c r="BM625" s="28"/>
      <c r="BN625" s="28"/>
      <c r="BO625" s="28"/>
      <c r="BP625" s="28"/>
      <c r="BQ625" s="28"/>
      <c r="BR625" s="28"/>
      <c r="BS625" s="28"/>
      <c r="BT625" s="28"/>
      <c r="BU625" s="28"/>
      <c r="BV625" s="28"/>
      <c r="BW625" s="28"/>
      <c r="BX625" s="28"/>
      <c r="BY625" s="28"/>
      <c r="BZ625" s="28"/>
      <c r="CA625" s="28"/>
      <c r="CB625" s="28"/>
    </row>
    <row r="626" spans="1:80" hidden="1" x14ac:dyDescent="0.25">
      <c r="A626" s="31" t="s">
        <v>1013</v>
      </c>
      <c r="B626" s="39" t="s">
        <v>1012</v>
      </c>
      <c r="C626" s="30" t="s">
        <v>107</v>
      </c>
      <c r="D626" s="30" t="s">
        <v>52</v>
      </c>
      <c r="E626" s="20" t="s">
        <v>1997</v>
      </c>
      <c r="F626" s="26" t="s">
        <v>2061</v>
      </c>
      <c r="G626" s="30"/>
      <c r="H626" s="30"/>
      <c r="I626" s="29" t="e">
        <f>VLOOKUP(B626,#REF!,2,FALSE)</f>
        <v>#REF!</v>
      </c>
      <c r="J626" s="28"/>
      <c r="K626" s="28"/>
      <c r="L626" s="28"/>
      <c r="M626" s="28"/>
      <c r="N626" s="28"/>
      <c r="O626" s="28"/>
      <c r="P626" s="28"/>
      <c r="Q626" s="28"/>
      <c r="R626" s="28"/>
      <c r="S626" s="28"/>
      <c r="T626" s="28"/>
      <c r="U626" s="28"/>
      <c r="V626" s="28"/>
      <c r="W626" s="28"/>
      <c r="X626" s="28"/>
      <c r="Y626" s="28"/>
      <c r="Z626" s="28"/>
      <c r="AA626" s="28"/>
      <c r="AB626" s="28"/>
      <c r="AC626" s="28"/>
      <c r="AD626" s="28"/>
      <c r="AE626" s="28"/>
      <c r="AF626" s="28"/>
      <c r="AG626" s="28"/>
      <c r="AH626" s="28"/>
      <c r="AI626" s="28"/>
      <c r="AJ626" s="28"/>
      <c r="AK626" s="28"/>
      <c r="AL626" s="28"/>
      <c r="AM626" s="28"/>
      <c r="AN626" s="28"/>
      <c r="AO626" s="28"/>
      <c r="AP626" s="28"/>
      <c r="AQ626" s="28"/>
      <c r="AR626" s="28"/>
      <c r="AS626" s="28"/>
      <c r="AT626" s="28"/>
      <c r="AU626" s="28"/>
      <c r="AV626" s="28"/>
      <c r="AW626" s="28"/>
      <c r="AX626" s="28"/>
      <c r="AY626" s="28"/>
      <c r="AZ626" s="28"/>
      <c r="BA626" s="28"/>
      <c r="BB626" s="28"/>
      <c r="BC626" s="28"/>
      <c r="BD626" s="28"/>
      <c r="BE626" s="28"/>
      <c r="BF626" s="28"/>
      <c r="BG626" s="28"/>
      <c r="BH626" s="28"/>
      <c r="BI626" s="28"/>
      <c r="BJ626" s="28"/>
      <c r="BK626" s="28"/>
      <c r="BL626" s="28"/>
      <c r="BM626" s="28"/>
      <c r="BN626" s="28"/>
      <c r="BO626" s="28"/>
      <c r="BP626" s="28"/>
      <c r="BQ626" s="28"/>
      <c r="BR626" s="28"/>
      <c r="BS626" s="28"/>
      <c r="BT626" s="28"/>
      <c r="BU626" s="28"/>
      <c r="BV626" s="28"/>
      <c r="BW626" s="28"/>
      <c r="BX626" s="28"/>
      <c r="BY626" s="28"/>
      <c r="BZ626" s="28"/>
      <c r="CA626" s="28"/>
      <c r="CB626" s="28"/>
    </row>
    <row r="627" spans="1:80" hidden="1" x14ac:dyDescent="0.25">
      <c r="A627" s="31" t="s">
        <v>1025</v>
      </c>
      <c r="B627" s="39" t="s">
        <v>1024</v>
      </c>
      <c r="C627" s="30" t="s">
        <v>1004</v>
      </c>
      <c r="D627" s="30" t="s">
        <v>52</v>
      </c>
      <c r="E627" s="20" t="s">
        <v>1997</v>
      </c>
      <c r="F627" s="26" t="s">
        <v>2061</v>
      </c>
      <c r="G627" s="30"/>
      <c r="H627" s="30"/>
      <c r="I627" s="29" t="e">
        <f>VLOOKUP(B627,#REF!,2,FALSE)</f>
        <v>#REF!</v>
      </c>
      <c r="J627" s="28"/>
      <c r="K627" s="28"/>
      <c r="L627" s="28"/>
      <c r="M627" s="28"/>
      <c r="N627" s="28"/>
      <c r="O627" s="28"/>
      <c r="P627" s="28"/>
      <c r="Q627" s="28"/>
      <c r="R627" s="28"/>
      <c r="S627" s="28"/>
      <c r="T627" s="28"/>
      <c r="U627" s="28"/>
      <c r="V627" s="28"/>
      <c r="W627" s="28"/>
      <c r="X627" s="28"/>
      <c r="Y627" s="28"/>
      <c r="Z627" s="28"/>
      <c r="AA627" s="28"/>
      <c r="AB627" s="28"/>
      <c r="AC627" s="28"/>
      <c r="AD627" s="28"/>
      <c r="AE627" s="28"/>
      <c r="AF627" s="28"/>
      <c r="AG627" s="28"/>
      <c r="AH627" s="28"/>
      <c r="AI627" s="28"/>
      <c r="AJ627" s="28"/>
      <c r="AK627" s="28"/>
      <c r="AL627" s="28"/>
      <c r="AM627" s="28"/>
      <c r="AN627" s="28"/>
      <c r="AO627" s="28"/>
      <c r="AP627" s="28"/>
      <c r="AQ627" s="28"/>
      <c r="AR627" s="28"/>
      <c r="AS627" s="28"/>
      <c r="AT627" s="28"/>
      <c r="AU627" s="28"/>
      <c r="AV627" s="28"/>
      <c r="AW627" s="28"/>
      <c r="AX627" s="28"/>
      <c r="AY627" s="28"/>
      <c r="AZ627" s="28"/>
      <c r="BA627" s="28"/>
      <c r="BB627" s="28"/>
      <c r="BC627" s="28"/>
      <c r="BD627" s="28"/>
      <c r="BE627" s="28"/>
      <c r="BF627" s="28"/>
      <c r="BG627" s="28"/>
      <c r="BH627" s="28"/>
      <c r="BI627" s="28"/>
      <c r="BJ627" s="28"/>
      <c r="BK627" s="28"/>
      <c r="BL627" s="28"/>
      <c r="BM627" s="28"/>
      <c r="BN627" s="28"/>
      <c r="BO627" s="28"/>
      <c r="BP627" s="28"/>
      <c r="BQ627" s="28"/>
      <c r="BR627" s="28"/>
      <c r="BS627" s="28"/>
      <c r="BT627" s="28"/>
      <c r="BU627" s="28"/>
      <c r="BV627" s="28"/>
      <c r="BW627" s="28"/>
      <c r="BX627" s="28"/>
      <c r="BY627" s="28"/>
      <c r="BZ627" s="28"/>
      <c r="CA627" s="28"/>
      <c r="CB627" s="28"/>
    </row>
    <row r="628" spans="1:80" hidden="1" x14ac:dyDescent="0.25">
      <c r="A628" s="33" t="s">
        <v>1028</v>
      </c>
      <c r="B628" s="38" t="s">
        <v>1026</v>
      </c>
      <c r="C628" s="32" t="s">
        <v>1027</v>
      </c>
      <c r="D628" s="32" t="s">
        <v>52</v>
      </c>
      <c r="E628" s="21" t="s">
        <v>1997</v>
      </c>
      <c r="F628" s="25" t="s">
        <v>2061</v>
      </c>
      <c r="G628" s="32"/>
      <c r="H628" s="32"/>
      <c r="I628" s="29" t="e">
        <f>VLOOKUP(B628,#REF!,2,FALSE)</f>
        <v>#REF!</v>
      </c>
      <c r="J628" s="28"/>
      <c r="K628" s="28"/>
      <c r="L628" s="28"/>
      <c r="M628" s="28"/>
      <c r="N628" s="28"/>
      <c r="O628" s="28"/>
      <c r="P628" s="28"/>
      <c r="Q628" s="28"/>
      <c r="R628" s="28"/>
      <c r="S628" s="28"/>
      <c r="T628" s="28"/>
      <c r="U628" s="28"/>
      <c r="V628" s="28"/>
      <c r="W628" s="28"/>
      <c r="X628" s="28"/>
      <c r="Y628" s="28"/>
      <c r="Z628" s="28"/>
      <c r="AA628" s="28"/>
      <c r="AB628" s="28"/>
      <c r="AC628" s="28"/>
      <c r="AD628" s="28"/>
      <c r="AE628" s="28"/>
      <c r="AF628" s="28"/>
      <c r="AG628" s="28"/>
      <c r="AH628" s="28"/>
      <c r="AI628" s="28"/>
      <c r="AJ628" s="28"/>
      <c r="AK628" s="28"/>
      <c r="AL628" s="28"/>
      <c r="AM628" s="28"/>
      <c r="AN628" s="28"/>
      <c r="AO628" s="28"/>
      <c r="AP628" s="28"/>
      <c r="AQ628" s="28"/>
      <c r="AR628" s="28"/>
      <c r="AS628" s="28"/>
      <c r="AT628" s="28"/>
      <c r="AU628" s="28"/>
      <c r="AV628" s="28"/>
      <c r="AW628" s="28"/>
      <c r="AX628" s="28"/>
      <c r="AY628" s="28"/>
      <c r="AZ628" s="28"/>
      <c r="BA628" s="28"/>
      <c r="BB628" s="28"/>
      <c r="BC628" s="28"/>
      <c r="BD628" s="28"/>
      <c r="BE628" s="28"/>
      <c r="BF628" s="28"/>
      <c r="BG628" s="28"/>
      <c r="BH628" s="28"/>
      <c r="BI628" s="28"/>
      <c r="BJ628" s="28"/>
      <c r="BK628" s="28"/>
      <c r="BL628" s="28"/>
      <c r="BM628" s="28"/>
      <c r="BN628" s="28"/>
      <c r="BO628" s="28"/>
      <c r="BP628" s="28"/>
      <c r="BQ628" s="28"/>
      <c r="BR628" s="28"/>
      <c r="BS628" s="28"/>
      <c r="BT628" s="28"/>
      <c r="BU628" s="28"/>
      <c r="BV628" s="28"/>
      <c r="BW628" s="28"/>
      <c r="BX628" s="28"/>
      <c r="BY628" s="28"/>
      <c r="BZ628" s="28"/>
      <c r="CA628" s="28"/>
      <c r="CB628" s="28"/>
    </row>
    <row r="629" spans="1:80" x14ac:dyDescent="0.25">
      <c r="A629" s="33" t="s">
        <v>2073</v>
      </c>
      <c r="B629" s="38" t="s">
        <v>2074</v>
      </c>
      <c r="C629" s="32" t="s">
        <v>2075</v>
      </c>
      <c r="D629" s="32" t="s">
        <v>52</v>
      </c>
      <c r="E629" s="21" t="s">
        <v>1997</v>
      </c>
      <c r="F629" s="25" t="s">
        <v>2061</v>
      </c>
      <c r="G629" s="32"/>
      <c r="H629" s="32"/>
      <c r="I629" s="29" t="e">
        <f>VLOOKUP(B629,#REF!,2,FALSE)</f>
        <v>#REF!</v>
      </c>
      <c r="J629" s="28"/>
      <c r="K629" s="28"/>
      <c r="L629" s="28"/>
      <c r="M629" s="28"/>
      <c r="N629" s="28"/>
      <c r="O629" s="28"/>
      <c r="P629" s="28"/>
      <c r="Q629" s="28"/>
      <c r="R629" s="28"/>
      <c r="S629" s="28"/>
      <c r="T629" s="28"/>
      <c r="U629" s="28"/>
      <c r="V629" s="28"/>
      <c r="W629" s="28"/>
      <c r="X629" s="28"/>
      <c r="Y629" s="28"/>
      <c r="Z629" s="28"/>
      <c r="AA629" s="28"/>
      <c r="AB629" s="28"/>
      <c r="AC629" s="28"/>
      <c r="AD629" s="28"/>
      <c r="AE629" s="28"/>
      <c r="AF629" s="28"/>
      <c r="AG629" s="28"/>
      <c r="AH629" s="28"/>
      <c r="AI629" s="28"/>
      <c r="AJ629" s="28"/>
      <c r="AK629" s="28"/>
      <c r="AL629" s="28"/>
      <c r="AM629" s="28"/>
      <c r="AN629" s="28"/>
      <c r="AO629" s="28"/>
      <c r="AP629" s="28"/>
      <c r="AQ629" s="28"/>
      <c r="AR629" s="28"/>
      <c r="AS629" s="28"/>
      <c r="AT629" s="28"/>
      <c r="AU629" s="28"/>
      <c r="AV629" s="28"/>
      <c r="AW629" s="28"/>
      <c r="AX629" s="28"/>
      <c r="AY629" s="28"/>
      <c r="AZ629" s="28"/>
      <c r="BA629" s="28"/>
      <c r="BB629" s="28"/>
      <c r="BC629" s="28"/>
      <c r="BD629" s="28"/>
      <c r="BE629" s="28"/>
      <c r="BF629" s="28"/>
      <c r="BG629" s="28"/>
      <c r="BH629" s="28"/>
      <c r="BI629" s="28"/>
      <c r="BJ629" s="28"/>
      <c r="BK629" s="28"/>
      <c r="BL629" s="28"/>
      <c r="BM629" s="28"/>
      <c r="BN629" s="28"/>
      <c r="BO629" s="28"/>
      <c r="BP629" s="28"/>
      <c r="BQ629" s="28"/>
      <c r="BR629" s="28"/>
      <c r="BS629" s="28"/>
      <c r="BT629" s="28"/>
      <c r="BU629" s="28"/>
      <c r="BV629" s="28"/>
      <c r="BW629" s="28"/>
      <c r="BX629" s="28"/>
      <c r="BY629" s="28"/>
      <c r="BZ629" s="28"/>
      <c r="CA629" s="28"/>
      <c r="CB629" s="28"/>
    </row>
    <row r="630" spans="1:80" hidden="1" x14ac:dyDescent="0.25">
      <c r="A630" s="31" t="s">
        <v>1038</v>
      </c>
      <c r="B630" s="39" t="s">
        <v>1037</v>
      </c>
      <c r="C630" s="30" t="s">
        <v>173</v>
      </c>
      <c r="D630" s="30" t="s">
        <v>52</v>
      </c>
      <c r="E630" s="20" t="s">
        <v>1997</v>
      </c>
      <c r="F630" s="26" t="s">
        <v>2061</v>
      </c>
      <c r="G630" s="30"/>
      <c r="H630" s="30"/>
      <c r="I630" s="29" t="e">
        <f>VLOOKUP(B630,#REF!,2,FALSE)</f>
        <v>#REF!</v>
      </c>
      <c r="J630" s="28"/>
      <c r="K630" s="28"/>
      <c r="L630" s="28"/>
      <c r="M630" s="28"/>
      <c r="N630" s="28"/>
      <c r="O630" s="28"/>
      <c r="P630" s="28"/>
      <c r="Q630" s="28"/>
      <c r="R630" s="28"/>
      <c r="S630" s="28"/>
      <c r="T630" s="28"/>
      <c r="U630" s="28"/>
      <c r="V630" s="28"/>
      <c r="W630" s="28"/>
      <c r="X630" s="28"/>
      <c r="Y630" s="28"/>
      <c r="Z630" s="28"/>
      <c r="AA630" s="28"/>
      <c r="AB630" s="28"/>
      <c r="AC630" s="28"/>
      <c r="AD630" s="28"/>
      <c r="AE630" s="28"/>
      <c r="AF630" s="28"/>
      <c r="AG630" s="28"/>
      <c r="AH630" s="28"/>
      <c r="AI630" s="28"/>
      <c r="AJ630" s="28"/>
      <c r="AK630" s="28"/>
      <c r="AL630" s="28"/>
      <c r="AM630" s="28"/>
      <c r="AN630" s="28"/>
      <c r="AO630" s="28"/>
      <c r="AP630" s="28"/>
      <c r="AQ630" s="28"/>
      <c r="AR630" s="28"/>
      <c r="AS630" s="28"/>
      <c r="AT630" s="28"/>
      <c r="AU630" s="28"/>
      <c r="AV630" s="28"/>
      <c r="AW630" s="28"/>
      <c r="AX630" s="28"/>
      <c r="AY630" s="28"/>
      <c r="AZ630" s="28"/>
      <c r="BA630" s="28"/>
      <c r="BB630" s="28"/>
      <c r="BC630" s="28"/>
      <c r="BD630" s="28"/>
      <c r="BE630" s="28"/>
      <c r="BF630" s="28"/>
      <c r="BG630" s="28"/>
      <c r="BH630" s="28"/>
      <c r="BI630" s="28"/>
      <c r="BJ630" s="28"/>
      <c r="BK630" s="28"/>
      <c r="BL630" s="28"/>
      <c r="BM630" s="28"/>
      <c r="BN630" s="28"/>
      <c r="BO630" s="28"/>
      <c r="BP630" s="28"/>
      <c r="BQ630" s="28"/>
      <c r="BR630" s="28"/>
      <c r="BS630" s="28"/>
      <c r="BT630" s="28"/>
      <c r="BU630" s="28"/>
      <c r="BV630" s="28"/>
      <c r="BW630" s="28"/>
      <c r="BX630" s="28"/>
      <c r="BY630" s="28"/>
      <c r="BZ630" s="28"/>
      <c r="CA630" s="28"/>
      <c r="CB630" s="28"/>
    </row>
    <row r="631" spans="1:80" hidden="1" x14ac:dyDescent="0.25">
      <c r="A631" s="31" t="s">
        <v>1044</v>
      </c>
      <c r="B631" s="39" t="s">
        <v>2076</v>
      </c>
      <c r="C631" s="30" t="s">
        <v>2077</v>
      </c>
      <c r="D631" s="30" t="s">
        <v>52</v>
      </c>
      <c r="E631" s="20" t="s">
        <v>1997</v>
      </c>
      <c r="F631" s="26" t="s">
        <v>2061</v>
      </c>
      <c r="G631" s="30"/>
      <c r="H631" s="30"/>
      <c r="I631" s="29" t="e">
        <f>VLOOKUP(B631,#REF!,2,FALSE)</f>
        <v>#REF!</v>
      </c>
      <c r="J631" s="28"/>
      <c r="K631" s="28"/>
      <c r="L631" s="28"/>
      <c r="M631" s="28"/>
      <c r="N631" s="28"/>
      <c r="O631" s="28"/>
      <c r="P631" s="28"/>
      <c r="Q631" s="28"/>
      <c r="R631" s="28"/>
      <c r="S631" s="28"/>
      <c r="T631" s="28"/>
      <c r="U631" s="28"/>
      <c r="V631" s="28"/>
      <c r="W631" s="28"/>
      <c r="X631" s="28"/>
      <c r="Y631" s="28"/>
      <c r="Z631" s="28"/>
      <c r="AA631" s="28"/>
      <c r="AB631" s="28"/>
      <c r="AC631" s="28"/>
      <c r="AD631" s="28"/>
      <c r="AE631" s="28"/>
      <c r="AF631" s="28"/>
      <c r="AG631" s="28"/>
      <c r="AH631" s="28"/>
      <c r="AI631" s="28"/>
      <c r="AJ631" s="28"/>
      <c r="AK631" s="28"/>
      <c r="AL631" s="28"/>
      <c r="AM631" s="28"/>
      <c r="AN631" s="28"/>
      <c r="AO631" s="28"/>
      <c r="AP631" s="28"/>
      <c r="AQ631" s="28"/>
      <c r="AR631" s="28"/>
      <c r="AS631" s="28"/>
      <c r="AT631" s="28"/>
      <c r="AU631" s="28"/>
      <c r="AV631" s="28"/>
      <c r="AW631" s="28"/>
      <c r="AX631" s="28"/>
      <c r="AY631" s="28"/>
      <c r="AZ631" s="28"/>
      <c r="BA631" s="28"/>
      <c r="BB631" s="28"/>
      <c r="BC631" s="28"/>
      <c r="BD631" s="28"/>
      <c r="BE631" s="28"/>
      <c r="BF631" s="28"/>
      <c r="BG631" s="28"/>
      <c r="BH631" s="28"/>
      <c r="BI631" s="28"/>
      <c r="BJ631" s="28"/>
      <c r="BK631" s="28"/>
      <c r="BL631" s="28"/>
      <c r="BM631" s="28"/>
      <c r="BN631" s="28"/>
      <c r="BO631" s="28"/>
      <c r="BP631" s="28"/>
      <c r="BQ631" s="28"/>
      <c r="BR631" s="28"/>
      <c r="BS631" s="28"/>
      <c r="BT631" s="28"/>
      <c r="BU631" s="28"/>
      <c r="BV631" s="28"/>
      <c r="BW631" s="28"/>
      <c r="BX631" s="28"/>
      <c r="BY631" s="28"/>
      <c r="BZ631" s="28"/>
      <c r="CA631" s="28"/>
      <c r="CB631" s="28"/>
    </row>
    <row r="632" spans="1:80" hidden="1" x14ac:dyDescent="0.25">
      <c r="A632" s="31" t="s">
        <v>1064</v>
      </c>
      <c r="B632" s="39" t="s">
        <v>2078</v>
      </c>
      <c r="C632" s="30" t="s">
        <v>2079</v>
      </c>
      <c r="D632" s="30" t="s">
        <v>52</v>
      </c>
      <c r="E632" s="20" t="s">
        <v>1997</v>
      </c>
      <c r="F632" s="26" t="s">
        <v>2061</v>
      </c>
      <c r="G632" s="30"/>
      <c r="H632" s="30"/>
      <c r="I632" s="29" t="e">
        <f>VLOOKUP(B632,#REF!,2,FALSE)</f>
        <v>#REF!</v>
      </c>
      <c r="J632" s="28"/>
      <c r="K632" s="28"/>
      <c r="L632" s="28"/>
      <c r="M632" s="28"/>
      <c r="N632" s="28"/>
      <c r="O632" s="28"/>
      <c r="P632" s="28"/>
      <c r="Q632" s="28"/>
      <c r="R632" s="28"/>
      <c r="S632" s="28"/>
      <c r="T632" s="28"/>
      <c r="U632" s="28"/>
      <c r="V632" s="28"/>
      <c r="W632" s="28"/>
      <c r="X632" s="28"/>
      <c r="Y632" s="28"/>
      <c r="Z632" s="28"/>
      <c r="AA632" s="28"/>
      <c r="AB632" s="28"/>
      <c r="AC632" s="28"/>
      <c r="AD632" s="28"/>
      <c r="AE632" s="28"/>
      <c r="AF632" s="28"/>
      <c r="AG632" s="28"/>
      <c r="AH632" s="28"/>
      <c r="AI632" s="28"/>
      <c r="AJ632" s="28"/>
      <c r="AK632" s="28"/>
      <c r="AL632" s="28"/>
      <c r="AM632" s="28"/>
      <c r="AN632" s="28"/>
      <c r="AO632" s="28"/>
      <c r="AP632" s="28"/>
      <c r="AQ632" s="28"/>
      <c r="AR632" s="28"/>
      <c r="AS632" s="28"/>
      <c r="AT632" s="28"/>
      <c r="AU632" s="28"/>
      <c r="AV632" s="28"/>
      <c r="AW632" s="28"/>
      <c r="AX632" s="28"/>
      <c r="AY632" s="28"/>
      <c r="AZ632" s="28"/>
      <c r="BA632" s="28"/>
      <c r="BB632" s="28"/>
      <c r="BC632" s="28"/>
      <c r="BD632" s="28"/>
      <c r="BE632" s="28"/>
      <c r="BF632" s="28"/>
      <c r="BG632" s="28"/>
      <c r="BH632" s="28"/>
      <c r="BI632" s="28"/>
      <c r="BJ632" s="28"/>
      <c r="BK632" s="28"/>
      <c r="BL632" s="28"/>
      <c r="BM632" s="28"/>
      <c r="BN632" s="28"/>
      <c r="BO632" s="28"/>
      <c r="BP632" s="28"/>
      <c r="BQ632" s="28"/>
      <c r="BR632" s="28"/>
      <c r="BS632" s="28"/>
      <c r="BT632" s="28"/>
      <c r="BU632" s="28"/>
      <c r="BV632" s="28"/>
      <c r="BW632" s="28"/>
      <c r="BX632" s="28"/>
      <c r="BY632" s="28"/>
      <c r="BZ632" s="28"/>
      <c r="CA632" s="28"/>
      <c r="CB632" s="28"/>
    </row>
    <row r="633" spans="1:80" hidden="1" x14ac:dyDescent="0.25">
      <c r="A633" s="31" t="s">
        <v>1068</v>
      </c>
      <c r="B633" s="39" t="s">
        <v>1067</v>
      </c>
      <c r="C633" s="30" t="s">
        <v>1004</v>
      </c>
      <c r="D633" s="30" t="s">
        <v>52</v>
      </c>
      <c r="E633" s="20" t="s">
        <v>1997</v>
      </c>
      <c r="F633" s="26" t="s">
        <v>2061</v>
      </c>
      <c r="G633" s="30"/>
      <c r="H633" s="30"/>
      <c r="I633" s="29" t="e">
        <f>VLOOKUP(B633,#REF!,2,FALSE)</f>
        <v>#REF!</v>
      </c>
      <c r="J633" s="28"/>
      <c r="K633" s="28"/>
      <c r="L633" s="28"/>
      <c r="M633" s="28"/>
      <c r="N633" s="28"/>
      <c r="O633" s="28"/>
      <c r="P633" s="28"/>
      <c r="Q633" s="28"/>
      <c r="R633" s="28"/>
      <c r="S633" s="28"/>
      <c r="T633" s="28"/>
      <c r="U633" s="28"/>
      <c r="V633" s="28"/>
      <c r="W633" s="28"/>
      <c r="X633" s="28"/>
      <c r="Y633" s="28"/>
      <c r="Z633" s="28"/>
      <c r="AA633" s="28"/>
      <c r="AB633" s="28"/>
      <c r="AC633" s="28"/>
      <c r="AD633" s="28"/>
      <c r="AE633" s="28"/>
      <c r="AF633" s="28"/>
      <c r="AG633" s="28"/>
      <c r="AH633" s="28"/>
      <c r="AI633" s="28"/>
      <c r="AJ633" s="28"/>
      <c r="AK633" s="28"/>
      <c r="AL633" s="28"/>
      <c r="AM633" s="28"/>
      <c r="AN633" s="28"/>
      <c r="AO633" s="28"/>
      <c r="AP633" s="28"/>
      <c r="AQ633" s="28"/>
      <c r="AR633" s="28"/>
      <c r="AS633" s="28"/>
      <c r="AT633" s="28"/>
      <c r="AU633" s="28"/>
      <c r="AV633" s="28"/>
      <c r="AW633" s="28"/>
      <c r="AX633" s="28"/>
      <c r="AY633" s="28"/>
      <c r="AZ633" s="28"/>
      <c r="BA633" s="28"/>
      <c r="BB633" s="28"/>
      <c r="BC633" s="28"/>
      <c r="BD633" s="28"/>
      <c r="BE633" s="28"/>
      <c r="BF633" s="28"/>
      <c r="BG633" s="28"/>
      <c r="BH633" s="28"/>
      <c r="BI633" s="28"/>
      <c r="BJ633" s="28"/>
      <c r="BK633" s="28"/>
      <c r="BL633" s="28"/>
      <c r="BM633" s="28"/>
      <c r="BN633" s="28"/>
      <c r="BO633" s="28"/>
      <c r="BP633" s="28"/>
      <c r="BQ633" s="28"/>
      <c r="BR633" s="28"/>
      <c r="BS633" s="28"/>
      <c r="BT633" s="28"/>
      <c r="BU633" s="28"/>
      <c r="BV633" s="28"/>
      <c r="BW633" s="28"/>
      <c r="BX633" s="28"/>
      <c r="BY633" s="28"/>
      <c r="BZ633" s="28"/>
      <c r="CA633" s="28"/>
      <c r="CB633" s="28"/>
    </row>
    <row r="634" spans="1:80" x14ac:dyDescent="0.25">
      <c r="A634" s="31" t="s">
        <v>2080</v>
      </c>
      <c r="B634" s="39" t="s">
        <v>2081</v>
      </c>
      <c r="C634" s="30" t="s">
        <v>1690</v>
      </c>
      <c r="D634" s="30" t="s">
        <v>52</v>
      </c>
      <c r="E634" s="20" t="s">
        <v>1997</v>
      </c>
      <c r="F634" s="26" t="s">
        <v>2061</v>
      </c>
      <c r="G634" s="30"/>
      <c r="H634" s="30"/>
      <c r="I634" s="29" t="e">
        <f>VLOOKUP(B634,#REF!,2,FALSE)</f>
        <v>#REF!</v>
      </c>
      <c r="J634" s="28"/>
      <c r="K634" s="28"/>
      <c r="L634" s="28"/>
      <c r="M634" s="28"/>
      <c r="N634" s="28"/>
      <c r="O634" s="28"/>
      <c r="P634" s="28"/>
      <c r="Q634" s="28"/>
      <c r="R634" s="28"/>
      <c r="S634" s="28"/>
      <c r="T634" s="28"/>
      <c r="U634" s="28"/>
      <c r="V634" s="28"/>
      <c r="W634" s="28"/>
      <c r="X634" s="28"/>
      <c r="Y634" s="28"/>
      <c r="Z634" s="28"/>
      <c r="AA634" s="28"/>
      <c r="AB634" s="28"/>
      <c r="AC634" s="28"/>
      <c r="AD634" s="28"/>
      <c r="AE634" s="28"/>
      <c r="AF634" s="28"/>
      <c r="AG634" s="28"/>
      <c r="AH634" s="28"/>
      <c r="AI634" s="28"/>
      <c r="AJ634" s="28"/>
      <c r="AK634" s="28"/>
      <c r="AL634" s="28"/>
      <c r="AM634" s="28"/>
      <c r="AN634" s="28"/>
      <c r="AO634" s="28"/>
      <c r="AP634" s="28"/>
      <c r="AQ634" s="28"/>
      <c r="AR634" s="28"/>
      <c r="AS634" s="28"/>
      <c r="AT634" s="28"/>
      <c r="AU634" s="28"/>
      <c r="AV634" s="28"/>
      <c r="AW634" s="28"/>
      <c r="AX634" s="28"/>
      <c r="AY634" s="28"/>
      <c r="AZ634" s="28"/>
      <c r="BA634" s="28"/>
      <c r="BB634" s="28"/>
      <c r="BC634" s="28"/>
      <c r="BD634" s="28"/>
      <c r="BE634" s="28"/>
      <c r="BF634" s="28"/>
      <c r="BG634" s="28"/>
      <c r="BH634" s="28"/>
      <c r="BI634" s="28"/>
      <c r="BJ634" s="28"/>
      <c r="BK634" s="28"/>
      <c r="BL634" s="28"/>
      <c r="BM634" s="28"/>
      <c r="BN634" s="28"/>
      <c r="BO634" s="28"/>
      <c r="BP634" s="28"/>
      <c r="BQ634" s="28"/>
      <c r="BR634" s="28"/>
      <c r="BS634" s="28"/>
      <c r="BT634" s="28"/>
      <c r="BU634" s="28"/>
      <c r="BV634" s="28"/>
      <c r="BW634" s="28"/>
      <c r="BX634" s="28"/>
      <c r="BY634" s="28"/>
      <c r="BZ634" s="28"/>
      <c r="CA634" s="28"/>
      <c r="CB634" s="28"/>
    </row>
    <row r="635" spans="1:80" hidden="1" x14ac:dyDescent="0.25">
      <c r="A635" s="31" t="s">
        <v>1083</v>
      </c>
      <c r="B635" s="39" t="s">
        <v>2082</v>
      </c>
      <c r="C635" s="30" t="s">
        <v>1742</v>
      </c>
      <c r="D635" s="30" t="s">
        <v>52</v>
      </c>
      <c r="E635" s="20" t="s">
        <v>1997</v>
      </c>
      <c r="F635" s="26" t="s">
        <v>2061</v>
      </c>
      <c r="G635" s="30"/>
      <c r="H635" s="30"/>
      <c r="I635" s="29" t="e">
        <f>VLOOKUP(B635,#REF!,2,FALSE)</f>
        <v>#REF!</v>
      </c>
      <c r="J635" s="28"/>
      <c r="K635" s="28"/>
      <c r="L635" s="28"/>
      <c r="M635" s="28"/>
      <c r="N635" s="28"/>
      <c r="O635" s="28"/>
      <c r="P635" s="28"/>
      <c r="Q635" s="28"/>
      <c r="R635" s="28"/>
      <c r="S635" s="28"/>
      <c r="T635" s="28"/>
      <c r="U635" s="28"/>
      <c r="V635" s="28"/>
      <c r="W635" s="28"/>
      <c r="X635" s="28"/>
      <c r="Y635" s="28"/>
      <c r="Z635" s="28"/>
      <c r="AA635" s="28"/>
      <c r="AB635" s="28"/>
      <c r="AC635" s="28"/>
      <c r="AD635" s="28"/>
      <c r="AE635" s="28"/>
      <c r="AF635" s="28"/>
      <c r="AG635" s="28"/>
      <c r="AH635" s="28"/>
      <c r="AI635" s="28"/>
      <c r="AJ635" s="28"/>
      <c r="AK635" s="28"/>
      <c r="AL635" s="28"/>
      <c r="AM635" s="28"/>
      <c r="AN635" s="28"/>
      <c r="AO635" s="28"/>
      <c r="AP635" s="28"/>
      <c r="AQ635" s="28"/>
      <c r="AR635" s="28"/>
      <c r="AS635" s="28"/>
      <c r="AT635" s="28"/>
      <c r="AU635" s="28"/>
      <c r="AV635" s="28"/>
      <c r="AW635" s="28"/>
      <c r="AX635" s="28"/>
      <c r="AY635" s="28"/>
      <c r="AZ635" s="28"/>
      <c r="BA635" s="28"/>
      <c r="BB635" s="28"/>
      <c r="BC635" s="28"/>
      <c r="BD635" s="28"/>
      <c r="BE635" s="28"/>
      <c r="BF635" s="28"/>
      <c r="BG635" s="28"/>
      <c r="BH635" s="28"/>
      <c r="BI635" s="28"/>
      <c r="BJ635" s="28"/>
      <c r="BK635" s="28"/>
      <c r="BL635" s="28"/>
      <c r="BM635" s="28"/>
      <c r="BN635" s="28"/>
      <c r="BO635" s="28"/>
      <c r="BP635" s="28"/>
      <c r="BQ635" s="28"/>
      <c r="BR635" s="28"/>
      <c r="BS635" s="28"/>
      <c r="BT635" s="28"/>
      <c r="BU635" s="28"/>
      <c r="BV635" s="28"/>
      <c r="BW635" s="28"/>
      <c r="BX635" s="28"/>
      <c r="BY635" s="28"/>
      <c r="BZ635" s="28"/>
      <c r="CA635" s="28"/>
      <c r="CB635" s="28"/>
    </row>
    <row r="636" spans="1:80" hidden="1" x14ac:dyDescent="0.25">
      <c r="A636" s="31" t="s">
        <v>1086</v>
      </c>
      <c r="B636" s="39" t="s">
        <v>1085</v>
      </c>
      <c r="C636" s="30" t="s">
        <v>228</v>
      </c>
      <c r="D636" s="30" t="s">
        <v>52</v>
      </c>
      <c r="E636" s="20" t="s">
        <v>1997</v>
      </c>
      <c r="F636" s="26" t="s">
        <v>2061</v>
      </c>
      <c r="G636" s="30"/>
      <c r="H636" s="30"/>
      <c r="I636" s="29" t="e">
        <f>VLOOKUP(B636,#REF!,2,FALSE)</f>
        <v>#REF!</v>
      </c>
      <c r="J636" s="28"/>
      <c r="K636" s="28"/>
      <c r="L636" s="28"/>
      <c r="M636" s="28"/>
      <c r="N636" s="28"/>
      <c r="O636" s="28"/>
      <c r="P636" s="28"/>
      <c r="Q636" s="28"/>
      <c r="R636" s="28"/>
      <c r="S636" s="28"/>
      <c r="T636" s="28"/>
      <c r="U636" s="28"/>
      <c r="V636" s="28"/>
      <c r="W636" s="28"/>
      <c r="X636" s="28"/>
      <c r="Y636" s="28"/>
      <c r="Z636" s="28"/>
      <c r="AA636" s="28"/>
      <c r="AB636" s="28"/>
      <c r="AC636" s="28"/>
      <c r="AD636" s="28"/>
      <c r="AE636" s="28"/>
      <c r="AF636" s="28"/>
      <c r="AG636" s="28"/>
      <c r="AH636" s="28"/>
      <c r="AI636" s="28"/>
      <c r="AJ636" s="28"/>
      <c r="AK636" s="28"/>
      <c r="AL636" s="28"/>
      <c r="AM636" s="28"/>
      <c r="AN636" s="28"/>
      <c r="AO636" s="28"/>
      <c r="AP636" s="28"/>
      <c r="AQ636" s="28"/>
      <c r="AR636" s="28"/>
      <c r="AS636" s="28"/>
      <c r="AT636" s="28"/>
      <c r="AU636" s="28"/>
      <c r="AV636" s="28"/>
      <c r="AW636" s="28"/>
      <c r="AX636" s="28"/>
      <c r="AY636" s="28"/>
      <c r="AZ636" s="28"/>
      <c r="BA636" s="28"/>
      <c r="BB636" s="28"/>
      <c r="BC636" s="28"/>
      <c r="BD636" s="28"/>
      <c r="BE636" s="28"/>
      <c r="BF636" s="28"/>
      <c r="BG636" s="28"/>
      <c r="BH636" s="28"/>
      <c r="BI636" s="28"/>
      <c r="BJ636" s="28"/>
      <c r="BK636" s="28"/>
      <c r="BL636" s="28"/>
      <c r="BM636" s="28"/>
      <c r="BN636" s="28"/>
      <c r="BO636" s="28"/>
      <c r="BP636" s="28"/>
      <c r="BQ636" s="28"/>
      <c r="BR636" s="28"/>
      <c r="BS636" s="28"/>
      <c r="BT636" s="28"/>
      <c r="BU636" s="28"/>
      <c r="BV636" s="28"/>
      <c r="BW636" s="28"/>
      <c r="BX636" s="28"/>
      <c r="BY636" s="28"/>
      <c r="BZ636" s="28"/>
      <c r="CA636" s="28"/>
      <c r="CB636" s="28"/>
    </row>
    <row r="637" spans="1:80" hidden="1" x14ac:dyDescent="0.25">
      <c r="A637" s="31" t="s">
        <v>1091</v>
      </c>
      <c r="B637" s="39" t="s">
        <v>1724</v>
      </c>
      <c r="C637" s="30" t="s">
        <v>1723</v>
      </c>
      <c r="D637" s="30" t="s">
        <v>52</v>
      </c>
      <c r="E637" s="20" t="s">
        <v>1997</v>
      </c>
      <c r="F637" s="26" t="s">
        <v>2061</v>
      </c>
      <c r="G637" s="30"/>
      <c r="H637" s="30"/>
      <c r="I637" s="29" t="e">
        <f>VLOOKUP(B637,#REF!,2,FALSE)</f>
        <v>#REF!</v>
      </c>
      <c r="J637" s="28"/>
      <c r="K637" s="28"/>
      <c r="L637" s="28"/>
      <c r="M637" s="28"/>
      <c r="N637" s="28"/>
      <c r="O637" s="28"/>
      <c r="P637" s="28"/>
      <c r="Q637" s="28"/>
      <c r="R637" s="28"/>
      <c r="S637" s="28"/>
      <c r="T637" s="28"/>
      <c r="U637" s="28"/>
      <c r="V637" s="28"/>
      <c r="W637" s="28"/>
      <c r="X637" s="28"/>
      <c r="Y637" s="28"/>
      <c r="Z637" s="28"/>
      <c r="AA637" s="28"/>
      <c r="AB637" s="28"/>
      <c r="AC637" s="28"/>
      <c r="AD637" s="28"/>
      <c r="AE637" s="28"/>
      <c r="AF637" s="28"/>
      <c r="AG637" s="28"/>
      <c r="AH637" s="28"/>
      <c r="AI637" s="28"/>
      <c r="AJ637" s="28"/>
      <c r="AK637" s="28"/>
      <c r="AL637" s="28"/>
      <c r="AM637" s="28"/>
      <c r="AN637" s="28"/>
      <c r="AO637" s="28"/>
      <c r="AP637" s="28"/>
      <c r="AQ637" s="28"/>
      <c r="AR637" s="28"/>
      <c r="AS637" s="28"/>
      <c r="AT637" s="28"/>
      <c r="AU637" s="28"/>
      <c r="AV637" s="28"/>
      <c r="AW637" s="28"/>
      <c r="AX637" s="28"/>
      <c r="AY637" s="28"/>
      <c r="AZ637" s="28"/>
      <c r="BA637" s="28"/>
      <c r="BB637" s="28"/>
      <c r="BC637" s="28"/>
      <c r="BD637" s="28"/>
      <c r="BE637" s="28"/>
      <c r="BF637" s="28"/>
      <c r="BG637" s="28"/>
      <c r="BH637" s="28"/>
      <c r="BI637" s="28"/>
      <c r="BJ637" s="28"/>
      <c r="BK637" s="28"/>
      <c r="BL637" s="28"/>
      <c r="BM637" s="28"/>
      <c r="BN637" s="28"/>
      <c r="BO637" s="28"/>
      <c r="BP637" s="28"/>
      <c r="BQ637" s="28"/>
      <c r="BR637" s="28"/>
      <c r="BS637" s="28"/>
      <c r="BT637" s="28"/>
      <c r="BU637" s="28"/>
      <c r="BV637" s="28"/>
      <c r="BW637" s="28"/>
      <c r="BX637" s="28"/>
      <c r="BY637" s="28"/>
      <c r="BZ637" s="28"/>
      <c r="CA637" s="28"/>
      <c r="CB637" s="28"/>
    </row>
    <row r="638" spans="1:80" hidden="1" x14ac:dyDescent="0.25">
      <c r="A638" s="33" t="s">
        <v>1097</v>
      </c>
      <c r="B638" s="38" t="s">
        <v>1096</v>
      </c>
      <c r="C638" s="32" t="s">
        <v>43</v>
      </c>
      <c r="D638" s="32" t="s">
        <v>52</v>
      </c>
      <c r="E638" s="21" t="s">
        <v>1997</v>
      </c>
      <c r="F638" s="25" t="s">
        <v>2061</v>
      </c>
      <c r="G638" s="32"/>
      <c r="H638" s="32"/>
      <c r="I638" s="29" t="e">
        <f>VLOOKUP(B638,#REF!,2,FALSE)</f>
        <v>#REF!</v>
      </c>
      <c r="J638" s="29"/>
      <c r="K638" s="29"/>
      <c r="L638" s="29"/>
      <c r="M638" s="29"/>
      <c r="N638" s="29"/>
      <c r="O638" s="29"/>
      <c r="P638" s="29"/>
      <c r="Q638" s="29"/>
      <c r="R638" s="29"/>
      <c r="S638" s="29"/>
      <c r="T638" s="29"/>
      <c r="U638" s="29"/>
      <c r="V638" s="29"/>
      <c r="W638" s="29"/>
      <c r="X638" s="29"/>
      <c r="Y638" s="29"/>
      <c r="Z638" s="29"/>
      <c r="AA638" s="29"/>
      <c r="AB638" s="29"/>
      <c r="AC638" s="29"/>
      <c r="AD638" s="29"/>
      <c r="AE638" s="29"/>
      <c r="AF638" s="29"/>
      <c r="AG638" s="29"/>
      <c r="AH638" s="29"/>
      <c r="AI638" s="29"/>
      <c r="AJ638" s="29"/>
      <c r="AK638" s="29"/>
      <c r="AL638" s="29"/>
      <c r="AM638" s="29"/>
      <c r="AN638" s="29"/>
      <c r="AO638" s="29"/>
      <c r="AP638" s="29"/>
      <c r="AQ638" s="29"/>
      <c r="AR638" s="29"/>
      <c r="AS638" s="29"/>
      <c r="AT638" s="29"/>
      <c r="AU638" s="29"/>
      <c r="AV638" s="29"/>
      <c r="AW638" s="29"/>
      <c r="AX638" s="29"/>
      <c r="AY638" s="29"/>
      <c r="AZ638" s="29"/>
      <c r="BA638" s="29"/>
      <c r="BB638" s="29"/>
      <c r="BC638" s="29"/>
      <c r="BD638" s="29"/>
      <c r="BE638" s="29"/>
      <c r="BF638" s="29"/>
      <c r="BG638" s="29"/>
      <c r="BH638" s="29"/>
      <c r="BI638" s="29"/>
      <c r="BJ638" s="29"/>
      <c r="BK638" s="29"/>
      <c r="BL638" s="29"/>
      <c r="BM638" s="29"/>
      <c r="BN638" s="29"/>
      <c r="BO638" s="29"/>
      <c r="BP638" s="29"/>
      <c r="BQ638" s="29"/>
      <c r="BR638" s="29"/>
      <c r="BS638" s="29"/>
      <c r="BT638" s="29"/>
      <c r="BU638" s="29"/>
      <c r="BV638" s="29"/>
      <c r="BW638" s="29"/>
      <c r="BX638" s="29"/>
      <c r="BY638" s="29"/>
      <c r="BZ638" s="29"/>
      <c r="CA638" s="29"/>
      <c r="CB638" s="29"/>
    </row>
    <row r="639" spans="1:80" hidden="1" x14ac:dyDescent="0.25">
      <c r="A639" s="31" t="s">
        <v>1099</v>
      </c>
      <c r="B639" s="39" t="s">
        <v>1098</v>
      </c>
      <c r="C639" s="30" t="s">
        <v>451</v>
      </c>
      <c r="D639" s="30" t="s">
        <v>52</v>
      </c>
      <c r="E639" s="20" t="s">
        <v>1997</v>
      </c>
      <c r="F639" s="26" t="s">
        <v>2061</v>
      </c>
      <c r="G639" s="30"/>
      <c r="H639" s="30"/>
      <c r="I639" s="29" t="e">
        <f>VLOOKUP(B639,#REF!,2,FALSE)</f>
        <v>#REF!</v>
      </c>
      <c r="J639" s="28"/>
      <c r="K639" s="28"/>
      <c r="L639" s="28"/>
      <c r="M639" s="28"/>
      <c r="N639" s="28"/>
      <c r="O639" s="28"/>
      <c r="P639" s="28"/>
      <c r="Q639" s="28"/>
      <c r="R639" s="28"/>
      <c r="S639" s="28"/>
      <c r="T639" s="28"/>
      <c r="U639" s="28"/>
      <c r="V639" s="28"/>
      <c r="W639" s="28"/>
      <c r="X639" s="28"/>
      <c r="Y639" s="28"/>
      <c r="Z639" s="28"/>
      <c r="AA639" s="28"/>
      <c r="AB639" s="28"/>
      <c r="AC639" s="28"/>
      <c r="AD639" s="28"/>
      <c r="AE639" s="28"/>
      <c r="AF639" s="28"/>
      <c r="AG639" s="28"/>
      <c r="AH639" s="28"/>
      <c r="AI639" s="28"/>
      <c r="AJ639" s="28"/>
      <c r="AK639" s="28"/>
      <c r="AL639" s="28"/>
      <c r="AM639" s="28"/>
      <c r="AN639" s="28"/>
      <c r="AO639" s="28"/>
      <c r="AP639" s="28"/>
      <c r="AQ639" s="28"/>
      <c r="AR639" s="28"/>
      <c r="AS639" s="28"/>
      <c r="AT639" s="28"/>
      <c r="AU639" s="28"/>
      <c r="AV639" s="28"/>
      <c r="AW639" s="28"/>
      <c r="AX639" s="28"/>
      <c r="AY639" s="28"/>
      <c r="AZ639" s="28"/>
      <c r="BA639" s="28"/>
      <c r="BB639" s="28"/>
      <c r="BC639" s="28"/>
      <c r="BD639" s="28"/>
      <c r="BE639" s="28"/>
      <c r="BF639" s="28"/>
      <c r="BG639" s="28"/>
      <c r="BH639" s="28"/>
      <c r="BI639" s="28"/>
      <c r="BJ639" s="28"/>
      <c r="BK639" s="28"/>
      <c r="BL639" s="28"/>
      <c r="BM639" s="28"/>
      <c r="BN639" s="28"/>
      <c r="BO639" s="28"/>
      <c r="BP639" s="28"/>
      <c r="BQ639" s="28"/>
      <c r="BR639" s="28"/>
      <c r="BS639" s="28"/>
      <c r="BT639" s="28"/>
      <c r="BU639" s="28"/>
      <c r="BV639" s="28"/>
      <c r="BW639" s="28"/>
      <c r="BX639" s="28"/>
      <c r="BY639" s="28"/>
      <c r="BZ639" s="28"/>
      <c r="CA639" s="28"/>
      <c r="CB639" s="28"/>
    </row>
    <row r="640" spans="1:80" hidden="1" x14ac:dyDescent="0.25">
      <c r="A640" s="31" t="s">
        <v>1103</v>
      </c>
      <c r="B640" s="39" t="s">
        <v>2083</v>
      </c>
      <c r="C640" s="30" t="s">
        <v>1679</v>
      </c>
      <c r="D640" s="30" t="s">
        <v>52</v>
      </c>
      <c r="E640" s="20" t="s">
        <v>1997</v>
      </c>
      <c r="F640" s="26" t="s">
        <v>2061</v>
      </c>
      <c r="G640" s="30"/>
      <c r="H640" s="30"/>
      <c r="I640" s="29" t="e">
        <f>VLOOKUP(B640,#REF!,2,FALSE)</f>
        <v>#REF!</v>
      </c>
      <c r="J640" s="28"/>
      <c r="K640" s="28"/>
      <c r="L640" s="28"/>
      <c r="M640" s="28"/>
      <c r="N640" s="28"/>
      <c r="O640" s="28"/>
      <c r="P640" s="28"/>
      <c r="Q640" s="28"/>
      <c r="R640" s="28"/>
      <c r="S640" s="28"/>
      <c r="T640" s="28"/>
      <c r="U640" s="28"/>
      <c r="V640" s="28"/>
      <c r="W640" s="28"/>
      <c r="X640" s="28"/>
      <c r="Y640" s="28"/>
      <c r="Z640" s="28"/>
      <c r="AA640" s="28"/>
      <c r="AB640" s="28"/>
      <c r="AC640" s="28"/>
      <c r="AD640" s="28"/>
      <c r="AE640" s="28"/>
      <c r="AF640" s="28"/>
      <c r="AG640" s="28"/>
      <c r="AH640" s="28"/>
      <c r="AI640" s="28"/>
      <c r="AJ640" s="28"/>
      <c r="AK640" s="28"/>
      <c r="AL640" s="28"/>
      <c r="AM640" s="28"/>
      <c r="AN640" s="28"/>
      <c r="AO640" s="28"/>
      <c r="AP640" s="28"/>
      <c r="AQ640" s="28"/>
      <c r="AR640" s="28"/>
      <c r="AS640" s="28"/>
      <c r="AT640" s="28"/>
      <c r="AU640" s="28"/>
      <c r="AV640" s="28"/>
      <c r="AW640" s="28"/>
      <c r="AX640" s="28"/>
      <c r="AY640" s="28"/>
      <c r="AZ640" s="28"/>
      <c r="BA640" s="28"/>
      <c r="BB640" s="28"/>
      <c r="BC640" s="28"/>
      <c r="BD640" s="28"/>
      <c r="BE640" s="28"/>
      <c r="BF640" s="28"/>
      <c r="BG640" s="28"/>
      <c r="BH640" s="28"/>
      <c r="BI640" s="28"/>
      <c r="BJ640" s="28"/>
      <c r="BK640" s="28"/>
      <c r="BL640" s="28"/>
      <c r="BM640" s="28"/>
      <c r="BN640" s="28"/>
      <c r="BO640" s="28"/>
      <c r="BP640" s="28"/>
      <c r="BQ640" s="28"/>
      <c r="BR640" s="28"/>
      <c r="BS640" s="28"/>
      <c r="BT640" s="28"/>
      <c r="BU640" s="28"/>
      <c r="BV640" s="28"/>
      <c r="BW640" s="28"/>
      <c r="BX640" s="28"/>
      <c r="BY640" s="28"/>
      <c r="BZ640" s="28"/>
      <c r="CA640" s="28"/>
      <c r="CB640" s="28"/>
    </row>
    <row r="641" spans="1:9" hidden="1" x14ac:dyDescent="0.25">
      <c r="A641" s="31" t="s">
        <v>549</v>
      </c>
      <c r="B641" s="39" t="s">
        <v>547</v>
      </c>
      <c r="C641" s="30" t="s">
        <v>548</v>
      </c>
      <c r="D641" s="30" t="s">
        <v>52</v>
      </c>
      <c r="E641" s="20" t="s">
        <v>1997</v>
      </c>
      <c r="F641" s="26" t="s">
        <v>2061</v>
      </c>
      <c r="G641" s="30"/>
      <c r="H641" s="30"/>
      <c r="I641" s="29" t="e">
        <f>VLOOKUP(B641,#REF!,2,FALSE)</f>
        <v>#REF!</v>
      </c>
    </row>
    <row r="642" spans="1:9" hidden="1" x14ac:dyDescent="0.25">
      <c r="A642" s="31" t="s">
        <v>1112</v>
      </c>
      <c r="B642" s="39" t="s">
        <v>1111</v>
      </c>
      <c r="C642" s="30" t="s">
        <v>47</v>
      </c>
      <c r="D642" s="30" t="s">
        <v>52</v>
      </c>
      <c r="E642" s="20" t="s">
        <v>1997</v>
      </c>
      <c r="F642" s="26" t="s">
        <v>2061</v>
      </c>
      <c r="G642" s="30"/>
      <c r="H642" s="30"/>
      <c r="I642" s="29" t="e">
        <f>VLOOKUP(B642,#REF!,2,FALSE)</f>
        <v>#REF!</v>
      </c>
    </row>
    <row r="643" spans="1:9" hidden="1" x14ac:dyDescent="0.25">
      <c r="A643" s="31" t="s">
        <v>1136</v>
      </c>
      <c r="B643" s="39" t="s">
        <v>1135</v>
      </c>
      <c r="C643" s="30" t="s">
        <v>682</v>
      </c>
      <c r="D643" s="30" t="s">
        <v>52</v>
      </c>
      <c r="E643" s="20" t="s">
        <v>1997</v>
      </c>
      <c r="F643" s="26" t="s">
        <v>2061</v>
      </c>
      <c r="G643" s="30"/>
      <c r="H643" s="30"/>
      <c r="I643" s="29" t="e">
        <f>VLOOKUP(B643,#REF!,2,FALSE)</f>
        <v>#REF!</v>
      </c>
    </row>
    <row r="644" spans="1:9" x14ac:dyDescent="0.25">
      <c r="A644" s="31" t="s">
        <v>2084</v>
      </c>
      <c r="B644" s="39" t="s">
        <v>2085</v>
      </c>
      <c r="C644" s="30" t="s">
        <v>495</v>
      </c>
      <c r="D644" s="30" t="s">
        <v>18</v>
      </c>
      <c r="E644" s="20" t="s">
        <v>2086</v>
      </c>
      <c r="F644" s="26"/>
      <c r="G644" s="30"/>
      <c r="H644" s="30"/>
      <c r="I644" s="29" t="e">
        <f>VLOOKUP(B644,#REF!,2,FALSE)</f>
        <v>#REF!</v>
      </c>
    </row>
  </sheetData>
  <autoFilter ref="B1:CF644">
    <filterColumn colId="7">
      <filters>
        <filter val="#N/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BH16"/>
  <sheetViews>
    <sheetView workbookViewId="0">
      <selection activeCell="A9" sqref="A9"/>
    </sheetView>
  </sheetViews>
  <sheetFormatPr defaultRowHeight="15" x14ac:dyDescent="0.25"/>
  <cols>
    <col min="1" max="1" width="35.42578125" customWidth="1"/>
    <col min="2" max="2" width="17.7109375" customWidth="1"/>
    <col min="3" max="3" width="16.5703125" bestFit="1" customWidth="1"/>
    <col min="27" max="27" width="35.28515625" bestFit="1" customWidth="1"/>
    <col min="28" max="28" width="17.7109375" bestFit="1" customWidth="1"/>
  </cols>
  <sheetData>
    <row r="1" spans="1:60" x14ac:dyDescent="0.25">
      <c r="A1" s="90" t="s">
        <v>2087</v>
      </c>
      <c r="B1" s="90"/>
      <c r="C1" s="90"/>
      <c r="D1" s="28"/>
      <c r="E1" s="28"/>
      <c r="F1" s="28"/>
      <c r="G1" s="28"/>
      <c r="H1" s="28"/>
      <c r="I1" s="28"/>
      <c r="J1" s="28"/>
      <c r="K1" s="28"/>
      <c r="L1" s="28"/>
      <c r="M1" s="28"/>
      <c r="N1" s="28"/>
      <c r="O1" s="28"/>
      <c r="P1" s="28"/>
      <c r="Q1" s="28"/>
      <c r="R1" s="28"/>
      <c r="S1" s="28"/>
      <c r="T1" s="28"/>
      <c r="U1" s="28"/>
      <c r="V1" s="28"/>
      <c r="W1" s="28"/>
      <c r="X1" s="28"/>
      <c r="Y1" s="28"/>
      <c r="Z1" s="90" t="s">
        <v>2088</v>
      </c>
      <c r="AA1" s="90"/>
      <c r="AB1" s="90"/>
      <c r="AC1" s="90"/>
      <c r="AD1" s="90"/>
      <c r="AE1" s="90"/>
      <c r="AF1" s="28"/>
      <c r="AG1" s="28"/>
      <c r="AH1" s="28"/>
      <c r="AI1" s="28"/>
      <c r="AJ1" s="28"/>
      <c r="AK1" s="28"/>
      <c r="AL1" s="28"/>
      <c r="AM1" s="28"/>
      <c r="AN1" s="28"/>
      <c r="AO1" s="28"/>
      <c r="AP1" s="28"/>
      <c r="AQ1" s="28"/>
      <c r="AR1" s="28"/>
      <c r="AS1" s="28"/>
      <c r="AT1" s="28"/>
      <c r="AU1" s="28"/>
      <c r="AV1" s="28"/>
      <c r="AW1" s="28"/>
      <c r="AX1" s="28"/>
      <c r="AY1" s="28"/>
      <c r="AZ1" s="28"/>
      <c r="BA1" s="90" t="s">
        <v>2087</v>
      </c>
      <c r="BB1" s="90"/>
      <c r="BC1" s="90"/>
      <c r="BD1" s="90"/>
      <c r="BE1" s="28"/>
      <c r="BF1" s="28"/>
      <c r="BG1" s="28"/>
      <c r="BH1" s="28"/>
    </row>
    <row r="2" spans="1:60" x14ac:dyDescent="0.25">
      <c r="A2" s="90"/>
      <c r="B2" s="90"/>
      <c r="C2" s="90"/>
      <c r="D2" s="28"/>
      <c r="E2" s="28"/>
      <c r="F2" s="28"/>
      <c r="G2" s="56" t="s">
        <v>2089</v>
      </c>
      <c r="H2" s="28"/>
      <c r="I2" s="28"/>
      <c r="J2" s="28"/>
      <c r="K2" s="28"/>
      <c r="L2" s="28"/>
      <c r="M2" s="28"/>
      <c r="N2" s="28"/>
      <c r="O2" s="28"/>
      <c r="P2" s="28"/>
      <c r="Q2" s="28"/>
      <c r="R2" s="28"/>
      <c r="S2" s="28"/>
      <c r="T2" s="28"/>
      <c r="U2" s="28"/>
      <c r="V2" s="28"/>
      <c r="W2" s="28"/>
      <c r="X2" s="28"/>
      <c r="Y2" s="28"/>
      <c r="Z2" s="90"/>
      <c r="AA2" s="90"/>
      <c r="AB2" s="90"/>
      <c r="AC2" s="90"/>
      <c r="AD2" s="90"/>
      <c r="AE2" s="90"/>
      <c r="AF2" s="28"/>
      <c r="AG2" s="28"/>
      <c r="AH2" s="28"/>
      <c r="AI2" s="56" t="s">
        <v>2090</v>
      </c>
      <c r="AJ2" s="28"/>
      <c r="AK2" s="28"/>
      <c r="AL2" s="28"/>
      <c r="AM2" s="28"/>
      <c r="AN2" s="28"/>
      <c r="AO2" s="28"/>
      <c r="AP2" s="28"/>
      <c r="AQ2" s="28"/>
      <c r="AR2" s="28"/>
      <c r="AS2" s="28"/>
      <c r="AT2" s="28"/>
      <c r="AU2" s="28"/>
      <c r="AV2" s="28"/>
      <c r="AW2" s="28"/>
      <c r="AX2" s="28"/>
      <c r="AY2" s="28"/>
      <c r="AZ2" s="28"/>
      <c r="BA2" s="90"/>
      <c r="BB2" s="90"/>
      <c r="BC2" s="90"/>
      <c r="BD2" s="90"/>
      <c r="BE2" s="28"/>
      <c r="BF2" s="28"/>
      <c r="BG2" s="28"/>
      <c r="BH2" s="56" t="s">
        <v>2089</v>
      </c>
    </row>
    <row r="4" spans="1:60" x14ac:dyDescent="0.25">
      <c r="A4" s="42" t="s">
        <v>0</v>
      </c>
      <c r="B4" t="s">
        <v>2091</v>
      </c>
      <c r="D4" s="28"/>
      <c r="E4" s="28"/>
      <c r="F4" s="28"/>
      <c r="G4" s="28"/>
      <c r="H4" s="28"/>
      <c r="I4" s="28"/>
      <c r="J4" s="28"/>
      <c r="K4" s="28"/>
      <c r="L4" s="28"/>
      <c r="M4" s="28"/>
      <c r="N4" s="28"/>
      <c r="O4" s="28"/>
      <c r="P4" s="28"/>
      <c r="Q4" s="28"/>
      <c r="R4" s="28"/>
      <c r="S4" s="28"/>
      <c r="T4" s="28"/>
      <c r="U4" s="28"/>
      <c r="V4" s="28"/>
      <c r="W4" s="28"/>
      <c r="X4" s="28"/>
      <c r="Y4" s="28"/>
      <c r="Z4" s="28"/>
      <c r="AA4" s="42" t="s">
        <v>2205</v>
      </c>
      <c r="AB4" t="s">
        <v>2091</v>
      </c>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row>
    <row r="5" spans="1:60" x14ac:dyDescent="0.25">
      <c r="A5" s="28" t="s">
        <v>1251</v>
      </c>
      <c r="B5" s="43">
        <v>98</v>
      </c>
      <c r="D5" s="28"/>
      <c r="E5" s="28"/>
      <c r="F5" s="28"/>
      <c r="G5" s="28"/>
      <c r="H5" s="28"/>
      <c r="I5" s="28"/>
      <c r="J5" s="28"/>
      <c r="K5" s="28"/>
      <c r="L5" s="28"/>
      <c r="M5" s="28"/>
      <c r="N5" s="28"/>
      <c r="O5" s="28"/>
      <c r="P5" s="28"/>
      <c r="Q5" s="28"/>
      <c r="R5" s="28"/>
      <c r="S5" s="28"/>
      <c r="T5" s="28"/>
      <c r="U5" s="28"/>
      <c r="V5" s="28"/>
      <c r="W5" s="28"/>
      <c r="X5" s="28"/>
      <c r="Y5" s="28"/>
      <c r="Z5" s="28"/>
      <c r="AA5" s="44" t="s">
        <v>2092</v>
      </c>
      <c r="AB5" s="43">
        <v>58</v>
      </c>
      <c r="AC5" s="28"/>
      <c r="AD5" s="28"/>
      <c r="AE5" s="28"/>
      <c r="AF5" s="28"/>
      <c r="AG5" s="28"/>
      <c r="AH5" s="28"/>
      <c r="AI5" s="28"/>
      <c r="AJ5" s="28"/>
      <c r="AK5" s="28"/>
      <c r="AL5" s="28"/>
      <c r="AM5" s="28"/>
      <c r="AN5" s="28"/>
      <c r="AO5" s="28"/>
      <c r="AP5" s="28"/>
      <c r="AQ5" s="28"/>
      <c r="AR5" s="28"/>
      <c r="AS5" s="28"/>
      <c r="AT5" s="28"/>
      <c r="AU5" s="28"/>
      <c r="AV5" s="28"/>
      <c r="AW5" s="28"/>
      <c r="AX5" s="28"/>
      <c r="AY5" s="28"/>
      <c r="AZ5" s="28"/>
      <c r="BA5" s="28"/>
      <c r="BB5" s="28"/>
      <c r="BC5" s="28"/>
      <c r="BD5" s="28"/>
      <c r="BE5" s="28"/>
      <c r="BF5" s="28"/>
      <c r="BG5" s="28"/>
      <c r="BH5" s="28"/>
    </row>
    <row r="6" spans="1:60" x14ac:dyDescent="0.25">
      <c r="A6" s="28" t="s">
        <v>6</v>
      </c>
      <c r="B6" s="43">
        <v>36</v>
      </c>
      <c r="D6" s="28"/>
      <c r="E6" s="28"/>
      <c r="F6" s="28"/>
      <c r="G6" s="28"/>
      <c r="H6" s="28"/>
      <c r="I6" s="28"/>
      <c r="J6" s="28"/>
      <c r="K6" s="28"/>
      <c r="L6" s="28"/>
      <c r="M6" s="28"/>
      <c r="N6" s="28"/>
      <c r="O6" s="28"/>
      <c r="P6" s="28"/>
      <c r="Q6" s="28"/>
      <c r="R6" s="28"/>
      <c r="S6" s="28"/>
      <c r="T6" s="28"/>
      <c r="U6" s="28"/>
      <c r="V6" s="28"/>
      <c r="W6" s="28"/>
      <c r="X6" s="28"/>
      <c r="Y6" s="28"/>
      <c r="Z6" s="28"/>
      <c r="AA6" s="44" t="s">
        <v>2093</v>
      </c>
      <c r="AB6" s="43">
        <v>11</v>
      </c>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row>
    <row r="7" spans="1:60" x14ac:dyDescent="0.25">
      <c r="A7" s="28" t="s">
        <v>29</v>
      </c>
      <c r="B7" s="43">
        <v>107</v>
      </c>
      <c r="D7" s="28"/>
      <c r="E7" s="28"/>
      <c r="F7" s="28"/>
      <c r="G7" s="28"/>
      <c r="H7" s="28"/>
      <c r="I7" s="28"/>
      <c r="J7" s="28"/>
      <c r="K7" s="28"/>
      <c r="L7" s="28"/>
      <c r="M7" s="28"/>
      <c r="N7" s="28"/>
      <c r="O7" s="28"/>
      <c r="P7" s="28"/>
      <c r="Q7" s="28"/>
      <c r="R7" s="28"/>
      <c r="S7" s="28"/>
      <c r="T7" s="28"/>
      <c r="U7" s="28"/>
      <c r="V7" s="28"/>
      <c r="W7" s="28"/>
      <c r="X7" s="28"/>
      <c r="Y7" s="28"/>
      <c r="Z7" s="28"/>
      <c r="AA7" s="44" t="s">
        <v>2213</v>
      </c>
      <c r="AB7" s="43">
        <v>674</v>
      </c>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row>
    <row r="8" spans="1:60" x14ac:dyDescent="0.25">
      <c r="A8" s="28" t="s">
        <v>290</v>
      </c>
      <c r="B8" s="43">
        <v>133</v>
      </c>
      <c r="D8" s="28"/>
      <c r="E8" s="28"/>
      <c r="F8" s="28"/>
      <c r="G8" s="28"/>
      <c r="H8" s="28"/>
      <c r="I8" s="28"/>
      <c r="J8" s="28"/>
      <c r="K8" s="28"/>
      <c r="L8" s="28"/>
      <c r="M8" s="28"/>
      <c r="N8" s="28"/>
      <c r="O8" s="28"/>
      <c r="P8" s="28"/>
      <c r="Q8" s="28"/>
      <c r="R8" s="28"/>
      <c r="S8" s="28"/>
      <c r="T8" s="28"/>
      <c r="U8" s="28"/>
      <c r="V8" s="28"/>
      <c r="W8" s="28"/>
      <c r="X8" s="28"/>
      <c r="Y8" s="28"/>
      <c r="Z8" s="28"/>
      <c r="AA8" s="44" t="s">
        <v>2113</v>
      </c>
      <c r="AB8" s="43">
        <v>33</v>
      </c>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row>
    <row r="9" spans="1:60" x14ac:dyDescent="0.25">
      <c r="A9" s="28" t="s">
        <v>569</v>
      </c>
      <c r="B9" s="43">
        <v>1</v>
      </c>
      <c r="D9" s="28"/>
      <c r="E9" s="28"/>
      <c r="F9" s="28"/>
      <c r="G9" s="28"/>
      <c r="H9" s="28"/>
      <c r="I9" s="28"/>
      <c r="J9" s="28"/>
      <c r="K9" s="28"/>
      <c r="L9" s="28"/>
      <c r="M9" s="28"/>
      <c r="N9" s="28"/>
      <c r="O9" s="28"/>
      <c r="P9" s="28"/>
      <c r="Q9" s="28"/>
      <c r="R9" s="28"/>
      <c r="S9" s="28"/>
      <c r="T9" s="28"/>
      <c r="U9" s="28"/>
      <c r="V9" s="28"/>
      <c r="W9" s="28"/>
      <c r="X9" s="28"/>
      <c r="Y9" s="28"/>
      <c r="Z9" s="28"/>
      <c r="AA9" s="44">
        <v>0</v>
      </c>
      <c r="AB9" s="43">
        <v>30</v>
      </c>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row>
    <row r="10" spans="1:60" x14ac:dyDescent="0.25">
      <c r="A10" s="28" t="s">
        <v>570</v>
      </c>
      <c r="B10" s="43">
        <v>169</v>
      </c>
      <c r="D10" s="28"/>
      <c r="E10" s="28"/>
      <c r="F10" s="28"/>
      <c r="G10" s="28"/>
      <c r="H10" s="28"/>
      <c r="I10" s="28"/>
      <c r="J10" s="28"/>
      <c r="K10" s="28"/>
      <c r="L10" s="28"/>
      <c r="M10" s="28"/>
      <c r="N10" s="28"/>
      <c r="O10" s="28"/>
      <c r="P10" s="28"/>
      <c r="Q10" s="28"/>
      <c r="R10" s="28"/>
      <c r="S10" s="28"/>
      <c r="T10" s="28"/>
      <c r="U10" s="28"/>
      <c r="V10" s="28"/>
      <c r="W10" s="28"/>
      <c r="X10" s="28"/>
      <c r="Y10" s="28"/>
      <c r="Z10" s="28"/>
      <c r="AA10" s="44" t="s">
        <v>2100</v>
      </c>
      <c r="AB10" s="43">
        <v>9</v>
      </c>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row>
    <row r="11" spans="1:60" x14ac:dyDescent="0.25">
      <c r="A11" s="28" t="s">
        <v>1601</v>
      </c>
      <c r="B11" s="43">
        <v>43</v>
      </c>
      <c r="D11" s="28"/>
      <c r="E11" s="28"/>
      <c r="F11" s="28"/>
      <c r="G11" s="28"/>
      <c r="H11" s="28"/>
      <c r="I11" s="28"/>
      <c r="J11" s="28"/>
      <c r="K11" s="28"/>
      <c r="L11" s="28"/>
      <c r="M11" s="28"/>
      <c r="N11" s="28"/>
      <c r="O11" s="28"/>
      <c r="P11" s="28"/>
      <c r="Q11" s="28"/>
      <c r="R11" s="28"/>
      <c r="S11" s="28"/>
      <c r="T11" s="28"/>
      <c r="U11" s="28"/>
      <c r="V11" s="28"/>
      <c r="W11" s="28"/>
      <c r="X11" s="28"/>
      <c r="Y11" s="28"/>
      <c r="Z11" s="28"/>
      <c r="AA11" s="44" t="s">
        <v>2105</v>
      </c>
      <c r="AB11" s="43">
        <v>14</v>
      </c>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row>
    <row r="12" spans="1:60" x14ac:dyDescent="0.25">
      <c r="A12" s="28" t="s">
        <v>786</v>
      </c>
      <c r="B12" s="43">
        <v>178</v>
      </c>
      <c r="D12" s="28"/>
      <c r="E12" s="28"/>
      <c r="F12" s="28"/>
      <c r="G12" s="28"/>
      <c r="H12" s="28"/>
      <c r="I12" s="28"/>
      <c r="J12" s="28"/>
      <c r="K12" s="28"/>
      <c r="L12" s="28"/>
      <c r="M12" s="28"/>
      <c r="N12" s="28"/>
      <c r="O12" s="28"/>
      <c r="P12" s="28"/>
      <c r="Q12" s="28"/>
      <c r="R12" s="28"/>
      <c r="S12" s="28"/>
      <c r="T12" s="28"/>
      <c r="U12" s="28"/>
      <c r="V12" s="28"/>
      <c r="W12" s="28"/>
      <c r="X12" s="28"/>
      <c r="Y12" s="28"/>
      <c r="Z12" s="28"/>
      <c r="AA12" s="44" t="s">
        <v>2206</v>
      </c>
      <c r="AB12" s="43">
        <v>829</v>
      </c>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row>
    <row r="13" spans="1:60" x14ac:dyDescent="0.25">
      <c r="A13" s="28" t="s">
        <v>577</v>
      </c>
      <c r="B13" s="43">
        <v>64</v>
      </c>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row>
    <row r="14" spans="1:60" x14ac:dyDescent="0.25">
      <c r="A14" s="28" t="s">
        <v>2206</v>
      </c>
      <c r="B14" s="43">
        <v>829</v>
      </c>
      <c r="D14" s="28"/>
      <c r="E14" s="28"/>
      <c r="F14" s="28"/>
      <c r="G14" s="28"/>
      <c r="H14" s="28"/>
      <c r="I14" s="28"/>
      <c r="J14" s="28"/>
      <c r="K14" s="28"/>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row>
    <row r="15" spans="1:60" x14ac:dyDescent="0.25">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row>
    <row r="16" spans="1:60" x14ac:dyDescent="0.25">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row>
  </sheetData>
  <mergeCells count="3">
    <mergeCell ref="A1:C2"/>
    <mergeCell ref="BA1:BD2"/>
    <mergeCell ref="Z1:AE2"/>
  </mergeCells>
  <hyperlinks>
    <hyperlink ref="G2" location="'SINTESI RISULTATI'!AM1" display="Vai a SINTESI RISULTATI TO-BE"/>
    <hyperlink ref="BH2" location="'SINTESI RISULTATI'!BB1" display="Vai a SINTESI RISULTATI TO-BE"/>
    <hyperlink ref="AI2" location="'SINTESI RISULTATI'!A1" display="Vai a SINTESI RISULTATI AS-I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45"/>
  <sheetViews>
    <sheetView showGridLines="0" zoomScale="85" zoomScaleNormal="85" workbookViewId="0">
      <selection activeCell="A28" sqref="A28:B28"/>
    </sheetView>
  </sheetViews>
  <sheetFormatPr defaultRowHeight="15" x14ac:dyDescent="0.25"/>
  <cols>
    <col min="1" max="1" width="45" style="28" customWidth="1"/>
    <col min="2" max="2" width="24.140625" style="28" customWidth="1"/>
    <col min="4" max="4" width="22" style="28" customWidth="1"/>
  </cols>
  <sheetData>
    <row r="1" spans="1:6" x14ac:dyDescent="0.25">
      <c r="A1" s="8" t="s">
        <v>2094</v>
      </c>
      <c r="B1" s="8" t="s">
        <v>5</v>
      </c>
      <c r="C1" s="28"/>
      <c r="D1" s="54" t="s">
        <v>2095</v>
      </c>
      <c r="E1" s="28"/>
      <c r="F1" s="28"/>
    </row>
    <row r="2" spans="1:6" ht="24" x14ac:dyDescent="0.25">
      <c r="A2" s="52" t="s">
        <v>2096</v>
      </c>
      <c r="B2" s="51" t="s">
        <v>2092</v>
      </c>
      <c r="C2" s="28"/>
      <c r="D2" s="49" t="s">
        <v>97</v>
      </c>
      <c r="E2" s="28"/>
      <c r="F2" s="28" t="s">
        <v>2097</v>
      </c>
    </row>
    <row r="3" spans="1:6" ht="24" x14ac:dyDescent="0.25">
      <c r="A3" s="52" t="s">
        <v>2098</v>
      </c>
      <c r="B3" s="51" t="s">
        <v>2092</v>
      </c>
      <c r="C3" s="28"/>
      <c r="D3" s="49" t="s">
        <v>339</v>
      </c>
      <c r="E3" s="28"/>
      <c r="F3" s="28"/>
    </row>
    <row r="4" spans="1:6" x14ac:dyDescent="0.25">
      <c r="A4" s="51" t="s">
        <v>2099</v>
      </c>
      <c r="B4" s="53" t="s">
        <v>2100</v>
      </c>
      <c r="C4" s="28"/>
      <c r="D4" s="49" t="s">
        <v>10</v>
      </c>
      <c r="E4" s="28"/>
      <c r="F4" s="28"/>
    </row>
    <row r="5" spans="1:6" ht="24" x14ac:dyDescent="0.25">
      <c r="A5" s="51" t="s">
        <v>2101</v>
      </c>
      <c r="B5" s="51" t="s">
        <v>2092</v>
      </c>
      <c r="C5" s="28"/>
      <c r="D5" s="49" t="s">
        <v>1296</v>
      </c>
      <c r="E5" s="28"/>
      <c r="F5" s="28"/>
    </row>
    <row r="6" spans="1:6" ht="24" x14ac:dyDescent="0.25">
      <c r="A6" s="52" t="s">
        <v>2102</v>
      </c>
      <c r="B6" s="51" t="s">
        <v>2092</v>
      </c>
      <c r="C6" s="28"/>
      <c r="D6" s="49" t="s">
        <v>18</v>
      </c>
      <c r="E6" s="28"/>
      <c r="F6" s="28"/>
    </row>
    <row r="7" spans="1:6" ht="24" x14ac:dyDescent="0.25">
      <c r="A7" s="51" t="s">
        <v>2103</v>
      </c>
      <c r="B7" s="51" t="s">
        <v>2092</v>
      </c>
      <c r="C7" s="28"/>
      <c r="D7" s="49" t="s">
        <v>289</v>
      </c>
      <c r="E7" s="28"/>
      <c r="F7" s="28"/>
    </row>
    <row r="8" spans="1:6" ht="27.6" customHeight="1" x14ac:dyDescent="0.25">
      <c r="A8" s="51" t="s">
        <v>2104</v>
      </c>
      <c r="B8" s="51" t="s">
        <v>2105</v>
      </c>
      <c r="C8" s="28"/>
      <c r="D8" s="49" t="s">
        <v>78</v>
      </c>
      <c r="E8" s="28"/>
      <c r="F8" s="28"/>
    </row>
    <row r="9" spans="1:6" x14ac:dyDescent="0.25">
      <c r="A9" s="52" t="s">
        <v>2106</v>
      </c>
      <c r="B9" s="53" t="s">
        <v>2107</v>
      </c>
      <c r="C9" s="28"/>
      <c r="D9" s="49" t="s">
        <v>2108</v>
      </c>
      <c r="E9" s="28"/>
      <c r="F9" s="28"/>
    </row>
    <row r="10" spans="1:6" x14ac:dyDescent="0.25">
      <c r="A10" s="52" t="s">
        <v>2109</v>
      </c>
      <c r="B10" s="53" t="s">
        <v>2107</v>
      </c>
      <c r="C10" s="28"/>
      <c r="D10" s="49" t="s">
        <v>52</v>
      </c>
      <c r="E10" s="28"/>
      <c r="F10" s="28"/>
    </row>
    <row r="11" spans="1:6" ht="24" x14ac:dyDescent="0.25">
      <c r="A11" s="52" t="s">
        <v>2110</v>
      </c>
      <c r="B11" s="51" t="s">
        <v>2092</v>
      </c>
      <c r="C11" s="28"/>
      <c r="D11" s="50" t="e">
        <v>#N/A</v>
      </c>
      <c r="E11" s="28"/>
      <c r="F11" s="28"/>
    </row>
    <row r="12" spans="1:6" x14ac:dyDescent="0.25">
      <c r="A12" s="51" t="s">
        <v>2111</v>
      </c>
      <c r="B12" s="53" t="s">
        <v>2100</v>
      </c>
      <c r="C12" s="28"/>
      <c r="D12" s="2"/>
      <c r="E12" s="28"/>
      <c r="F12" s="28"/>
    </row>
    <row r="13" spans="1:6" ht="30" customHeight="1" x14ac:dyDescent="0.25">
      <c r="A13" s="58" t="s">
        <v>2112</v>
      </c>
      <c r="B13" s="57" t="s">
        <v>2113</v>
      </c>
      <c r="C13" s="28"/>
      <c r="D13" s="2"/>
      <c r="E13" s="28"/>
      <c r="F13" s="28"/>
    </row>
    <row r="14" spans="1:6" ht="30" customHeight="1" x14ac:dyDescent="0.25">
      <c r="A14" s="52" t="s">
        <v>2114</v>
      </c>
      <c r="B14" s="53" t="s">
        <v>2093</v>
      </c>
      <c r="C14" s="28"/>
      <c r="D14" s="2"/>
      <c r="E14" s="28"/>
      <c r="F14" s="28"/>
    </row>
    <row r="15" spans="1:6" ht="30" customHeight="1" x14ac:dyDescent="0.25">
      <c r="A15" s="51" t="s">
        <v>2115</v>
      </c>
      <c r="B15" s="51" t="s">
        <v>2092</v>
      </c>
      <c r="C15" s="28"/>
      <c r="D15" s="2"/>
      <c r="E15" s="28"/>
      <c r="F15" s="28"/>
    </row>
    <row r="16" spans="1:6" ht="30" customHeight="1" x14ac:dyDescent="0.25">
      <c r="A16" s="58" t="s">
        <v>2116</v>
      </c>
      <c r="B16" s="57" t="s">
        <v>2113</v>
      </c>
      <c r="C16" s="28"/>
      <c r="D16" s="6"/>
      <c r="E16" s="28"/>
      <c r="F16" s="28"/>
    </row>
    <row r="17" spans="1:2" ht="30" customHeight="1" x14ac:dyDescent="0.25">
      <c r="A17" s="51" t="s">
        <v>2117</v>
      </c>
      <c r="B17" s="51" t="s">
        <v>2092</v>
      </c>
    </row>
    <row r="18" spans="1:2" ht="30" customHeight="1" x14ac:dyDescent="0.25">
      <c r="A18" s="52" t="s">
        <v>2118</v>
      </c>
      <c r="B18" s="53" t="s">
        <v>2100</v>
      </c>
    </row>
    <row r="19" spans="1:2" ht="30" customHeight="1" x14ac:dyDescent="0.25">
      <c r="A19" s="51" t="s">
        <v>2119</v>
      </c>
      <c r="B19" s="51" t="s">
        <v>2092</v>
      </c>
    </row>
    <row r="20" spans="1:2" ht="30" customHeight="1" x14ac:dyDescent="0.25">
      <c r="A20" s="51" t="s">
        <v>2120</v>
      </c>
      <c r="B20" s="51" t="s">
        <v>2092</v>
      </c>
    </row>
    <row r="21" spans="1:2" ht="30" customHeight="1" x14ac:dyDescent="0.25">
      <c r="A21" s="51" t="s">
        <v>2121</v>
      </c>
      <c r="B21" s="51" t="s">
        <v>2105</v>
      </c>
    </row>
    <row r="22" spans="1:2" ht="30" customHeight="1" x14ac:dyDescent="0.25">
      <c r="A22" s="52" t="s">
        <v>2122</v>
      </c>
      <c r="B22" s="53" t="s">
        <v>2100</v>
      </c>
    </row>
    <row r="23" spans="1:2" x14ac:dyDescent="0.25">
      <c r="A23" s="51" t="s">
        <v>2123</v>
      </c>
      <c r="B23" s="53" t="s">
        <v>2100</v>
      </c>
    </row>
    <row r="24" spans="1:2" x14ac:dyDescent="0.25">
      <c r="A24" s="51" t="s">
        <v>2124</v>
      </c>
      <c r="B24" s="53" t="s">
        <v>2093</v>
      </c>
    </row>
    <row r="25" spans="1:2" x14ac:dyDescent="0.25">
      <c r="A25" s="51" t="s">
        <v>2125</v>
      </c>
      <c r="B25" s="53" t="s">
        <v>2107</v>
      </c>
    </row>
    <row r="26" spans="1:2" x14ac:dyDescent="0.25">
      <c r="A26" s="51" t="s">
        <v>2126</v>
      </c>
      <c r="B26" s="53" t="s">
        <v>2100</v>
      </c>
    </row>
    <row r="27" spans="1:2" x14ac:dyDescent="0.25">
      <c r="A27" s="51" t="s">
        <v>2127</v>
      </c>
      <c r="B27" s="51" t="s">
        <v>2113</v>
      </c>
    </row>
    <row r="28" spans="1:2" x14ac:dyDescent="0.25">
      <c r="A28" s="60" t="s">
        <v>2128</v>
      </c>
      <c r="B28" s="57" t="s">
        <v>2113</v>
      </c>
    </row>
    <row r="29" spans="1:2" x14ac:dyDescent="0.25">
      <c r="A29" s="51" t="s">
        <v>2129</v>
      </c>
      <c r="B29" s="51" t="s">
        <v>2105</v>
      </c>
    </row>
    <row r="30" spans="1:2" x14ac:dyDescent="0.25">
      <c r="A30" s="51" t="s">
        <v>2130</v>
      </c>
      <c r="B30" s="53" t="s">
        <v>2100</v>
      </c>
    </row>
    <row r="31" spans="1:2" x14ac:dyDescent="0.25">
      <c r="A31" s="51" t="s">
        <v>2131</v>
      </c>
      <c r="B31" s="53" t="s">
        <v>2100</v>
      </c>
    </row>
    <row r="32" spans="1:2" ht="24" x14ac:dyDescent="0.25">
      <c r="A32" s="51" t="s">
        <v>2132</v>
      </c>
      <c r="B32" s="51" t="s">
        <v>2092</v>
      </c>
    </row>
    <row r="33" spans="1:2" ht="15" customHeight="1" x14ac:dyDescent="0.25">
      <c r="A33" s="51" t="s">
        <v>2133</v>
      </c>
      <c r="B33" s="51" t="s">
        <v>2092</v>
      </c>
    </row>
    <row r="34" spans="1:2" ht="24" x14ac:dyDescent="0.25">
      <c r="A34" s="51" t="s">
        <v>2134</v>
      </c>
      <c r="B34" s="51" t="s">
        <v>2092</v>
      </c>
    </row>
    <row r="35" spans="1:2" ht="24" x14ac:dyDescent="0.25">
      <c r="A35" s="51" t="s">
        <v>2135</v>
      </c>
      <c r="B35" s="51" t="s">
        <v>2092</v>
      </c>
    </row>
    <row r="36" spans="1:2" x14ac:dyDescent="0.25">
      <c r="A36" s="51" t="s">
        <v>2136</v>
      </c>
      <c r="B36" s="53" t="s">
        <v>2093</v>
      </c>
    </row>
    <row r="37" spans="1:2" ht="14.45" customHeight="1" x14ac:dyDescent="0.25">
      <c r="A37" s="51" t="s">
        <v>2137</v>
      </c>
      <c r="B37" s="51" t="s">
        <v>2113</v>
      </c>
    </row>
    <row r="38" spans="1:2" x14ac:dyDescent="0.25">
      <c r="A38" s="59" t="s">
        <v>2138</v>
      </c>
      <c r="B38" s="18"/>
    </row>
    <row r="39" spans="1:2" x14ac:dyDescent="0.25">
      <c r="A39" s="19"/>
      <c r="B39" s="18"/>
    </row>
    <row r="40" spans="1:2" ht="14.45" customHeight="1" x14ac:dyDescent="0.25">
      <c r="A40" s="19"/>
      <c r="B40" s="18"/>
    </row>
    <row r="41" spans="1:2" x14ac:dyDescent="0.25">
      <c r="A41" s="19"/>
      <c r="B41" s="18"/>
    </row>
    <row r="42" spans="1:2" x14ac:dyDescent="0.25">
      <c r="A42" s="19"/>
      <c r="B42" s="18"/>
    </row>
    <row r="43" spans="1:2" x14ac:dyDescent="0.25">
      <c r="A43" s="19"/>
      <c r="B43" s="18"/>
    </row>
    <row r="44" spans="1:2" x14ac:dyDescent="0.25">
      <c r="A44" s="55"/>
      <c r="B44" s="18"/>
    </row>
    <row r="45" spans="1:2" x14ac:dyDescent="0.25">
      <c r="A45" s="1"/>
      <c r="B45" s="1"/>
    </row>
  </sheetData>
  <autoFilter ref="A1:F37"/>
  <sortState ref="A2:B37">
    <sortCondition ref="A2"/>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pageSetUpPr fitToPage="1"/>
  </sheetPr>
  <dimension ref="A1:E209"/>
  <sheetViews>
    <sheetView zoomScale="85" zoomScaleNormal="85" workbookViewId="0">
      <selection activeCell="E72" sqref="E72"/>
    </sheetView>
  </sheetViews>
  <sheetFormatPr defaultColWidth="8.7109375" defaultRowHeight="15" x14ac:dyDescent="0.25"/>
  <cols>
    <col min="1" max="1" width="37.42578125" style="70" customWidth="1"/>
    <col min="2" max="2" width="43.28515625" style="61" customWidth="1"/>
    <col min="3" max="3" width="16.42578125" style="28" customWidth="1"/>
    <col min="4" max="4" width="20.42578125" style="28" customWidth="1"/>
    <col min="5" max="16384" width="8.7109375" style="28"/>
  </cols>
  <sheetData>
    <row r="1" spans="1:5" ht="33" customHeight="1" x14ac:dyDescent="0.25">
      <c r="A1" s="91" t="s">
        <v>2139</v>
      </c>
      <c r="B1" s="91"/>
      <c r="C1" s="91"/>
      <c r="D1" s="91"/>
    </row>
    <row r="2" spans="1:5" ht="84" x14ac:dyDescent="0.25">
      <c r="A2" s="74" t="s">
        <v>2217</v>
      </c>
      <c r="B2" s="74" t="s">
        <v>2267</v>
      </c>
      <c r="C2" s="74" t="s">
        <v>2220</v>
      </c>
      <c r="D2" s="75" t="s">
        <v>2266</v>
      </c>
    </row>
    <row r="3" spans="1:5" x14ac:dyDescent="0.25">
      <c r="A3" s="65"/>
      <c r="B3" s="65" t="s">
        <v>2204</v>
      </c>
      <c r="C3" s="77" t="e">
        <f>VLOOKUP(A3,Famiglie!A$3:C$23,2,FALSE)</f>
        <v>#N/A</v>
      </c>
      <c r="D3" s="77" t="e">
        <f>VLOOKUP(A3,Famiglie!A$3:C$23,3,FALSE)</f>
        <v>#N/A</v>
      </c>
    </row>
    <row r="4" spans="1:5" x14ac:dyDescent="0.25">
      <c r="A4" s="71" t="s">
        <v>2235</v>
      </c>
      <c r="B4" s="66" t="s">
        <v>2212</v>
      </c>
      <c r="C4" s="77" t="str">
        <f>VLOOKUP(A4,Famiglie!A$3:C$23,2,FALSE)</f>
        <v>NA</v>
      </c>
      <c r="D4" s="77" t="str">
        <f>VLOOKUP(A4,Famiglie!A$3:C$23,3,FALSE)</f>
        <v>NA</v>
      </c>
    </row>
    <row r="5" spans="1:5" x14ac:dyDescent="0.25">
      <c r="A5" s="71" t="s">
        <v>2235</v>
      </c>
      <c r="B5" s="66" t="s">
        <v>2211</v>
      </c>
      <c r="C5" s="77" t="str">
        <f>VLOOKUP(A5,Famiglie!A$3:C$23,2,FALSE)</f>
        <v>NA</v>
      </c>
      <c r="D5" s="77" t="str">
        <f>VLOOKUP(A5,Famiglie!A$3:C$23,3,FALSE)</f>
        <v>NA</v>
      </c>
    </row>
    <row r="6" spans="1:5" x14ac:dyDescent="0.25">
      <c r="A6" s="66" t="s">
        <v>2227</v>
      </c>
      <c r="B6" s="66" t="s">
        <v>2096</v>
      </c>
      <c r="C6" s="78" t="str">
        <f>VLOOKUP(A6,Famiglie!A$3:C$23,2,FALSE)</f>
        <v xml:space="preserve"> </v>
      </c>
      <c r="D6" s="78" t="str">
        <f>VLOOKUP(A6,Famiglie!A$3:C$23,3,FALSE)</f>
        <v>X</v>
      </c>
      <c r="E6" s="28" t="str">
        <f>VLOOKUP(A6,Famiglie!A4:C23,2,FALSE)</f>
        <v xml:space="preserve"> </v>
      </c>
    </row>
    <row r="7" spans="1:5" ht="30" x14ac:dyDescent="0.25">
      <c r="A7" s="66" t="s">
        <v>2230</v>
      </c>
      <c r="B7" s="66" t="s">
        <v>2098</v>
      </c>
      <c r="C7" s="78" t="str">
        <f>VLOOKUP(A7,Famiglie!A$3:C$23,2,FALSE)</f>
        <v xml:space="preserve"> </v>
      </c>
      <c r="D7" s="78" t="str">
        <f>VLOOKUP(A7,Famiglie!A$3:C$23,3,FALSE)</f>
        <v>X</v>
      </c>
    </row>
    <row r="8" spans="1:5" ht="64.5" customHeight="1" x14ac:dyDescent="0.25">
      <c r="A8" s="66" t="s">
        <v>2232</v>
      </c>
      <c r="B8" s="66" t="s">
        <v>2273</v>
      </c>
      <c r="C8" s="78" t="str">
        <f>VLOOKUP(A8,Famiglie!A$3:C$23,2,FALSE)</f>
        <v>X</v>
      </c>
      <c r="D8" s="78" t="str">
        <f>VLOOKUP(A8,Famiglie!A$3:C$23,3,FALSE)</f>
        <v xml:space="preserve"> </v>
      </c>
    </row>
    <row r="9" spans="1:5" s="62" customFormat="1" ht="64.5" customHeight="1" x14ac:dyDescent="0.25">
      <c r="A9" s="66" t="s">
        <v>2272</v>
      </c>
      <c r="B9" s="66" t="s">
        <v>2274</v>
      </c>
      <c r="C9" s="78" t="str">
        <f>VLOOKUP(A9,Famiglie!A$3:C$23,2,FALSE)</f>
        <v xml:space="preserve"> </v>
      </c>
      <c r="D9" s="78" t="str">
        <f>VLOOKUP(A9,Famiglie!A$3:C$23,3,FALSE)</f>
        <v>X</v>
      </c>
    </row>
    <row r="10" spans="1:5" s="62" customFormat="1" ht="64.5" customHeight="1" x14ac:dyDescent="0.25">
      <c r="A10" s="66" t="s">
        <v>2272</v>
      </c>
      <c r="B10" s="66" t="s">
        <v>2275</v>
      </c>
      <c r="C10" s="78" t="str">
        <f>VLOOKUP(A10,Famiglie!A$3:C$23,2,FALSE)</f>
        <v xml:space="preserve"> </v>
      </c>
      <c r="D10" s="78" t="str">
        <f>VLOOKUP(A10,Famiglie!A$3:C$23,3,FALSE)</f>
        <v>X</v>
      </c>
    </row>
    <row r="11" spans="1:5" s="62" customFormat="1" ht="64.5" customHeight="1" x14ac:dyDescent="0.25">
      <c r="A11" s="66" t="s">
        <v>2272</v>
      </c>
      <c r="B11" s="66" t="s">
        <v>2276</v>
      </c>
      <c r="C11" s="78" t="str">
        <f>VLOOKUP(A11,Famiglie!A$3:C$23,2,FALSE)</f>
        <v xml:space="preserve"> </v>
      </c>
      <c r="D11" s="78" t="str">
        <f>VLOOKUP(A11,Famiglie!A$3:C$23,3,FALSE)</f>
        <v>X</v>
      </c>
    </row>
    <row r="12" spans="1:5" ht="90" customHeight="1" x14ac:dyDescent="0.25">
      <c r="A12" s="66" t="s">
        <v>2228</v>
      </c>
      <c r="B12" s="66" t="s">
        <v>2236</v>
      </c>
      <c r="C12" s="78" t="str">
        <f>VLOOKUP(A12,Famiglie!A$3:C$23,2,FALSE)</f>
        <v>X</v>
      </c>
      <c r="D12" s="78" t="str">
        <f>VLOOKUP(A12,Famiglie!A$3:C$23,3,FALSE)</f>
        <v>X</v>
      </c>
    </row>
    <row r="13" spans="1:5" ht="30" x14ac:dyDescent="0.25">
      <c r="A13" s="66" t="s">
        <v>2230</v>
      </c>
      <c r="B13" s="66" t="s">
        <v>2102</v>
      </c>
      <c r="C13" s="78" t="str">
        <f>VLOOKUP(A13,Famiglie!A$3:C$23,2,FALSE)</f>
        <v xml:space="preserve"> </v>
      </c>
      <c r="D13" s="78" t="str">
        <f>VLOOKUP(A13,Famiglie!A$3:C$23,3,FALSE)</f>
        <v>X</v>
      </c>
    </row>
    <row r="14" spans="1:5" x14ac:dyDescent="0.25">
      <c r="A14" s="66" t="s">
        <v>2226</v>
      </c>
      <c r="B14" s="66" t="s">
        <v>2103</v>
      </c>
      <c r="C14" s="77" t="str">
        <f>VLOOKUP(A14,Famiglie!A$3:C$23,2,FALSE)</f>
        <v>X</v>
      </c>
      <c r="D14" s="77" t="str">
        <f>VLOOKUP(A14,Famiglie!A$3:C$23,3,FALSE)</f>
        <v xml:space="preserve"> </v>
      </c>
    </row>
    <row r="15" spans="1:5" ht="30" x14ac:dyDescent="0.25">
      <c r="A15" s="66" t="s">
        <v>2227</v>
      </c>
      <c r="B15" s="66" t="s">
        <v>2253</v>
      </c>
      <c r="C15" s="78" t="str">
        <f>VLOOKUP(A15,Famiglie!A$3:C$23,2,FALSE)</f>
        <v xml:space="preserve"> </v>
      </c>
      <c r="D15" s="78" t="str">
        <f>VLOOKUP(A15,Famiglie!A$3:C$23,3,FALSE)</f>
        <v>X</v>
      </c>
    </row>
    <row r="16" spans="1:5" x14ac:dyDescent="0.25">
      <c r="A16" s="66" t="s">
        <v>2221</v>
      </c>
      <c r="B16" s="66" t="s">
        <v>2106</v>
      </c>
      <c r="C16" s="78" t="str">
        <f>VLOOKUP(A16,Famiglie!A$3:C$23,2,FALSE)</f>
        <v xml:space="preserve"> </v>
      </c>
      <c r="D16" s="78" t="str">
        <f>VLOOKUP(A16,Famiglie!A$3:C$23,3,FALSE)</f>
        <v>X</v>
      </c>
    </row>
    <row r="17" spans="1:4" x14ac:dyDescent="0.25">
      <c r="A17" s="66" t="s">
        <v>2221</v>
      </c>
      <c r="B17" s="66" t="s">
        <v>2242</v>
      </c>
      <c r="C17" s="78" t="str">
        <f>VLOOKUP(A17,Famiglie!A$3:C$23,2,FALSE)</f>
        <v xml:space="preserve"> </v>
      </c>
      <c r="D17" s="78" t="str">
        <f>VLOOKUP(A17,Famiglie!A$3:C$23,3,FALSE)</f>
        <v>X</v>
      </c>
    </row>
    <row r="18" spans="1:4" x14ac:dyDescent="0.25">
      <c r="A18" s="66" t="s">
        <v>2237</v>
      </c>
      <c r="B18" s="66" t="s">
        <v>2110</v>
      </c>
      <c r="C18" s="78" t="str">
        <f>VLOOKUP(A18,Famiglie!A$3:C$23,2,FALSE)</f>
        <v xml:space="preserve"> </v>
      </c>
      <c r="D18" s="78" t="str">
        <f>VLOOKUP(A18,Famiglie!A$3:C$23,3,FALSE)</f>
        <v>X</v>
      </c>
    </row>
    <row r="19" spans="1:4" x14ac:dyDescent="0.25">
      <c r="A19" s="66" t="s">
        <v>2239</v>
      </c>
      <c r="B19" s="66" t="s">
        <v>2240</v>
      </c>
      <c r="C19" s="78" t="str">
        <f>VLOOKUP(A19,Famiglie!A$3:C$23,2,FALSE)</f>
        <v>X</v>
      </c>
      <c r="D19" s="78" t="str">
        <f>VLOOKUP(A19,Famiglie!A$3:C$23,3,FALSE)</f>
        <v>X</v>
      </c>
    </row>
    <row r="20" spans="1:4" x14ac:dyDescent="0.25">
      <c r="A20" s="66" t="s">
        <v>2239</v>
      </c>
      <c r="B20" s="66" t="s">
        <v>2252</v>
      </c>
      <c r="C20" s="78" t="str">
        <f>VLOOKUP(A20,Famiglie!A$3:C$23,2,FALSE)</f>
        <v>X</v>
      </c>
      <c r="D20" s="78" t="str">
        <f>VLOOKUP(A20,Famiglie!A$3:C$23,3,FALSE)</f>
        <v>X</v>
      </c>
    </row>
    <row r="21" spans="1:4" s="62" customFormat="1" x14ac:dyDescent="0.25">
      <c r="A21" s="66" t="s">
        <v>2228</v>
      </c>
      <c r="B21" s="66" t="s">
        <v>2263</v>
      </c>
      <c r="C21" s="78" t="str">
        <f>VLOOKUP(A21,Famiglie!A$3:C$23,2,FALSE)</f>
        <v>X</v>
      </c>
      <c r="D21" s="78" t="str">
        <f>VLOOKUP(A21,Famiglie!A$3:C$23,3,FALSE)</f>
        <v>X</v>
      </c>
    </row>
    <row r="22" spans="1:4" x14ac:dyDescent="0.25">
      <c r="A22" s="66" t="s">
        <v>2228</v>
      </c>
      <c r="B22" s="66" t="s">
        <v>2265</v>
      </c>
      <c r="C22" s="78" t="str">
        <f>VLOOKUP(A22,Famiglie!A$3:C$23,2,FALSE)</f>
        <v>X</v>
      </c>
      <c r="D22" s="78" t="str">
        <f>VLOOKUP(A22,Famiglie!A$3:C$23,3,FALSE)</f>
        <v>X</v>
      </c>
    </row>
    <row r="23" spans="1:4" x14ac:dyDescent="0.25">
      <c r="A23" s="66" t="s">
        <v>2223</v>
      </c>
      <c r="B23" s="66" t="s">
        <v>2256</v>
      </c>
      <c r="C23" s="78" t="str">
        <f>VLOOKUP(A23,Famiglie!A$3:C$23,2,FALSE)</f>
        <v xml:space="preserve"> </v>
      </c>
      <c r="D23" s="78" t="str">
        <f>VLOOKUP(A23,Famiglie!A$3:C$23,3,FALSE)</f>
        <v>X</v>
      </c>
    </row>
    <row r="24" spans="1:4" s="62" customFormat="1" x14ac:dyDescent="0.25">
      <c r="A24" s="66" t="s">
        <v>2227</v>
      </c>
      <c r="B24" s="66" t="s">
        <v>2114</v>
      </c>
      <c r="C24" s="78" t="str">
        <f>VLOOKUP(A24,Famiglie!A$3:C$23,2,FALSE)</f>
        <v xml:space="preserve"> </v>
      </c>
      <c r="D24" s="78" t="str">
        <f>VLOOKUP(A24,Famiglie!A$3:C$23,3,FALSE)</f>
        <v>X</v>
      </c>
    </row>
    <row r="25" spans="1:4" x14ac:dyDescent="0.25">
      <c r="A25" s="66" t="s">
        <v>2227</v>
      </c>
      <c r="B25" s="73" t="s">
        <v>2255</v>
      </c>
      <c r="C25" s="78" t="str">
        <f>VLOOKUP(A25,Famiglie!A$3:C$23,2,FALSE)</f>
        <v xml:space="preserve"> </v>
      </c>
      <c r="D25" s="78" t="str">
        <f>VLOOKUP(A25,Famiglie!A$3:C$23,3,FALSE)</f>
        <v>X</v>
      </c>
    </row>
    <row r="26" spans="1:4" s="62" customFormat="1" x14ac:dyDescent="0.25">
      <c r="A26" s="66" t="s">
        <v>2229</v>
      </c>
      <c r="B26" s="72" t="s">
        <v>2258</v>
      </c>
      <c r="C26" s="77" t="str">
        <f>VLOOKUP(A26,Famiglie!A$3:C$23,2,FALSE)</f>
        <v>X</v>
      </c>
      <c r="D26" s="77" t="str">
        <f>VLOOKUP(A26,Famiglie!A$3:C$23,3,FALSE)</f>
        <v xml:space="preserve"> </v>
      </c>
    </row>
    <row r="27" spans="1:4" x14ac:dyDescent="0.25">
      <c r="A27" s="66" t="s">
        <v>2229</v>
      </c>
      <c r="B27" s="66" t="s">
        <v>2115</v>
      </c>
      <c r="C27" s="77" t="str">
        <f>VLOOKUP(A27,Famiglie!A$3:C$23,2,FALSE)</f>
        <v>X</v>
      </c>
      <c r="D27" s="77" t="str">
        <f>VLOOKUP(A27,Famiglie!A$3:C$23,3,FALSE)</f>
        <v xml:space="preserve"> </v>
      </c>
    </row>
    <row r="28" spans="1:4" x14ac:dyDescent="0.25">
      <c r="A28" s="68" t="s">
        <v>2227</v>
      </c>
      <c r="B28" s="68" t="s">
        <v>2254</v>
      </c>
      <c r="C28" s="78" t="str">
        <f>VLOOKUP(A28,Famiglie!A$3:C$23,2,FALSE)</f>
        <v xml:space="preserve"> </v>
      </c>
      <c r="D28" s="78" t="str">
        <f>VLOOKUP(A28,Famiglie!A$3:C$23,3,FALSE)</f>
        <v>X</v>
      </c>
    </row>
    <row r="29" spans="1:4" x14ac:dyDescent="0.25">
      <c r="A29" s="66" t="s">
        <v>2223</v>
      </c>
      <c r="B29" s="66" t="s">
        <v>2277</v>
      </c>
      <c r="C29" s="78" t="str">
        <f>VLOOKUP(A29,Famiglie!A$3:C$23,2,FALSE)</f>
        <v xml:space="preserve"> </v>
      </c>
      <c r="D29" s="78" t="str">
        <f>VLOOKUP(A29,Famiglie!A$3:C$23,3,FALSE)</f>
        <v>X</v>
      </c>
    </row>
    <row r="30" spans="1:4" x14ac:dyDescent="0.25">
      <c r="A30" s="66" t="s">
        <v>2228</v>
      </c>
      <c r="B30" s="66" t="s">
        <v>2208</v>
      </c>
      <c r="C30" s="78" t="str">
        <f>VLOOKUP(A30,Famiglie!A$3:C$23,2,FALSE)</f>
        <v>X</v>
      </c>
      <c r="D30" s="78" t="str">
        <f>VLOOKUP(A30,Famiglie!A$3:C$23,3,FALSE)</f>
        <v>X</v>
      </c>
    </row>
    <row r="31" spans="1:4" ht="30" x14ac:dyDescent="0.25">
      <c r="A31" s="66" t="s">
        <v>2224</v>
      </c>
      <c r="B31" s="66" t="s">
        <v>2259</v>
      </c>
      <c r="C31" s="77" t="str">
        <f>VLOOKUP(A31,Famiglie!A$3:C$23,2,FALSE)</f>
        <v>X</v>
      </c>
      <c r="D31" s="77" t="str">
        <f>VLOOKUP(A31,Famiglie!A$3:C$23,3,FALSE)</f>
        <v xml:space="preserve"> </v>
      </c>
    </row>
    <row r="32" spans="1:4" s="62" customFormat="1" ht="30" x14ac:dyDescent="0.25">
      <c r="A32" s="66" t="s">
        <v>2224</v>
      </c>
      <c r="B32" s="67" t="s">
        <v>2260</v>
      </c>
      <c r="C32" s="77" t="str">
        <f>VLOOKUP(A32,Famiglie!A$3:C$23,2,FALSE)</f>
        <v>X</v>
      </c>
      <c r="D32" s="77" t="str">
        <f>VLOOKUP(A32,Famiglie!A$3:C$23,3,FALSE)</f>
        <v xml:space="preserve"> </v>
      </c>
    </row>
    <row r="33" spans="1:4" ht="30" x14ac:dyDescent="0.25">
      <c r="A33" s="66" t="s">
        <v>2230</v>
      </c>
      <c r="B33" s="66" t="s">
        <v>2120</v>
      </c>
      <c r="C33" s="78" t="str">
        <f>VLOOKUP(A33,Famiglie!A$3:C$23,2,FALSE)</f>
        <v xml:space="preserve"> </v>
      </c>
      <c r="D33" s="78" t="str">
        <f>VLOOKUP(A33,Famiglie!A$3:C$23,3,FALSE)</f>
        <v>X</v>
      </c>
    </row>
    <row r="34" spans="1:4" x14ac:dyDescent="0.25">
      <c r="A34" s="66"/>
      <c r="B34" s="66" t="s">
        <v>10</v>
      </c>
      <c r="C34" s="77" t="e">
        <f>VLOOKUP(A34,Famiglie!A$3:C$23,2,FALSE)</f>
        <v>#N/A</v>
      </c>
      <c r="D34" s="77" t="e">
        <f>VLOOKUP(A34,Famiglie!A$3:C$23,3,FALSE)</f>
        <v>#N/A</v>
      </c>
    </row>
    <row r="35" spans="1:4" s="62" customFormat="1" x14ac:dyDescent="0.25">
      <c r="A35" s="66" t="s">
        <v>2231</v>
      </c>
      <c r="B35" s="73" t="s">
        <v>2257</v>
      </c>
      <c r="C35" s="77" t="str">
        <f>VLOOKUP(A35,Famiglie!A$3:C$23,2,FALSE)</f>
        <v>X</v>
      </c>
      <c r="D35" s="77" t="str">
        <f>VLOOKUP(A35,Famiglie!A$3:C$23,3,FALSE)</f>
        <v xml:space="preserve"> </v>
      </c>
    </row>
    <row r="36" spans="1:4" x14ac:dyDescent="0.25">
      <c r="A36" s="66" t="s">
        <v>2231</v>
      </c>
      <c r="B36" s="73" t="s">
        <v>2264</v>
      </c>
      <c r="C36" s="77" t="str">
        <f>VLOOKUP(A36,Famiglie!A$3:C$23,2,FALSE)</f>
        <v>X</v>
      </c>
      <c r="D36" s="77" t="str">
        <f>VLOOKUP(A36,Famiglie!A$3:C$23,3,FALSE)</f>
        <v xml:space="preserve"> </v>
      </c>
    </row>
    <row r="37" spans="1:4" x14ac:dyDescent="0.25">
      <c r="A37" s="66" t="s">
        <v>2223</v>
      </c>
      <c r="B37" s="73" t="s">
        <v>2261</v>
      </c>
      <c r="C37" s="78" t="str">
        <f>VLOOKUP(A37,Famiglie!A$3:C$23,2,FALSE)</f>
        <v xml:space="preserve"> </v>
      </c>
      <c r="D37" s="78" t="str">
        <f>VLOOKUP(A37,Famiglie!A$3:C$23,3,FALSE)</f>
        <v>X</v>
      </c>
    </row>
    <row r="38" spans="1:4" x14ac:dyDescent="0.25">
      <c r="A38" s="66" t="s">
        <v>2223</v>
      </c>
      <c r="B38" s="66" t="s">
        <v>2121</v>
      </c>
      <c r="C38" s="78" t="str">
        <f>VLOOKUP(A38,Famiglie!A$3:C$23,2,FALSE)</f>
        <v xml:space="preserve"> </v>
      </c>
      <c r="D38" s="78" t="str">
        <f>VLOOKUP(A38,Famiglie!A$3:C$23,3,FALSE)</f>
        <v>X</v>
      </c>
    </row>
    <row r="39" spans="1:4" x14ac:dyDescent="0.25">
      <c r="A39" s="66" t="s">
        <v>2223</v>
      </c>
      <c r="B39" s="66" t="s">
        <v>2122</v>
      </c>
      <c r="C39" s="78" t="str">
        <f>VLOOKUP(A39,Famiglie!A$3:C$23,2,FALSE)</f>
        <v xml:space="preserve"> </v>
      </c>
      <c r="D39" s="78" t="str">
        <f>VLOOKUP(A39,Famiglie!A$3:C$23,3,FALSE)</f>
        <v>X</v>
      </c>
    </row>
    <row r="40" spans="1:4" x14ac:dyDescent="0.25">
      <c r="A40" s="69" t="s">
        <v>2227</v>
      </c>
      <c r="B40" s="69" t="s">
        <v>2214</v>
      </c>
      <c r="C40" s="78" t="str">
        <f>VLOOKUP(A40,Famiglie!A$3:C$23,2,FALSE)</f>
        <v xml:space="preserve"> </v>
      </c>
      <c r="D40" s="78" t="str">
        <f>VLOOKUP(A40,Famiglie!A$3:C$23,3,FALSE)</f>
        <v>X</v>
      </c>
    </row>
    <row r="41" spans="1:4" x14ac:dyDescent="0.25">
      <c r="A41" s="66" t="s">
        <v>2225</v>
      </c>
      <c r="B41" s="66" t="s">
        <v>2123</v>
      </c>
      <c r="C41" s="77" t="str">
        <f>VLOOKUP(A41,Famiglie!A$3:C$23,2,FALSE)</f>
        <v>X</v>
      </c>
      <c r="D41" s="77" t="str">
        <f>VLOOKUP(A41,Famiglie!A$3:C$23,3,FALSE)</f>
        <v xml:space="preserve"> </v>
      </c>
    </row>
    <row r="42" spans="1:4" x14ac:dyDescent="0.25">
      <c r="A42" s="69" t="s">
        <v>2223</v>
      </c>
      <c r="B42" s="69" t="s">
        <v>2215</v>
      </c>
      <c r="C42" s="78" t="str">
        <f>VLOOKUP(A42,Famiglie!A$3:C$23,2,FALSE)</f>
        <v xml:space="preserve"> </v>
      </c>
      <c r="D42" s="78" t="str">
        <f>VLOOKUP(A42,Famiglie!A$3:C$23,3,FALSE)</f>
        <v>X</v>
      </c>
    </row>
    <row r="43" spans="1:4" x14ac:dyDescent="0.25">
      <c r="A43" s="66" t="s">
        <v>2227</v>
      </c>
      <c r="B43" s="66" t="s">
        <v>2124</v>
      </c>
      <c r="C43" s="78" t="str">
        <f>VLOOKUP(A43,Famiglie!A$3:C$23,2,FALSE)</f>
        <v xml:space="preserve"> </v>
      </c>
      <c r="D43" s="78" t="str">
        <f>VLOOKUP(A43,Famiglie!A$3:C$23,3,FALSE)</f>
        <v>X</v>
      </c>
    </row>
    <row r="44" spans="1:4" x14ac:dyDescent="0.25">
      <c r="A44" s="68" t="s">
        <v>2227</v>
      </c>
      <c r="B44" s="68" t="s">
        <v>2216</v>
      </c>
      <c r="C44" s="78" t="str">
        <f>VLOOKUP(A44,Famiglie!A$3:C$23,2,FALSE)</f>
        <v xml:space="preserve"> </v>
      </c>
      <c r="D44" s="78" t="str">
        <f>VLOOKUP(A44,Famiglie!A$3:C$23,3,FALSE)</f>
        <v>X</v>
      </c>
    </row>
    <row r="45" spans="1:4" x14ac:dyDescent="0.25">
      <c r="A45" s="66" t="s">
        <v>2221</v>
      </c>
      <c r="B45" s="66" t="s">
        <v>2125</v>
      </c>
      <c r="C45" s="78" t="str">
        <f>VLOOKUP(A45,Famiglie!A$3:C$23,2,FALSE)</f>
        <v xml:space="preserve"> </v>
      </c>
      <c r="D45" s="78" t="str">
        <f>VLOOKUP(A45,Famiglie!A$3:C$23,3,FALSE)</f>
        <v>X</v>
      </c>
    </row>
    <row r="46" spans="1:4" ht="30" x14ac:dyDescent="0.25">
      <c r="A46" s="66" t="s">
        <v>2241</v>
      </c>
      <c r="B46" s="66" t="s">
        <v>2126</v>
      </c>
      <c r="C46" s="77" t="str">
        <f>VLOOKUP(A46,Famiglie!A$3:C$23,2,FALSE)</f>
        <v>X</v>
      </c>
      <c r="D46" s="77" t="str">
        <f>VLOOKUP(A46,Famiglie!A$3:C$23,3,FALSE)</f>
        <v xml:space="preserve"> </v>
      </c>
    </row>
    <row r="47" spans="1:4" x14ac:dyDescent="0.25">
      <c r="A47" s="66" t="s">
        <v>2223</v>
      </c>
      <c r="B47" s="66" t="s">
        <v>2262</v>
      </c>
      <c r="C47" s="78" t="str">
        <f>VLOOKUP(A47,Famiglie!A$3:C$23,2,FALSE)</f>
        <v xml:space="preserve"> </v>
      </c>
      <c r="D47" s="78" t="str">
        <f>VLOOKUP(A47,Famiglie!A$3:C$23,3,FALSE)</f>
        <v>X</v>
      </c>
    </row>
    <row r="48" spans="1:4" x14ac:dyDescent="0.25">
      <c r="A48" s="66" t="s">
        <v>2223</v>
      </c>
      <c r="B48" s="66" t="s">
        <v>2128</v>
      </c>
      <c r="C48" s="78" t="str">
        <f>VLOOKUP(A48,Famiglie!A$3:C$23,2,FALSE)</f>
        <v xml:space="preserve"> </v>
      </c>
      <c r="D48" s="78" t="str">
        <f>VLOOKUP(A48,Famiglie!A$3:C$23,3,FALSE)</f>
        <v>X</v>
      </c>
    </row>
    <row r="49" spans="1:4" x14ac:dyDescent="0.25">
      <c r="A49" s="68" t="s">
        <v>2231</v>
      </c>
      <c r="B49" s="68" t="s">
        <v>2210</v>
      </c>
      <c r="C49" s="77" t="str">
        <f>VLOOKUP(A49,Famiglie!A$3:C$23,2,FALSE)</f>
        <v>X</v>
      </c>
      <c r="D49" s="77" t="str">
        <f>VLOOKUP(A49,Famiglie!A$3:C$23,3,FALSE)</f>
        <v xml:space="preserve"> </v>
      </c>
    </row>
    <row r="50" spans="1:4" x14ac:dyDescent="0.25">
      <c r="A50" s="66" t="s">
        <v>2234</v>
      </c>
      <c r="B50" s="66" t="s">
        <v>2129</v>
      </c>
      <c r="C50" s="77" t="str">
        <f>VLOOKUP(A50,Famiglie!A$3:C$23,2,FALSE)</f>
        <v>X</v>
      </c>
      <c r="D50" s="77" t="str">
        <f>VLOOKUP(A50,Famiglie!A$3:C$23,3,FALSE)</f>
        <v xml:space="preserve"> </v>
      </c>
    </row>
    <row r="51" spans="1:4" ht="30" x14ac:dyDescent="0.25">
      <c r="A51" s="66" t="s">
        <v>2241</v>
      </c>
      <c r="B51" s="66" t="s">
        <v>2130</v>
      </c>
      <c r="C51" s="77" t="str">
        <f>VLOOKUP(A51,Famiglie!A$3:C$23,2,FALSE)</f>
        <v>X</v>
      </c>
      <c r="D51" s="77" t="str">
        <f>VLOOKUP(A51,Famiglie!A$3:C$23,3,FALSE)</f>
        <v xml:space="preserve"> </v>
      </c>
    </row>
    <row r="52" spans="1:4" ht="30" x14ac:dyDescent="0.25">
      <c r="A52" s="66" t="s">
        <v>2241</v>
      </c>
      <c r="B52" s="66" t="s">
        <v>2131</v>
      </c>
      <c r="C52" s="77" t="str">
        <f>VLOOKUP(A52,Famiglie!A$3:C$23,2,FALSE)</f>
        <v>X</v>
      </c>
      <c r="D52" s="77" t="str">
        <f>VLOOKUP(A52,Famiglie!A$3:C$23,3,FALSE)</f>
        <v xml:space="preserve"> </v>
      </c>
    </row>
    <row r="53" spans="1:4" x14ac:dyDescent="0.25">
      <c r="A53" s="66" t="s">
        <v>2222</v>
      </c>
      <c r="B53" s="66" t="s">
        <v>2132</v>
      </c>
      <c r="C53" s="78" t="str">
        <f>VLOOKUP(A53,Famiglie!A$3:C$23,2,FALSE)</f>
        <v xml:space="preserve"> </v>
      </c>
      <c r="D53" s="78" t="str">
        <f>VLOOKUP(A53,Famiglie!A$3:C$23,3,FALSE)</f>
        <v>X</v>
      </c>
    </row>
    <row r="54" spans="1:4" x14ac:dyDescent="0.25">
      <c r="A54" s="66" t="s">
        <v>2222</v>
      </c>
      <c r="B54" s="66" t="s">
        <v>2133</v>
      </c>
      <c r="C54" s="78" t="str">
        <f>VLOOKUP(A54,Famiglie!A$3:C$23,2,FALSE)</f>
        <v xml:space="preserve"> </v>
      </c>
      <c r="D54" s="78" t="str">
        <f>VLOOKUP(A54,Famiglie!A$3:C$23,3,FALSE)</f>
        <v>X</v>
      </c>
    </row>
    <row r="55" spans="1:4" x14ac:dyDescent="0.25">
      <c r="A55" s="66" t="s">
        <v>2222</v>
      </c>
      <c r="B55" s="66" t="s">
        <v>2134</v>
      </c>
      <c r="C55" s="78" t="str">
        <f>VLOOKUP(A55,Famiglie!A$3:C$23,2,FALSE)</f>
        <v xml:space="preserve"> </v>
      </c>
      <c r="D55" s="78" t="str">
        <f>VLOOKUP(A55,Famiglie!A$3:C$23,3,FALSE)</f>
        <v>X</v>
      </c>
    </row>
    <row r="56" spans="1:4" x14ac:dyDescent="0.25">
      <c r="A56" s="66" t="s">
        <v>2231</v>
      </c>
      <c r="B56" s="73" t="s">
        <v>2245</v>
      </c>
      <c r="C56" s="77" t="str">
        <f>VLOOKUP(A56,Famiglie!A$3:C$23,2,FALSE)</f>
        <v>X</v>
      </c>
      <c r="D56" s="77" t="str">
        <f>VLOOKUP(A56,Famiglie!A$3:C$23,3,FALSE)</f>
        <v xml:space="preserve"> </v>
      </c>
    </row>
    <row r="57" spans="1:4" s="62" customFormat="1" x14ac:dyDescent="0.25">
      <c r="A57" s="66" t="s">
        <v>2232</v>
      </c>
      <c r="B57" s="73" t="s">
        <v>2246</v>
      </c>
      <c r="C57" s="77" t="str">
        <f>VLOOKUP(A57,Famiglie!A$3:C$23,2,FALSE)</f>
        <v>X</v>
      </c>
      <c r="D57" s="77" t="str">
        <f>VLOOKUP(A57,Famiglie!A$3:C$23,3,FALSE)</f>
        <v xml:space="preserve"> </v>
      </c>
    </row>
    <row r="58" spans="1:4" s="62" customFormat="1" x14ac:dyDescent="0.25">
      <c r="A58" s="66" t="s">
        <v>2233</v>
      </c>
      <c r="B58" s="73" t="s">
        <v>2244</v>
      </c>
      <c r="C58" s="77" t="str">
        <f>VLOOKUP(A58,Famiglie!A$3:C$23,2,FALSE)</f>
        <v>X</v>
      </c>
      <c r="D58" s="77" t="str">
        <f>VLOOKUP(A58,Famiglie!A$3:C$23,3,FALSE)</f>
        <v xml:space="preserve"> </v>
      </c>
    </row>
    <row r="59" spans="1:4" s="62" customFormat="1" x14ac:dyDescent="0.25">
      <c r="A59" s="66" t="s">
        <v>2233</v>
      </c>
      <c r="B59" s="73" t="s">
        <v>2243</v>
      </c>
      <c r="C59" s="77" t="str">
        <f>VLOOKUP(A59,Famiglie!A$3:C$23,2,FALSE)</f>
        <v>X</v>
      </c>
      <c r="D59" s="77" t="str">
        <f>VLOOKUP(A59,Famiglie!A$3:C$23,3,FALSE)</f>
        <v xml:space="preserve"> </v>
      </c>
    </row>
    <row r="60" spans="1:4" s="62" customFormat="1" x14ac:dyDescent="0.25">
      <c r="A60" s="66" t="s">
        <v>2233</v>
      </c>
      <c r="B60" s="73" t="s">
        <v>2248</v>
      </c>
      <c r="C60" s="77" t="str">
        <f>VLOOKUP(A60,Famiglie!A$3:C$23,2,FALSE)</f>
        <v>X</v>
      </c>
      <c r="D60" s="77" t="str">
        <f>VLOOKUP(A60,Famiglie!A$3:C$23,3,FALSE)</f>
        <v xml:space="preserve"> </v>
      </c>
    </row>
    <row r="61" spans="1:4" ht="30" x14ac:dyDescent="0.25">
      <c r="A61" s="66" t="s">
        <v>2230</v>
      </c>
      <c r="B61" s="66" t="s">
        <v>2135</v>
      </c>
      <c r="C61" s="78" t="str">
        <f>VLOOKUP(A61,Famiglie!A$3:C$23,2,FALSE)</f>
        <v xml:space="preserve"> </v>
      </c>
      <c r="D61" s="78" t="str">
        <f>VLOOKUP(A61,Famiglie!A$3:C$23,3,FALSE)</f>
        <v>X</v>
      </c>
    </row>
    <row r="62" spans="1:4" x14ac:dyDescent="0.25">
      <c r="A62" s="66" t="s">
        <v>2227</v>
      </c>
      <c r="B62" s="66" t="s">
        <v>2209</v>
      </c>
      <c r="C62" s="78" t="str">
        <f>VLOOKUP(A62,Famiglie!A$3:C$23,2,FALSE)</f>
        <v xml:space="preserve"> </v>
      </c>
      <c r="D62" s="78" t="str">
        <f>VLOOKUP(A62,Famiglie!A$3:C$23,3,FALSE)</f>
        <v>X</v>
      </c>
    </row>
    <row r="63" spans="1:4" s="62" customFormat="1" x14ac:dyDescent="0.25">
      <c r="A63" s="66" t="s">
        <v>2227</v>
      </c>
      <c r="B63" s="66" t="s">
        <v>2249</v>
      </c>
      <c r="C63" s="78" t="str">
        <f>VLOOKUP(A63,Famiglie!A$3:C$23,2,FALSE)</f>
        <v xml:space="preserve"> </v>
      </c>
      <c r="D63" s="78" t="str">
        <f>VLOOKUP(A63,Famiglie!A$3:C$23,3,FALSE)</f>
        <v>X</v>
      </c>
    </row>
    <row r="64" spans="1:4" s="62" customFormat="1" x14ac:dyDescent="0.25">
      <c r="A64" s="66" t="s">
        <v>2227</v>
      </c>
      <c r="B64" s="66" t="s">
        <v>2250</v>
      </c>
      <c r="C64" s="78" t="str">
        <f>VLOOKUP(A64,Famiglie!A$3:C$23,2,FALSE)</f>
        <v xml:space="preserve"> </v>
      </c>
      <c r="D64" s="78" t="str">
        <f>VLOOKUP(A64,Famiglie!A$3:C$23,3,FALSE)</f>
        <v>X</v>
      </c>
    </row>
    <row r="65" spans="1:4" s="62" customFormat="1" x14ac:dyDescent="0.25">
      <c r="A65" s="66" t="s">
        <v>2225</v>
      </c>
      <c r="B65" s="67" t="s">
        <v>2251</v>
      </c>
      <c r="C65" s="77" t="str">
        <f>VLOOKUP(A65,Famiglie!A$3:C$23,2,FALSE)</f>
        <v>X</v>
      </c>
      <c r="D65" s="77" t="str">
        <f>VLOOKUP(A65,Famiglie!A$3:C$23,3,FALSE)</f>
        <v xml:space="preserve"> </v>
      </c>
    </row>
    <row r="66" spans="1:4" x14ac:dyDescent="0.25">
      <c r="B66" s="70"/>
    </row>
    <row r="67" spans="1:4" x14ac:dyDescent="0.25">
      <c r="B67" s="70"/>
    </row>
    <row r="68" spans="1:4" x14ac:dyDescent="0.25">
      <c r="B68" s="70"/>
    </row>
    <row r="69" spans="1:4" x14ac:dyDescent="0.25">
      <c r="B69" s="70"/>
    </row>
    <row r="70" spans="1:4" x14ac:dyDescent="0.25">
      <c r="B70" s="70"/>
    </row>
    <row r="71" spans="1:4" x14ac:dyDescent="0.25">
      <c r="B71" s="70"/>
    </row>
    <row r="72" spans="1:4" x14ac:dyDescent="0.25">
      <c r="B72" s="70"/>
    </row>
    <row r="73" spans="1:4" x14ac:dyDescent="0.25">
      <c r="B73" s="70"/>
    </row>
    <row r="74" spans="1:4" x14ac:dyDescent="0.25">
      <c r="B74" s="70"/>
    </row>
    <row r="75" spans="1:4" x14ac:dyDescent="0.25">
      <c r="B75" s="70"/>
    </row>
    <row r="76" spans="1:4" x14ac:dyDescent="0.25">
      <c r="B76" s="70"/>
    </row>
    <row r="77" spans="1:4" x14ac:dyDescent="0.25">
      <c r="B77" s="70"/>
    </row>
    <row r="78" spans="1:4" x14ac:dyDescent="0.25">
      <c r="B78" s="70"/>
    </row>
    <row r="79" spans="1:4" x14ac:dyDescent="0.25">
      <c r="B79" s="70"/>
    </row>
    <row r="80" spans="1:4" x14ac:dyDescent="0.25">
      <c r="B80" s="70"/>
    </row>
    <row r="81" spans="2:2" x14ac:dyDescent="0.25">
      <c r="B81" s="70"/>
    </row>
    <row r="82" spans="2:2" x14ac:dyDescent="0.25">
      <c r="B82" s="70"/>
    </row>
    <row r="83" spans="2:2" x14ac:dyDescent="0.25">
      <c r="B83" s="70"/>
    </row>
    <row r="84" spans="2:2" x14ac:dyDescent="0.25">
      <c r="B84" s="70"/>
    </row>
    <row r="85" spans="2:2" x14ac:dyDescent="0.25">
      <c r="B85" s="70"/>
    </row>
    <row r="86" spans="2:2" x14ac:dyDescent="0.25">
      <c r="B86" s="70"/>
    </row>
    <row r="87" spans="2:2" x14ac:dyDescent="0.25">
      <c r="B87" s="70"/>
    </row>
    <row r="88" spans="2:2" x14ac:dyDescent="0.25">
      <c r="B88" s="70"/>
    </row>
    <row r="89" spans="2:2" x14ac:dyDescent="0.25">
      <c r="B89" s="70"/>
    </row>
    <row r="90" spans="2:2" x14ac:dyDescent="0.25">
      <c r="B90" s="70"/>
    </row>
    <row r="91" spans="2:2" x14ac:dyDescent="0.25">
      <c r="B91" s="70"/>
    </row>
    <row r="92" spans="2:2" x14ac:dyDescent="0.25">
      <c r="B92" s="70"/>
    </row>
    <row r="93" spans="2:2" x14ac:dyDescent="0.25">
      <c r="B93" s="70"/>
    </row>
    <row r="94" spans="2:2" x14ac:dyDescent="0.25">
      <c r="B94" s="70"/>
    </row>
    <row r="95" spans="2:2" x14ac:dyDescent="0.25">
      <c r="B95" s="70"/>
    </row>
    <row r="96" spans="2:2" x14ac:dyDescent="0.25">
      <c r="B96" s="70"/>
    </row>
    <row r="97" spans="2:2" x14ac:dyDescent="0.25">
      <c r="B97" s="70"/>
    </row>
    <row r="98" spans="2:2" x14ac:dyDescent="0.25">
      <c r="B98" s="70"/>
    </row>
    <row r="99" spans="2:2" x14ac:dyDescent="0.25">
      <c r="B99" s="70"/>
    </row>
    <row r="100" spans="2:2" x14ac:dyDescent="0.25">
      <c r="B100" s="70"/>
    </row>
    <row r="101" spans="2:2" x14ac:dyDescent="0.25">
      <c r="B101" s="70"/>
    </row>
    <row r="102" spans="2:2" x14ac:dyDescent="0.25">
      <c r="B102" s="70"/>
    </row>
    <row r="103" spans="2:2" x14ac:dyDescent="0.25">
      <c r="B103" s="70"/>
    </row>
    <row r="104" spans="2:2" x14ac:dyDescent="0.25">
      <c r="B104" s="70"/>
    </row>
    <row r="105" spans="2:2" x14ac:dyDescent="0.25">
      <c r="B105" s="70"/>
    </row>
    <row r="106" spans="2:2" x14ac:dyDescent="0.25">
      <c r="B106" s="70"/>
    </row>
    <row r="107" spans="2:2" x14ac:dyDescent="0.25">
      <c r="B107" s="70"/>
    </row>
    <row r="108" spans="2:2" x14ac:dyDescent="0.25">
      <c r="B108" s="70"/>
    </row>
    <row r="109" spans="2:2" x14ac:dyDescent="0.25">
      <c r="B109" s="70"/>
    </row>
    <row r="110" spans="2:2" x14ac:dyDescent="0.25">
      <c r="B110" s="70"/>
    </row>
    <row r="111" spans="2:2" x14ac:dyDescent="0.25">
      <c r="B111" s="70"/>
    </row>
    <row r="112" spans="2:2" x14ac:dyDescent="0.25">
      <c r="B112" s="70"/>
    </row>
    <row r="113" spans="2:2" x14ac:dyDescent="0.25">
      <c r="B113" s="70"/>
    </row>
    <row r="114" spans="2:2" x14ac:dyDescent="0.25">
      <c r="B114" s="70"/>
    </row>
    <row r="115" spans="2:2" x14ac:dyDescent="0.25">
      <c r="B115" s="70"/>
    </row>
    <row r="116" spans="2:2" x14ac:dyDescent="0.25">
      <c r="B116" s="70"/>
    </row>
    <row r="117" spans="2:2" x14ac:dyDescent="0.25">
      <c r="B117" s="70"/>
    </row>
    <row r="118" spans="2:2" x14ac:dyDescent="0.25">
      <c r="B118" s="70"/>
    </row>
    <row r="119" spans="2:2" x14ac:dyDescent="0.25">
      <c r="B119" s="70"/>
    </row>
    <row r="120" spans="2:2" x14ac:dyDescent="0.25">
      <c r="B120" s="70"/>
    </row>
    <row r="121" spans="2:2" x14ac:dyDescent="0.25">
      <c r="B121" s="70"/>
    </row>
    <row r="122" spans="2:2" x14ac:dyDescent="0.25">
      <c r="B122" s="70"/>
    </row>
    <row r="123" spans="2:2" x14ac:dyDescent="0.25">
      <c r="B123" s="70"/>
    </row>
    <row r="124" spans="2:2" x14ac:dyDescent="0.25">
      <c r="B124" s="70"/>
    </row>
    <row r="125" spans="2:2" x14ac:dyDescent="0.25">
      <c r="B125" s="70"/>
    </row>
    <row r="126" spans="2:2" x14ac:dyDescent="0.25">
      <c r="B126" s="70"/>
    </row>
    <row r="127" spans="2:2" x14ac:dyDescent="0.25">
      <c r="B127" s="70"/>
    </row>
    <row r="128" spans="2:2" x14ac:dyDescent="0.25">
      <c r="B128" s="70"/>
    </row>
    <row r="129" spans="2:2" x14ac:dyDescent="0.25">
      <c r="B129" s="70"/>
    </row>
    <row r="130" spans="2:2" x14ac:dyDescent="0.25">
      <c r="B130" s="70"/>
    </row>
    <row r="131" spans="2:2" x14ac:dyDescent="0.25">
      <c r="B131" s="70"/>
    </row>
    <row r="132" spans="2:2" x14ac:dyDescent="0.25">
      <c r="B132" s="70"/>
    </row>
    <row r="133" spans="2:2" x14ac:dyDescent="0.25">
      <c r="B133" s="70"/>
    </row>
    <row r="134" spans="2:2" x14ac:dyDescent="0.25">
      <c r="B134" s="70"/>
    </row>
    <row r="135" spans="2:2" x14ac:dyDescent="0.25">
      <c r="B135" s="70"/>
    </row>
    <row r="136" spans="2:2" x14ac:dyDescent="0.25">
      <c r="B136" s="70"/>
    </row>
    <row r="137" spans="2:2" x14ac:dyDescent="0.25">
      <c r="B137" s="70"/>
    </row>
    <row r="138" spans="2:2" x14ac:dyDescent="0.25">
      <c r="B138" s="70"/>
    </row>
    <row r="139" spans="2:2" x14ac:dyDescent="0.25">
      <c r="B139" s="70"/>
    </row>
    <row r="140" spans="2:2" x14ac:dyDescent="0.25">
      <c r="B140" s="70"/>
    </row>
    <row r="141" spans="2:2" x14ac:dyDescent="0.25">
      <c r="B141" s="70"/>
    </row>
    <row r="142" spans="2:2" x14ac:dyDescent="0.25">
      <c r="B142" s="70"/>
    </row>
    <row r="143" spans="2:2" x14ac:dyDescent="0.25">
      <c r="B143" s="70"/>
    </row>
    <row r="144" spans="2:2" x14ac:dyDescent="0.25">
      <c r="B144" s="70"/>
    </row>
    <row r="145" spans="2:2" x14ac:dyDescent="0.25">
      <c r="B145" s="70"/>
    </row>
    <row r="146" spans="2:2" x14ac:dyDescent="0.25">
      <c r="B146" s="70"/>
    </row>
    <row r="147" spans="2:2" x14ac:dyDescent="0.25">
      <c r="B147" s="70"/>
    </row>
    <row r="148" spans="2:2" x14ac:dyDescent="0.25">
      <c r="B148" s="70"/>
    </row>
    <row r="149" spans="2:2" x14ac:dyDescent="0.25">
      <c r="B149" s="70"/>
    </row>
    <row r="150" spans="2:2" x14ac:dyDescent="0.25">
      <c r="B150" s="70"/>
    </row>
    <row r="151" spans="2:2" x14ac:dyDescent="0.25">
      <c r="B151" s="70"/>
    </row>
    <row r="152" spans="2:2" x14ac:dyDescent="0.25">
      <c r="B152" s="70"/>
    </row>
    <row r="153" spans="2:2" x14ac:dyDescent="0.25">
      <c r="B153" s="70"/>
    </row>
    <row r="154" spans="2:2" x14ac:dyDescent="0.25">
      <c r="B154" s="70"/>
    </row>
    <row r="155" spans="2:2" x14ac:dyDescent="0.25">
      <c r="B155" s="70"/>
    </row>
    <row r="156" spans="2:2" x14ac:dyDescent="0.25">
      <c r="B156" s="70"/>
    </row>
    <row r="157" spans="2:2" x14ac:dyDescent="0.25">
      <c r="B157" s="70"/>
    </row>
    <row r="158" spans="2:2" x14ac:dyDescent="0.25">
      <c r="B158" s="70"/>
    </row>
    <row r="159" spans="2:2" x14ac:dyDescent="0.25">
      <c r="B159" s="70"/>
    </row>
    <row r="160" spans="2:2" x14ac:dyDescent="0.25">
      <c r="B160" s="70"/>
    </row>
    <row r="161" spans="2:2" x14ac:dyDescent="0.25">
      <c r="B161" s="70"/>
    </row>
    <row r="162" spans="2:2" x14ac:dyDescent="0.25">
      <c r="B162" s="70"/>
    </row>
    <row r="163" spans="2:2" x14ac:dyDescent="0.25">
      <c r="B163" s="70"/>
    </row>
    <row r="164" spans="2:2" x14ac:dyDescent="0.25">
      <c r="B164" s="70"/>
    </row>
    <row r="165" spans="2:2" x14ac:dyDescent="0.25">
      <c r="B165" s="70"/>
    </row>
    <row r="166" spans="2:2" x14ac:dyDescent="0.25">
      <c r="B166" s="70"/>
    </row>
    <row r="167" spans="2:2" x14ac:dyDescent="0.25">
      <c r="B167" s="70"/>
    </row>
    <row r="168" spans="2:2" x14ac:dyDescent="0.25">
      <c r="B168" s="70"/>
    </row>
    <row r="169" spans="2:2" x14ac:dyDescent="0.25">
      <c r="B169" s="70"/>
    </row>
    <row r="170" spans="2:2" x14ac:dyDescent="0.25">
      <c r="B170" s="70"/>
    </row>
    <row r="171" spans="2:2" x14ac:dyDescent="0.25">
      <c r="B171" s="70"/>
    </row>
    <row r="172" spans="2:2" x14ac:dyDescent="0.25">
      <c r="B172" s="70"/>
    </row>
    <row r="173" spans="2:2" x14ac:dyDescent="0.25">
      <c r="B173" s="70"/>
    </row>
    <row r="174" spans="2:2" x14ac:dyDescent="0.25">
      <c r="B174" s="70"/>
    </row>
    <row r="175" spans="2:2" x14ac:dyDescent="0.25">
      <c r="B175" s="70"/>
    </row>
    <row r="176" spans="2:2" x14ac:dyDescent="0.25">
      <c r="B176" s="70"/>
    </row>
    <row r="177" spans="2:2" x14ac:dyDescent="0.25">
      <c r="B177" s="70"/>
    </row>
    <row r="178" spans="2:2" x14ac:dyDescent="0.25">
      <c r="B178" s="70"/>
    </row>
    <row r="179" spans="2:2" x14ac:dyDescent="0.25">
      <c r="B179" s="70"/>
    </row>
    <row r="180" spans="2:2" x14ac:dyDescent="0.25">
      <c r="B180" s="70"/>
    </row>
    <row r="181" spans="2:2" x14ac:dyDescent="0.25">
      <c r="B181" s="70"/>
    </row>
    <row r="182" spans="2:2" x14ac:dyDescent="0.25">
      <c r="B182" s="70"/>
    </row>
    <row r="183" spans="2:2" x14ac:dyDescent="0.25">
      <c r="B183" s="70"/>
    </row>
    <row r="184" spans="2:2" x14ac:dyDescent="0.25">
      <c r="B184" s="70"/>
    </row>
    <row r="185" spans="2:2" x14ac:dyDescent="0.25">
      <c r="B185" s="70"/>
    </row>
    <row r="186" spans="2:2" x14ac:dyDescent="0.25">
      <c r="B186" s="70"/>
    </row>
    <row r="187" spans="2:2" x14ac:dyDescent="0.25">
      <c r="B187" s="70"/>
    </row>
    <row r="188" spans="2:2" x14ac:dyDescent="0.25">
      <c r="B188" s="70"/>
    </row>
    <row r="189" spans="2:2" x14ac:dyDescent="0.25">
      <c r="B189" s="70"/>
    </row>
    <row r="190" spans="2:2" x14ac:dyDescent="0.25">
      <c r="B190" s="70"/>
    </row>
    <row r="191" spans="2:2" x14ac:dyDescent="0.25">
      <c r="B191" s="70"/>
    </row>
    <row r="192" spans="2:2" x14ac:dyDescent="0.25">
      <c r="B192" s="70"/>
    </row>
    <row r="193" spans="2:2" x14ac:dyDescent="0.25">
      <c r="B193" s="70"/>
    </row>
    <row r="194" spans="2:2" x14ac:dyDescent="0.25">
      <c r="B194" s="70"/>
    </row>
    <row r="195" spans="2:2" x14ac:dyDescent="0.25">
      <c r="B195" s="70"/>
    </row>
    <row r="196" spans="2:2" x14ac:dyDescent="0.25">
      <c r="B196" s="70"/>
    </row>
    <row r="197" spans="2:2" x14ac:dyDescent="0.25">
      <c r="B197" s="70"/>
    </row>
    <row r="198" spans="2:2" x14ac:dyDescent="0.25">
      <c r="B198" s="70"/>
    </row>
    <row r="199" spans="2:2" x14ac:dyDescent="0.25">
      <c r="B199" s="70"/>
    </row>
    <row r="200" spans="2:2" x14ac:dyDescent="0.25">
      <c r="B200" s="70"/>
    </row>
    <row r="201" spans="2:2" x14ac:dyDescent="0.25">
      <c r="B201" s="70"/>
    </row>
    <row r="202" spans="2:2" x14ac:dyDescent="0.25">
      <c r="B202" s="70"/>
    </row>
    <row r="203" spans="2:2" x14ac:dyDescent="0.25">
      <c r="B203" s="70"/>
    </row>
    <row r="204" spans="2:2" x14ac:dyDescent="0.25">
      <c r="B204" s="70"/>
    </row>
    <row r="205" spans="2:2" x14ac:dyDescent="0.25">
      <c r="B205" s="70"/>
    </row>
    <row r="206" spans="2:2" x14ac:dyDescent="0.25">
      <c r="B206" s="70"/>
    </row>
    <row r="207" spans="2:2" x14ac:dyDescent="0.25">
      <c r="B207" s="70"/>
    </row>
    <row r="208" spans="2:2" x14ac:dyDescent="0.25">
      <c r="B208" s="70"/>
    </row>
    <row r="209" spans="2:2" x14ac:dyDescent="0.25">
      <c r="B209" s="70"/>
    </row>
  </sheetData>
  <autoFilter ref="A2:D65"/>
  <sortState ref="B6:B63">
    <sortCondition ref="B6:B63"/>
  </sortState>
  <mergeCells count="1">
    <mergeCell ref="A1:D1"/>
  </mergeCells>
  <pageMargins left="0.70866141732283472" right="0.70866141732283472" top="0.74803149606299213" bottom="0.74803149606299213" header="0.31496062992125984" footer="0.31496062992125984"/>
  <pageSetup scale="38"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Famiglie!$A$4:$A$22</xm:f>
          </x14:formula1>
          <xm:sqref>A2</xm:sqref>
        </x14:dataValidation>
        <x14:dataValidation type="list" allowBlank="1" showInputMessage="1" showErrorMessage="1">
          <x14:formula1>
            <xm:f>Famiglie!$A$4:$A$23</xm:f>
          </x14:formula1>
          <xm:sqref>A3:A65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6"/>
  <sheetViews>
    <sheetView tabSelected="1" workbookViewId="0">
      <selection activeCell="F39" sqref="F39"/>
    </sheetView>
  </sheetViews>
  <sheetFormatPr defaultRowHeight="15" x14ac:dyDescent="0.25"/>
  <cols>
    <col min="1" max="1" width="54.85546875" bestFit="1" customWidth="1"/>
    <col min="2" max="2" width="53.42578125" bestFit="1" customWidth="1"/>
    <col min="3" max="3" width="33.85546875" style="63" bestFit="1" customWidth="1"/>
    <col min="4" max="4" width="56" style="63" customWidth="1"/>
  </cols>
  <sheetData>
    <row r="1" spans="1:10" x14ac:dyDescent="0.25">
      <c r="A1" s="76"/>
      <c r="B1" s="76"/>
      <c r="C1" s="76"/>
      <c r="D1" s="76"/>
    </row>
    <row r="2" spans="1:10" x14ac:dyDescent="0.25">
      <c r="A2" s="76"/>
      <c r="B2" s="76"/>
      <c r="C2" s="76"/>
      <c r="D2" s="76"/>
    </row>
    <row r="3" spans="1:10" x14ac:dyDescent="0.25">
      <c r="A3" s="76"/>
      <c r="B3" s="76"/>
      <c r="C3" s="76"/>
      <c r="D3" s="76"/>
    </row>
    <row r="4" spans="1:10" s="77" customFormat="1" ht="30" customHeight="1" x14ac:dyDescent="0.25">
      <c r="A4" s="82" t="s">
        <v>2217</v>
      </c>
      <c r="B4" s="82" t="s">
        <v>2267</v>
      </c>
      <c r="C4" s="82" t="s">
        <v>2268</v>
      </c>
      <c r="D4" s="82" t="s">
        <v>2269</v>
      </c>
      <c r="E4"/>
      <c r="F4"/>
      <c r="G4"/>
      <c r="H4"/>
      <c r="I4"/>
      <c r="J4"/>
    </row>
    <row r="5" spans="1:10" x14ac:dyDescent="0.25">
      <c r="A5" s="76" t="s">
        <v>2226</v>
      </c>
      <c r="B5" s="84" t="s">
        <v>2103</v>
      </c>
      <c r="C5" s="87" t="s">
        <v>2270</v>
      </c>
      <c r="D5" s="88" t="s">
        <v>2203</v>
      </c>
    </row>
    <row r="6" spans="1:10" x14ac:dyDescent="0.25">
      <c r="A6" s="76" t="s">
        <v>2221</v>
      </c>
      <c r="B6" s="84" t="s">
        <v>2106</v>
      </c>
      <c r="C6" s="87" t="s">
        <v>2203</v>
      </c>
      <c r="D6" s="88" t="s">
        <v>2270</v>
      </c>
    </row>
    <row r="7" spans="1:10" x14ac:dyDescent="0.25">
      <c r="A7" s="76"/>
      <c r="B7" s="84" t="s">
        <v>2242</v>
      </c>
      <c r="C7" s="83" t="s">
        <v>2203</v>
      </c>
      <c r="D7" s="88" t="s">
        <v>2270</v>
      </c>
    </row>
    <row r="8" spans="1:10" x14ac:dyDescent="0.25">
      <c r="A8" s="76"/>
      <c r="B8" s="84" t="s">
        <v>2125</v>
      </c>
      <c r="C8" s="83" t="s">
        <v>2203</v>
      </c>
      <c r="D8" s="88" t="s">
        <v>2270</v>
      </c>
    </row>
    <row r="9" spans="1:10" x14ac:dyDescent="0.25">
      <c r="A9" s="76" t="s">
        <v>2237</v>
      </c>
      <c r="B9" s="84" t="s">
        <v>2110</v>
      </c>
      <c r="C9" s="83" t="s">
        <v>2203</v>
      </c>
      <c r="D9" s="88" t="s">
        <v>2270</v>
      </c>
    </row>
    <row r="10" spans="1:10" x14ac:dyDescent="0.25">
      <c r="A10" s="76" t="s">
        <v>2239</v>
      </c>
      <c r="B10" s="84" t="s">
        <v>2252</v>
      </c>
      <c r="C10" s="87" t="s">
        <v>2270</v>
      </c>
      <c r="D10" s="88" t="s">
        <v>2270</v>
      </c>
    </row>
    <row r="11" spans="1:10" x14ac:dyDescent="0.25">
      <c r="A11" s="76"/>
      <c r="B11" s="84" t="s">
        <v>2240</v>
      </c>
      <c r="C11" s="83" t="s">
        <v>2270</v>
      </c>
      <c r="D11" s="88" t="s">
        <v>2270</v>
      </c>
    </row>
    <row r="12" spans="1:10" x14ac:dyDescent="0.25">
      <c r="A12" s="76" t="s">
        <v>2228</v>
      </c>
      <c r="B12" s="84" t="s">
        <v>2263</v>
      </c>
      <c r="C12" s="83" t="s">
        <v>2270</v>
      </c>
      <c r="D12" s="88" t="s">
        <v>2270</v>
      </c>
    </row>
    <row r="13" spans="1:10" x14ac:dyDescent="0.25">
      <c r="A13" s="76"/>
      <c r="B13" s="84" t="s">
        <v>2265</v>
      </c>
      <c r="C13" s="83" t="s">
        <v>2270</v>
      </c>
      <c r="D13" s="88" t="s">
        <v>2270</v>
      </c>
    </row>
    <row r="14" spans="1:10" x14ac:dyDescent="0.25">
      <c r="A14" s="76"/>
      <c r="B14" s="84" t="s">
        <v>2236</v>
      </c>
      <c r="C14" s="83" t="s">
        <v>2270</v>
      </c>
      <c r="D14" s="88" t="s">
        <v>2270</v>
      </c>
    </row>
    <row r="15" spans="1:10" x14ac:dyDescent="0.25">
      <c r="A15" s="76"/>
      <c r="B15" s="84" t="s">
        <v>2208</v>
      </c>
      <c r="C15" s="83" t="s">
        <v>2270</v>
      </c>
      <c r="D15" s="88" t="s">
        <v>2270</v>
      </c>
    </row>
    <row r="16" spans="1:10" x14ac:dyDescent="0.25">
      <c r="A16" s="76" t="s">
        <v>2231</v>
      </c>
      <c r="B16" s="84" t="s">
        <v>2257</v>
      </c>
      <c r="C16" s="83" t="s">
        <v>2270</v>
      </c>
      <c r="D16" s="88" t="s">
        <v>2203</v>
      </c>
    </row>
    <row r="17" spans="1:4" x14ac:dyDescent="0.25">
      <c r="A17" s="76"/>
      <c r="B17" s="84" t="s">
        <v>2245</v>
      </c>
      <c r="C17" s="83" t="s">
        <v>2270</v>
      </c>
      <c r="D17" s="88" t="s">
        <v>2203</v>
      </c>
    </row>
    <row r="18" spans="1:4" x14ac:dyDescent="0.25">
      <c r="A18" s="76"/>
      <c r="B18" s="84" t="s">
        <v>2264</v>
      </c>
      <c r="C18" s="83" t="s">
        <v>2270</v>
      </c>
      <c r="D18" s="88" t="s">
        <v>2203</v>
      </c>
    </row>
    <row r="19" spans="1:4" x14ac:dyDescent="0.25">
      <c r="A19" s="76"/>
      <c r="B19" s="84" t="s">
        <v>2210</v>
      </c>
      <c r="C19" s="83" t="s">
        <v>2270</v>
      </c>
      <c r="D19" s="88" t="s">
        <v>2203</v>
      </c>
    </row>
    <row r="20" spans="1:4" x14ac:dyDescent="0.25">
      <c r="A20" s="76" t="s">
        <v>2227</v>
      </c>
      <c r="B20" s="84" t="s">
        <v>2096</v>
      </c>
      <c r="C20" s="87" t="s">
        <v>2203</v>
      </c>
      <c r="D20" s="88" t="s">
        <v>2270</v>
      </c>
    </row>
    <row r="21" spans="1:4" x14ac:dyDescent="0.25">
      <c r="A21" s="76"/>
      <c r="B21" s="84" t="s">
        <v>2249</v>
      </c>
      <c r="C21" s="83" t="s">
        <v>2203</v>
      </c>
      <c r="D21" s="88" t="s">
        <v>2270</v>
      </c>
    </row>
    <row r="22" spans="1:4" x14ac:dyDescent="0.25">
      <c r="A22" s="76"/>
      <c r="B22" s="84" t="s">
        <v>2250</v>
      </c>
      <c r="C22" s="83" t="s">
        <v>2203</v>
      </c>
      <c r="D22" s="88" t="s">
        <v>2270</v>
      </c>
    </row>
    <row r="23" spans="1:4" x14ac:dyDescent="0.25">
      <c r="A23" s="76"/>
      <c r="B23" s="84" t="s">
        <v>2255</v>
      </c>
      <c r="C23" s="83" t="s">
        <v>2203</v>
      </c>
      <c r="D23" s="88" t="s">
        <v>2270</v>
      </c>
    </row>
    <row r="24" spans="1:4" x14ac:dyDescent="0.25">
      <c r="A24" s="76"/>
      <c r="B24" s="84" t="s">
        <v>2114</v>
      </c>
      <c r="C24" s="83" t="s">
        <v>2203</v>
      </c>
      <c r="D24" s="88" t="s">
        <v>2270</v>
      </c>
    </row>
    <row r="25" spans="1:4" x14ac:dyDescent="0.25">
      <c r="A25" s="76"/>
      <c r="B25" s="84" t="s">
        <v>2254</v>
      </c>
      <c r="C25" s="83" t="s">
        <v>2203</v>
      </c>
      <c r="D25" s="88" t="s">
        <v>2270</v>
      </c>
    </row>
    <row r="26" spans="1:4" x14ac:dyDescent="0.25">
      <c r="A26" s="76"/>
      <c r="B26" s="84" t="s">
        <v>2253</v>
      </c>
      <c r="C26" s="83" t="s">
        <v>2203</v>
      </c>
      <c r="D26" s="88" t="s">
        <v>2270</v>
      </c>
    </row>
    <row r="27" spans="1:4" x14ac:dyDescent="0.25">
      <c r="A27" s="76"/>
      <c r="B27" s="84" t="s">
        <v>2214</v>
      </c>
      <c r="C27" s="83" t="s">
        <v>2203</v>
      </c>
      <c r="D27" s="88" t="s">
        <v>2270</v>
      </c>
    </row>
    <row r="28" spans="1:4" x14ac:dyDescent="0.25">
      <c r="A28" s="76"/>
      <c r="B28" s="84" t="s">
        <v>2124</v>
      </c>
      <c r="C28" s="83" t="s">
        <v>2203</v>
      </c>
      <c r="D28" s="88" t="s">
        <v>2270</v>
      </c>
    </row>
    <row r="29" spans="1:4" x14ac:dyDescent="0.25">
      <c r="A29" s="76"/>
      <c r="B29" s="84" t="s">
        <v>2216</v>
      </c>
      <c r="C29" s="83" t="s">
        <v>2203</v>
      </c>
      <c r="D29" s="88" t="s">
        <v>2270</v>
      </c>
    </row>
    <row r="30" spans="1:4" x14ac:dyDescent="0.25">
      <c r="A30" s="76"/>
      <c r="B30" s="84" t="s">
        <v>2209</v>
      </c>
      <c r="C30" s="83" t="s">
        <v>2203</v>
      </c>
      <c r="D30" s="88" t="s">
        <v>2270</v>
      </c>
    </row>
    <row r="31" spans="1:4" x14ac:dyDescent="0.25">
      <c r="A31" s="76" t="s">
        <v>2229</v>
      </c>
      <c r="B31" s="84" t="s">
        <v>2258</v>
      </c>
      <c r="C31" s="87" t="s">
        <v>2270</v>
      </c>
      <c r="D31" s="88" t="s">
        <v>2203</v>
      </c>
    </row>
    <row r="32" spans="1:4" x14ac:dyDescent="0.25">
      <c r="A32" s="76"/>
      <c r="B32" s="84" t="s">
        <v>2115</v>
      </c>
      <c r="C32" s="83" t="s">
        <v>2270</v>
      </c>
      <c r="D32" s="88" t="s">
        <v>2203</v>
      </c>
    </row>
    <row r="33" spans="1:4" x14ac:dyDescent="0.25">
      <c r="A33" s="76" t="s">
        <v>2233</v>
      </c>
      <c r="B33" s="84" t="s">
        <v>2243</v>
      </c>
      <c r="C33" s="83" t="s">
        <v>2270</v>
      </c>
      <c r="D33" s="88" t="s">
        <v>2203</v>
      </c>
    </row>
    <row r="34" spans="1:4" x14ac:dyDescent="0.25">
      <c r="A34" s="76"/>
      <c r="B34" s="84" t="s">
        <v>2248</v>
      </c>
      <c r="C34" s="83" t="s">
        <v>2270</v>
      </c>
      <c r="D34" s="88" t="s">
        <v>2203</v>
      </c>
    </row>
    <row r="35" spans="1:4" x14ac:dyDescent="0.25">
      <c r="A35" s="76"/>
      <c r="B35" s="84" t="s">
        <v>2244</v>
      </c>
      <c r="C35" s="83" t="s">
        <v>2270</v>
      </c>
      <c r="D35" s="88" t="s">
        <v>2203</v>
      </c>
    </row>
    <row r="36" spans="1:4" x14ac:dyDescent="0.25">
      <c r="A36" s="76" t="s">
        <v>2272</v>
      </c>
      <c r="B36" s="85" t="s">
        <v>2274</v>
      </c>
      <c r="C36" s="83" t="s">
        <v>2203</v>
      </c>
      <c r="D36" s="83" t="s">
        <v>2270</v>
      </c>
    </row>
    <row r="37" spans="1:4" x14ac:dyDescent="0.25">
      <c r="A37" s="76"/>
      <c r="B37" s="85" t="s">
        <v>2275</v>
      </c>
      <c r="C37" s="83" t="s">
        <v>2203</v>
      </c>
      <c r="D37" s="83" t="s">
        <v>2270</v>
      </c>
    </row>
    <row r="38" spans="1:4" x14ac:dyDescent="0.25">
      <c r="A38" s="76"/>
      <c r="B38" s="86" t="s">
        <v>2276</v>
      </c>
      <c r="C38" s="83" t="s">
        <v>2203</v>
      </c>
      <c r="D38" s="83" t="s">
        <v>2270</v>
      </c>
    </row>
    <row r="39" spans="1:4" x14ac:dyDescent="0.25">
      <c r="A39" s="76" t="s">
        <v>2224</v>
      </c>
      <c r="B39" s="84" t="s">
        <v>2260</v>
      </c>
      <c r="C39" s="87" t="s">
        <v>2270</v>
      </c>
      <c r="D39" s="88" t="s">
        <v>2203</v>
      </c>
    </row>
    <row r="40" spans="1:4" x14ac:dyDescent="0.25">
      <c r="A40" s="76"/>
      <c r="B40" s="84" t="s">
        <v>2259</v>
      </c>
      <c r="C40" s="83" t="s">
        <v>2270</v>
      </c>
      <c r="D40" s="88" t="s">
        <v>2203</v>
      </c>
    </row>
    <row r="41" spans="1:4" x14ac:dyDescent="0.25">
      <c r="A41" s="76" t="s">
        <v>2230</v>
      </c>
      <c r="B41" s="84" t="s">
        <v>2098</v>
      </c>
      <c r="C41" s="87" t="s">
        <v>2203</v>
      </c>
      <c r="D41" s="88" t="s">
        <v>2270</v>
      </c>
    </row>
    <row r="42" spans="1:4" x14ac:dyDescent="0.25">
      <c r="A42" s="76"/>
      <c r="B42" s="84" t="s">
        <v>2102</v>
      </c>
      <c r="C42" s="83" t="s">
        <v>2203</v>
      </c>
      <c r="D42" s="88" t="s">
        <v>2270</v>
      </c>
    </row>
    <row r="43" spans="1:4" x14ac:dyDescent="0.25">
      <c r="A43" s="76"/>
      <c r="B43" s="84" t="s">
        <v>2120</v>
      </c>
      <c r="C43" s="83" t="s">
        <v>2203</v>
      </c>
      <c r="D43" s="88" t="s">
        <v>2270</v>
      </c>
    </row>
    <row r="44" spans="1:4" x14ac:dyDescent="0.25">
      <c r="A44" s="76"/>
      <c r="B44" s="84" t="s">
        <v>2135</v>
      </c>
      <c r="C44" s="83" t="s">
        <v>2203</v>
      </c>
      <c r="D44" s="88" t="s">
        <v>2270</v>
      </c>
    </row>
    <row r="45" spans="1:4" x14ac:dyDescent="0.25">
      <c r="A45" s="76" t="s">
        <v>2225</v>
      </c>
      <c r="B45" s="84" t="s">
        <v>2123</v>
      </c>
      <c r="C45" s="87" t="s">
        <v>2270</v>
      </c>
      <c r="D45" s="88" t="s">
        <v>2203</v>
      </c>
    </row>
    <row r="46" spans="1:4" x14ac:dyDescent="0.25">
      <c r="A46" s="76" t="s">
        <v>2241</v>
      </c>
      <c r="B46" s="84" t="s">
        <v>2126</v>
      </c>
      <c r="C46" s="83" t="s">
        <v>2270</v>
      </c>
      <c r="D46" s="88" t="s">
        <v>2203</v>
      </c>
    </row>
    <row r="47" spans="1:4" x14ac:dyDescent="0.25">
      <c r="A47" s="76"/>
      <c r="B47" s="84" t="s">
        <v>2130</v>
      </c>
      <c r="C47" s="83" t="s">
        <v>2270</v>
      </c>
      <c r="D47" s="88" t="s">
        <v>2203</v>
      </c>
    </row>
    <row r="48" spans="1:4" x14ac:dyDescent="0.25">
      <c r="A48" s="76"/>
      <c r="B48" s="84" t="s">
        <v>2131</v>
      </c>
      <c r="C48" s="83" t="s">
        <v>2270</v>
      </c>
      <c r="D48" s="88" t="s">
        <v>2203</v>
      </c>
    </row>
    <row r="49" spans="1:4" x14ac:dyDescent="0.25">
      <c r="A49" s="76" t="s">
        <v>2223</v>
      </c>
      <c r="B49" s="84" t="s">
        <v>2256</v>
      </c>
      <c r="C49" s="87" t="s">
        <v>2203</v>
      </c>
      <c r="D49" s="88" t="s">
        <v>2270</v>
      </c>
    </row>
    <row r="50" spans="1:4" x14ac:dyDescent="0.25">
      <c r="A50" s="76"/>
      <c r="B50" s="84" t="s">
        <v>2121</v>
      </c>
      <c r="C50" s="83" t="s">
        <v>2203</v>
      </c>
      <c r="D50" s="88" t="s">
        <v>2270</v>
      </c>
    </row>
    <row r="51" spans="1:4" x14ac:dyDescent="0.25">
      <c r="A51" s="76"/>
      <c r="B51" s="84" t="s">
        <v>2261</v>
      </c>
      <c r="C51" s="83" t="s">
        <v>2203</v>
      </c>
      <c r="D51" s="88" t="s">
        <v>2270</v>
      </c>
    </row>
    <row r="52" spans="1:4" x14ac:dyDescent="0.25">
      <c r="A52" s="76"/>
      <c r="B52" s="84" t="s">
        <v>2122</v>
      </c>
      <c r="C52" s="83" t="s">
        <v>2203</v>
      </c>
      <c r="D52" s="88" t="s">
        <v>2270</v>
      </c>
    </row>
    <row r="53" spans="1:4" x14ac:dyDescent="0.25">
      <c r="A53" s="76"/>
      <c r="B53" s="84" t="s">
        <v>2215</v>
      </c>
      <c r="C53" s="83" t="s">
        <v>2203</v>
      </c>
      <c r="D53" s="88" t="s">
        <v>2270</v>
      </c>
    </row>
    <row r="54" spans="1:4" x14ac:dyDescent="0.25">
      <c r="A54" s="76"/>
      <c r="B54" s="84" t="s">
        <v>2262</v>
      </c>
      <c r="C54" s="83" t="s">
        <v>2203</v>
      </c>
      <c r="D54" s="88" t="s">
        <v>2270</v>
      </c>
    </row>
    <row r="55" spans="1:4" x14ac:dyDescent="0.25">
      <c r="A55" s="76"/>
      <c r="B55" s="84" t="s">
        <v>2128</v>
      </c>
      <c r="C55" s="83" t="s">
        <v>2203</v>
      </c>
      <c r="D55" s="88" t="s">
        <v>2270</v>
      </c>
    </row>
    <row r="56" spans="1:4" x14ac:dyDescent="0.25">
      <c r="A56" s="76"/>
      <c r="B56" s="62" t="s">
        <v>2277</v>
      </c>
      <c r="C56" s="83" t="s">
        <v>2203</v>
      </c>
      <c r="D56" s="89" t="s">
        <v>2270</v>
      </c>
    </row>
    <row r="57" spans="1:4" x14ac:dyDescent="0.25">
      <c r="A57" s="76" t="s">
        <v>2232</v>
      </c>
      <c r="B57" s="84" t="s">
        <v>2246</v>
      </c>
      <c r="C57" s="87" t="s">
        <v>2270</v>
      </c>
      <c r="D57" s="88" t="s">
        <v>2203</v>
      </c>
    </row>
    <row r="58" spans="1:4" x14ac:dyDescent="0.25">
      <c r="A58" s="76"/>
      <c r="B58" s="62" t="s">
        <v>2273</v>
      </c>
      <c r="C58" s="83" t="s">
        <v>2270</v>
      </c>
      <c r="D58" s="89" t="s">
        <v>2203</v>
      </c>
    </row>
    <row r="59" spans="1:4" x14ac:dyDescent="0.25">
      <c r="A59" s="76" t="s">
        <v>2235</v>
      </c>
      <c r="B59" s="84" t="s">
        <v>2212</v>
      </c>
      <c r="C59" s="87" t="s">
        <v>2271</v>
      </c>
      <c r="D59" s="88" t="s">
        <v>2271</v>
      </c>
    </row>
    <row r="60" spans="1:4" x14ac:dyDescent="0.25">
      <c r="A60" s="76"/>
      <c r="B60" s="84" t="s">
        <v>2211</v>
      </c>
      <c r="C60" s="83" t="s">
        <v>2271</v>
      </c>
      <c r="D60" s="88" t="s">
        <v>2271</v>
      </c>
    </row>
    <row r="61" spans="1:4" x14ac:dyDescent="0.25">
      <c r="A61" s="76" t="s">
        <v>2234</v>
      </c>
      <c r="B61" s="84" t="s">
        <v>2129</v>
      </c>
      <c r="C61" s="87" t="s">
        <v>2270</v>
      </c>
      <c r="D61" s="88" t="s">
        <v>2203</v>
      </c>
    </row>
    <row r="62" spans="1:4" x14ac:dyDescent="0.25">
      <c r="A62" s="76" t="s">
        <v>2222</v>
      </c>
      <c r="B62" s="84" t="s">
        <v>2132</v>
      </c>
      <c r="C62" s="87" t="s">
        <v>2203</v>
      </c>
      <c r="D62" s="88" t="s">
        <v>2270</v>
      </c>
    </row>
    <row r="63" spans="1:4" x14ac:dyDescent="0.25">
      <c r="A63" s="76"/>
      <c r="B63" s="84" t="s">
        <v>2133</v>
      </c>
      <c r="C63" s="83" t="s">
        <v>2203</v>
      </c>
      <c r="D63" s="88" t="s">
        <v>2270</v>
      </c>
    </row>
    <row r="64" spans="1:4" x14ac:dyDescent="0.25">
      <c r="A64" s="76"/>
      <c r="B64" s="84" t="s">
        <v>2134</v>
      </c>
      <c r="C64" s="83" t="s">
        <v>2203</v>
      </c>
      <c r="D64" s="88" t="s">
        <v>2270</v>
      </c>
    </row>
    <row r="65" spans="1:4" x14ac:dyDescent="0.25">
      <c r="A65" s="76" t="s">
        <v>2207</v>
      </c>
      <c r="B65" s="84" t="s">
        <v>10</v>
      </c>
      <c r="C65" s="87" t="s">
        <v>2213</v>
      </c>
      <c r="D65" s="88" t="s">
        <v>2213</v>
      </c>
    </row>
    <row r="66" spans="1:4" x14ac:dyDescent="0.25">
      <c r="A66" s="76"/>
      <c r="B66" s="84" t="s">
        <v>2204</v>
      </c>
      <c r="C66" s="83" t="s">
        <v>2213</v>
      </c>
      <c r="D66" s="88" t="s">
        <v>2213</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3"/>
  <sheetViews>
    <sheetView workbookViewId="0">
      <selection activeCell="A28" sqref="A28"/>
    </sheetView>
  </sheetViews>
  <sheetFormatPr defaultRowHeight="15" x14ac:dyDescent="0.25"/>
  <cols>
    <col min="1" max="1" width="50.5703125" bestFit="1" customWidth="1"/>
    <col min="2" max="3" width="24.85546875" customWidth="1"/>
  </cols>
  <sheetData>
    <row r="1" spans="1:3" x14ac:dyDescent="0.25">
      <c r="A1" t="s">
        <v>2218</v>
      </c>
    </row>
    <row r="3" spans="1:3" s="64" customFormat="1" ht="45" x14ac:dyDescent="0.25">
      <c r="A3" s="79" t="s">
        <v>2219</v>
      </c>
      <c r="B3" s="80" t="s">
        <v>2220</v>
      </c>
      <c r="C3" s="80" t="s">
        <v>2247</v>
      </c>
    </row>
    <row r="4" spans="1:3" x14ac:dyDescent="0.25">
      <c r="A4" s="83" t="s">
        <v>2221</v>
      </c>
      <c r="B4" s="81" t="s">
        <v>2203</v>
      </c>
      <c r="C4" s="77" t="s">
        <v>2270</v>
      </c>
    </row>
    <row r="5" spans="1:3" x14ac:dyDescent="0.25">
      <c r="A5" s="83" t="s">
        <v>2222</v>
      </c>
      <c r="B5" s="77" t="s">
        <v>2203</v>
      </c>
      <c r="C5" s="77" t="s">
        <v>2270</v>
      </c>
    </row>
    <row r="6" spans="1:3" x14ac:dyDescent="0.25">
      <c r="A6" s="83" t="s">
        <v>2223</v>
      </c>
      <c r="B6" s="77" t="s">
        <v>2203</v>
      </c>
      <c r="C6" s="77" t="s">
        <v>2270</v>
      </c>
    </row>
    <row r="7" spans="1:3" x14ac:dyDescent="0.25">
      <c r="A7" s="83" t="s">
        <v>2224</v>
      </c>
      <c r="B7" s="77" t="s">
        <v>2270</v>
      </c>
      <c r="C7" s="77" t="s">
        <v>2203</v>
      </c>
    </row>
    <row r="8" spans="1:3" x14ac:dyDescent="0.25">
      <c r="A8" s="83" t="s">
        <v>2272</v>
      </c>
      <c r="B8" s="77" t="s">
        <v>2203</v>
      </c>
      <c r="C8" s="77" t="s">
        <v>2270</v>
      </c>
    </row>
    <row r="9" spans="1:3" x14ac:dyDescent="0.25">
      <c r="A9" s="83" t="s">
        <v>2225</v>
      </c>
      <c r="B9" s="77" t="s">
        <v>2270</v>
      </c>
      <c r="C9" s="77" t="s">
        <v>2203</v>
      </c>
    </row>
    <row r="10" spans="1:3" x14ac:dyDescent="0.25">
      <c r="A10" s="83" t="s">
        <v>2226</v>
      </c>
      <c r="B10" s="77" t="s">
        <v>2270</v>
      </c>
      <c r="C10" s="77" t="s">
        <v>2203</v>
      </c>
    </row>
    <row r="11" spans="1:3" x14ac:dyDescent="0.25">
      <c r="A11" s="83" t="s">
        <v>2227</v>
      </c>
      <c r="B11" s="77" t="s">
        <v>2203</v>
      </c>
      <c r="C11" s="77" t="s">
        <v>2270</v>
      </c>
    </row>
    <row r="12" spans="1:3" x14ac:dyDescent="0.25">
      <c r="A12" s="83" t="s">
        <v>2228</v>
      </c>
      <c r="B12" s="77" t="s">
        <v>2270</v>
      </c>
      <c r="C12" s="77" t="s">
        <v>2270</v>
      </c>
    </row>
    <row r="13" spans="1:3" x14ac:dyDescent="0.25">
      <c r="A13" s="83" t="s">
        <v>2229</v>
      </c>
      <c r="B13" s="77" t="s">
        <v>2270</v>
      </c>
      <c r="C13" s="77" t="s">
        <v>2203</v>
      </c>
    </row>
    <row r="14" spans="1:3" x14ac:dyDescent="0.25">
      <c r="A14" s="83" t="s">
        <v>2230</v>
      </c>
      <c r="B14" s="77" t="s">
        <v>2203</v>
      </c>
      <c r="C14" s="77" t="s">
        <v>2270</v>
      </c>
    </row>
    <row r="15" spans="1:3" x14ac:dyDescent="0.25">
      <c r="A15" s="83" t="s">
        <v>2231</v>
      </c>
      <c r="B15" s="77" t="s">
        <v>2270</v>
      </c>
      <c r="C15" s="77" t="s">
        <v>2203</v>
      </c>
    </row>
    <row r="16" spans="1:3" x14ac:dyDescent="0.25">
      <c r="A16" s="83" t="s">
        <v>2232</v>
      </c>
      <c r="B16" s="77" t="s">
        <v>2270</v>
      </c>
      <c r="C16" s="77" t="s">
        <v>2203</v>
      </c>
    </row>
    <row r="17" spans="1:3" x14ac:dyDescent="0.25">
      <c r="A17" s="83" t="s">
        <v>2233</v>
      </c>
      <c r="B17" s="77" t="s">
        <v>2270</v>
      </c>
      <c r="C17" s="77" t="s">
        <v>2203</v>
      </c>
    </row>
    <row r="18" spans="1:3" x14ac:dyDescent="0.25">
      <c r="A18" s="83" t="s">
        <v>2234</v>
      </c>
      <c r="B18" s="77" t="s">
        <v>2270</v>
      </c>
      <c r="C18" s="77" t="s">
        <v>2203</v>
      </c>
    </row>
    <row r="19" spans="1:3" x14ac:dyDescent="0.25">
      <c r="A19" s="83" t="s">
        <v>2237</v>
      </c>
      <c r="B19" s="77" t="s">
        <v>2203</v>
      </c>
      <c r="C19" s="77" t="s">
        <v>2270</v>
      </c>
    </row>
    <row r="20" spans="1:3" s="62" customFormat="1" x14ac:dyDescent="0.25">
      <c r="A20" s="83" t="s">
        <v>2239</v>
      </c>
      <c r="B20" s="77" t="s">
        <v>2270</v>
      </c>
      <c r="C20" s="77" t="s">
        <v>2270</v>
      </c>
    </row>
    <row r="21" spans="1:3" s="62" customFormat="1" x14ac:dyDescent="0.25">
      <c r="A21" s="83" t="s">
        <v>2241</v>
      </c>
      <c r="B21" s="77" t="s">
        <v>2270</v>
      </c>
      <c r="C21" s="77" t="s">
        <v>2203</v>
      </c>
    </row>
    <row r="22" spans="1:3" x14ac:dyDescent="0.25">
      <c r="A22" s="83" t="s">
        <v>2238</v>
      </c>
      <c r="B22" s="77" t="s">
        <v>2270</v>
      </c>
      <c r="C22" s="77" t="s">
        <v>2270</v>
      </c>
    </row>
    <row r="23" spans="1:3" x14ac:dyDescent="0.25">
      <c r="A23" s="83" t="s">
        <v>2235</v>
      </c>
      <c r="B23" s="77" t="s">
        <v>2271</v>
      </c>
      <c r="C23" s="77" t="s">
        <v>2271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5"/>
  <sheetViews>
    <sheetView workbookViewId="0">
      <selection activeCell="G6" sqref="G6"/>
    </sheetView>
  </sheetViews>
  <sheetFormatPr defaultRowHeight="15" x14ac:dyDescent="0.25"/>
  <cols>
    <col min="1" max="1" width="17.7109375" customWidth="1"/>
    <col min="2" max="2" width="16.5703125" bestFit="1" customWidth="1"/>
    <col min="3" max="3" width="10.7109375" bestFit="1" customWidth="1"/>
    <col min="4" max="4" width="13.140625" bestFit="1" customWidth="1"/>
    <col min="5" max="5" width="18.42578125" bestFit="1" customWidth="1"/>
    <col min="6" max="6" width="25.85546875" customWidth="1"/>
    <col min="7" max="7" width="20.42578125" bestFit="1" customWidth="1"/>
    <col min="8" max="8" width="8.5703125" bestFit="1" customWidth="1"/>
    <col min="9" max="9" width="14.85546875" bestFit="1" customWidth="1"/>
    <col min="10" max="10" width="19.140625" bestFit="1" customWidth="1"/>
    <col min="11" max="11" width="5.140625" bestFit="1" customWidth="1"/>
    <col min="12" max="13" width="10.7109375" bestFit="1" customWidth="1"/>
  </cols>
  <sheetData>
    <row r="1" spans="1:9" x14ac:dyDescent="0.25">
      <c r="A1" s="90" t="s">
        <v>2087</v>
      </c>
      <c r="B1" s="90"/>
      <c r="C1" s="90"/>
      <c r="D1" s="90"/>
      <c r="E1" s="28"/>
      <c r="F1" s="90"/>
      <c r="G1" s="90"/>
      <c r="H1" s="90"/>
      <c r="I1" s="90"/>
    </row>
    <row r="2" spans="1:9" x14ac:dyDescent="0.25">
      <c r="A2" s="90"/>
      <c r="B2" s="90"/>
      <c r="C2" s="90"/>
      <c r="D2" s="90"/>
      <c r="E2" s="28"/>
      <c r="F2" s="90"/>
      <c r="G2" s="90"/>
      <c r="H2" s="90"/>
      <c r="I2" s="90"/>
    </row>
    <row r="4" spans="1:9" x14ac:dyDescent="0.25">
      <c r="A4" s="28"/>
      <c r="B4" s="28"/>
      <c r="C4" s="28"/>
      <c r="D4" s="28"/>
      <c r="E4" s="28"/>
      <c r="F4" s="28" t="s">
        <v>2140</v>
      </c>
      <c r="G4" s="28">
        <f>643+8</f>
        <v>651</v>
      </c>
      <c r="H4" s="28"/>
      <c r="I4" s="28"/>
    </row>
    <row r="5" spans="1:9" x14ac:dyDescent="0.25">
      <c r="A5" t="s">
        <v>2141</v>
      </c>
      <c r="C5" s="28"/>
      <c r="D5" s="41"/>
      <c r="E5" s="28"/>
      <c r="F5" s="28" t="s">
        <v>2142</v>
      </c>
      <c r="G5" s="28">
        <v>46</v>
      </c>
      <c r="H5" s="28"/>
      <c r="I5" s="28"/>
    </row>
    <row r="6" spans="1:9" x14ac:dyDescent="0.25">
      <c r="A6" s="43">
        <v>829</v>
      </c>
      <c r="C6" s="28"/>
      <c r="D6" s="28"/>
      <c r="E6" s="28" t="s">
        <v>2143</v>
      </c>
      <c r="F6" s="28" t="s">
        <v>2144</v>
      </c>
      <c r="G6" s="28">
        <f>G4-G5</f>
        <v>605</v>
      </c>
      <c r="H6" s="28"/>
      <c r="I6" s="28"/>
    </row>
    <row r="7" spans="1:9" x14ac:dyDescent="0.25">
      <c r="C7" s="28"/>
      <c r="D7" s="28"/>
      <c r="E7" s="28" t="s">
        <v>2145</v>
      </c>
      <c r="F7" s="28" t="s">
        <v>2146</v>
      </c>
      <c r="G7" s="28">
        <v>833</v>
      </c>
      <c r="H7" s="28"/>
      <c r="I7" s="28"/>
    </row>
    <row r="8" spans="1:9" x14ac:dyDescent="0.25">
      <c r="C8" s="28"/>
      <c r="D8" s="28"/>
      <c r="E8" s="28"/>
      <c r="F8" s="28" t="s">
        <v>2147</v>
      </c>
      <c r="G8" s="28">
        <f>G7-G6</f>
        <v>228</v>
      </c>
      <c r="H8" s="28"/>
      <c r="I8" s="28"/>
    </row>
    <row r="9" spans="1:9" x14ac:dyDescent="0.25">
      <c r="C9" s="28"/>
      <c r="D9" s="28"/>
      <c r="E9" s="28"/>
      <c r="F9" s="28"/>
      <c r="G9" s="28"/>
      <c r="H9" s="28"/>
      <c r="I9" s="28"/>
    </row>
    <row r="10" spans="1:9" x14ac:dyDescent="0.25">
      <c r="C10" s="28"/>
      <c r="D10" s="28"/>
      <c r="E10" s="28"/>
      <c r="F10" s="28"/>
      <c r="G10" s="28"/>
      <c r="H10" s="28"/>
      <c r="I10" s="28"/>
    </row>
    <row r="11" spans="1:9" x14ac:dyDescent="0.25">
      <c r="C11" s="28"/>
      <c r="D11" s="28"/>
      <c r="E11" s="28"/>
      <c r="F11" s="28"/>
      <c r="G11" s="28"/>
      <c r="H11" s="28"/>
      <c r="I11" s="28"/>
    </row>
    <row r="12" spans="1:9" x14ac:dyDescent="0.25">
      <c r="C12" s="28"/>
      <c r="D12" s="28"/>
      <c r="E12" s="28"/>
      <c r="F12" s="28"/>
      <c r="G12" s="28"/>
      <c r="H12" s="28"/>
      <c r="I12" s="28"/>
    </row>
    <row r="13" spans="1:9" x14ac:dyDescent="0.25">
      <c r="C13" s="28"/>
      <c r="D13" s="28"/>
      <c r="E13" s="28"/>
      <c r="F13" s="28"/>
      <c r="G13" s="28"/>
      <c r="H13" s="28"/>
      <c r="I13" s="28"/>
    </row>
    <row r="14" spans="1:9" x14ac:dyDescent="0.25">
      <c r="C14" s="28"/>
      <c r="D14" s="28"/>
      <c r="E14" s="28"/>
      <c r="F14" s="28"/>
      <c r="G14" s="28"/>
      <c r="H14" s="28"/>
      <c r="I14" s="28"/>
    </row>
    <row r="15" spans="1:9" x14ac:dyDescent="0.25">
      <c r="C15" s="28"/>
      <c r="D15" s="28"/>
      <c r="E15" s="28"/>
      <c r="F15" s="28"/>
      <c r="G15" s="28"/>
      <c r="H15" s="28"/>
      <c r="I15" s="28"/>
    </row>
    <row r="16" spans="1:9" x14ac:dyDescent="0.25">
      <c r="C16" s="28"/>
      <c r="D16" s="28"/>
      <c r="E16" s="28"/>
      <c r="F16" s="28"/>
      <c r="G16" s="28"/>
      <c r="H16" s="28"/>
      <c r="I16" s="28"/>
    </row>
    <row r="25" spans="1:2" s="48" customFormat="1" x14ac:dyDescent="0.25">
      <c r="A25" s="28"/>
      <c r="B25" s="28"/>
    </row>
  </sheetData>
  <mergeCells count="2">
    <mergeCell ref="A1:D2"/>
    <mergeCell ref="F1:I2"/>
  </mergeCell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822"/>
  <sheetViews>
    <sheetView workbookViewId="0">
      <selection activeCell="E12" sqref="E12"/>
    </sheetView>
  </sheetViews>
  <sheetFormatPr defaultColWidth="8.85546875" defaultRowHeight="15" x14ac:dyDescent="0.25"/>
  <cols>
    <col min="1" max="1" width="32.5703125" style="1" bestFit="1" customWidth="1"/>
    <col min="2" max="2" width="22.85546875" style="1" bestFit="1" customWidth="1"/>
    <col min="3" max="4" width="8.85546875" style="1"/>
    <col min="5" max="5" width="38.140625" style="1" bestFit="1" customWidth="1"/>
    <col min="6" max="6" width="8.85546875" style="7"/>
    <col min="7" max="16384" width="8.85546875" style="1"/>
  </cols>
  <sheetData>
    <row r="1" spans="1:5" x14ac:dyDescent="0.25">
      <c r="A1" s="1" t="s">
        <v>2</v>
      </c>
      <c r="B1" s="1" t="s">
        <v>3</v>
      </c>
      <c r="E1" s="1" t="s">
        <v>2148</v>
      </c>
    </row>
    <row r="2" spans="1:5" x14ac:dyDescent="0.25">
      <c r="A2" s="4" t="s">
        <v>295</v>
      </c>
      <c r="B2" s="1" t="s">
        <v>107</v>
      </c>
      <c r="E2" s="1" t="s">
        <v>294</v>
      </c>
    </row>
    <row r="3" spans="1:5" x14ac:dyDescent="0.25">
      <c r="A3" s="4" t="s">
        <v>330</v>
      </c>
      <c r="B3" s="1" t="s">
        <v>107</v>
      </c>
      <c r="E3" s="1" t="s">
        <v>294</v>
      </c>
    </row>
    <row r="4" spans="1:5" x14ac:dyDescent="0.25">
      <c r="A4" s="4" t="s">
        <v>332</v>
      </c>
      <c r="B4" s="1" t="s">
        <v>76</v>
      </c>
      <c r="E4" s="1" t="s">
        <v>294</v>
      </c>
    </row>
    <row r="5" spans="1:5" x14ac:dyDescent="0.25">
      <c r="A5" s="4" t="s">
        <v>336</v>
      </c>
      <c r="B5" s="1" t="s">
        <v>337</v>
      </c>
      <c r="E5" s="1" t="s">
        <v>294</v>
      </c>
    </row>
    <row r="6" spans="1:5" x14ac:dyDescent="0.25">
      <c r="A6" s="4" t="s">
        <v>340</v>
      </c>
      <c r="B6" s="1" t="s">
        <v>341</v>
      </c>
      <c r="E6" s="1" t="s">
        <v>294</v>
      </c>
    </row>
    <row r="7" spans="1:5" x14ac:dyDescent="0.25">
      <c r="A7" s="4" t="s">
        <v>351</v>
      </c>
      <c r="B7" s="1" t="s">
        <v>352</v>
      </c>
      <c r="E7" s="1" t="s">
        <v>294</v>
      </c>
    </row>
    <row r="8" spans="1:5" x14ac:dyDescent="0.25">
      <c r="A8" s="4" t="s">
        <v>356</v>
      </c>
      <c r="B8" s="1" t="s">
        <v>33</v>
      </c>
      <c r="E8" s="1" t="s">
        <v>294</v>
      </c>
    </row>
    <row r="9" spans="1:5" x14ac:dyDescent="0.25">
      <c r="A9" s="4" t="s">
        <v>361</v>
      </c>
      <c r="B9" s="1" t="s">
        <v>362</v>
      </c>
      <c r="E9" s="1" t="s">
        <v>294</v>
      </c>
    </row>
    <row r="10" spans="1:5" x14ac:dyDescent="0.25">
      <c r="A10" s="4" t="s">
        <v>383</v>
      </c>
      <c r="B10" s="1" t="s">
        <v>384</v>
      </c>
      <c r="E10" s="1" t="s">
        <v>294</v>
      </c>
    </row>
    <row r="11" spans="1:5" x14ac:dyDescent="0.25">
      <c r="A11" s="4" t="s">
        <v>387</v>
      </c>
      <c r="B11" s="1" t="s">
        <v>67</v>
      </c>
      <c r="E11" s="1" t="s">
        <v>294</v>
      </c>
    </row>
    <row r="12" spans="1:5" x14ac:dyDescent="0.25">
      <c r="A12" s="4" t="s">
        <v>393</v>
      </c>
      <c r="B12" s="1" t="s">
        <v>195</v>
      </c>
      <c r="E12" s="1" t="s">
        <v>294</v>
      </c>
    </row>
    <row r="13" spans="1:5" x14ac:dyDescent="0.25">
      <c r="A13" s="4" t="s">
        <v>410</v>
      </c>
      <c r="B13" s="1" t="s">
        <v>225</v>
      </c>
      <c r="E13" s="1" t="s">
        <v>294</v>
      </c>
    </row>
    <row r="14" spans="1:5" x14ac:dyDescent="0.25">
      <c r="A14" s="4" t="s">
        <v>411</v>
      </c>
      <c r="B14" s="1" t="s">
        <v>412</v>
      </c>
      <c r="E14" s="1" t="s">
        <v>294</v>
      </c>
    </row>
    <row r="15" spans="1:5" x14ac:dyDescent="0.25">
      <c r="A15" s="4" t="s">
        <v>428</v>
      </c>
      <c r="B15" s="1" t="s">
        <v>429</v>
      </c>
      <c r="E15" s="1" t="s">
        <v>294</v>
      </c>
    </row>
    <row r="16" spans="1:5" x14ac:dyDescent="0.25">
      <c r="A16" s="4" t="s">
        <v>452</v>
      </c>
      <c r="B16" s="1" t="s">
        <v>334</v>
      </c>
      <c r="E16" s="1" t="s">
        <v>294</v>
      </c>
    </row>
    <row r="17" spans="1:5" x14ac:dyDescent="0.25">
      <c r="A17" s="4" t="s">
        <v>456</v>
      </c>
      <c r="B17" s="1" t="s">
        <v>457</v>
      </c>
      <c r="E17" s="1" t="s">
        <v>294</v>
      </c>
    </row>
    <row r="18" spans="1:5" x14ac:dyDescent="0.25">
      <c r="A18" s="4" t="s">
        <v>465</v>
      </c>
      <c r="B18" s="1" t="s">
        <v>142</v>
      </c>
      <c r="E18" s="1" t="s">
        <v>294</v>
      </c>
    </row>
    <row r="19" spans="1:5" x14ac:dyDescent="0.25">
      <c r="A19" s="4" t="s">
        <v>471</v>
      </c>
      <c r="B19" s="1" t="s">
        <v>228</v>
      </c>
      <c r="E19" s="1" t="s">
        <v>294</v>
      </c>
    </row>
    <row r="20" spans="1:5" x14ac:dyDescent="0.25">
      <c r="A20" s="4" t="s">
        <v>474</v>
      </c>
      <c r="B20" s="1" t="s">
        <v>457</v>
      </c>
      <c r="E20" s="1" t="s">
        <v>294</v>
      </c>
    </row>
    <row r="21" spans="1:5" x14ac:dyDescent="0.25">
      <c r="A21" s="4" t="s">
        <v>512</v>
      </c>
      <c r="B21" s="1" t="s">
        <v>107</v>
      </c>
      <c r="E21" s="1" t="s">
        <v>294</v>
      </c>
    </row>
    <row r="22" spans="1:5" x14ac:dyDescent="0.25">
      <c r="A22" s="4" t="s">
        <v>517</v>
      </c>
      <c r="B22" s="1" t="s">
        <v>518</v>
      </c>
      <c r="E22" s="1" t="s">
        <v>294</v>
      </c>
    </row>
    <row r="23" spans="1:5" x14ac:dyDescent="0.25">
      <c r="A23" s="4" t="s">
        <v>522</v>
      </c>
      <c r="B23" s="1" t="s">
        <v>523</v>
      </c>
      <c r="E23" s="1" t="s">
        <v>294</v>
      </c>
    </row>
    <row r="24" spans="1:5" x14ac:dyDescent="0.25">
      <c r="A24" s="4" t="s">
        <v>526</v>
      </c>
      <c r="B24" s="1" t="s">
        <v>91</v>
      </c>
      <c r="E24" s="1" t="s">
        <v>294</v>
      </c>
    </row>
    <row r="25" spans="1:5" x14ac:dyDescent="0.25">
      <c r="A25" s="4" t="s">
        <v>533</v>
      </c>
      <c r="B25" s="1" t="s">
        <v>362</v>
      </c>
      <c r="E25" s="1" t="s">
        <v>294</v>
      </c>
    </row>
    <row r="26" spans="1:5" x14ac:dyDescent="0.25">
      <c r="A26" s="4" t="s">
        <v>535</v>
      </c>
      <c r="B26" s="1" t="s">
        <v>73</v>
      </c>
      <c r="E26" s="1" t="s">
        <v>294</v>
      </c>
    </row>
    <row r="27" spans="1:5" x14ac:dyDescent="0.25">
      <c r="A27" s="4" t="s">
        <v>536</v>
      </c>
      <c r="B27" s="1" t="s">
        <v>86</v>
      </c>
      <c r="E27" s="1" t="s">
        <v>294</v>
      </c>
    </row>
    <row r="28" spans="1:5" x14ac:dyDescent="0.25">
      <c r="A28" s="4" t="s">
        <v>539</v>
      </c>
      <c r="B28" s="1" t="s">
        <v>55</v>
      </c>
      <c r="E28" s="1" t="s">
        <v>294</v>
      </c>
    </row>
    <row r="29" spans="1:5" x14ac:dyDescent="0.25">
      <c r="A29" s="4" t="s">
        <v>546</v>
      </c>
      <c r="B29" s="1" t="s">
        <v>119</v>
      </c>
      <c r="E29" s="1" t="s">
        <v>294</v>
      </c>
    </row>
    <row r="30" spans="1:5" x14ac:dyDescent="0.25">
      <c r="A30" s="4" t="s">
        <v>547</v>
      </c>
      <c r="B30" s="1" t="s">
        <v>548</v>
      </c>
      <c r="E30" s="1" t="s">
        <v>294</v>
      </c>
    </row>
    <row r="31" spans="1:5" x14ac:dyDescent="0.25">
      <c r="A31" s="4" t="s">
        <v>550</v>
      </c>
      <c r="B31" s="1" t="s">
        <v>412</v>
      </c>
      <c r="E31" s="1" t="s">
        <v>294</v>
      </c>
    </row>
    <row r="32" spans="1:5" x14ac:dyDescent="0.25">
      <c r="A32" s="4" t="s">
        <v>556</v>
      </c>
      <c r="B32" s="1" t="s">
        <v>557</v>
      </c>
      <c r="E32" s="1" t="s">
        <v>294</v>
      </c>
    </row>
    <row r="33" spans="1:5" x14ac:dyDescent="0.25">
      <c r="A33" s="4" t="s">
        <v>298</v>
      </c>
      <c r="B33" s="1" t="s">
        <v>261</v>
      </c>
      <c r="E33" s="1" t="s">
        <v>297</v>
      </c>
    </row>
    <row r="34" spans="1:5" x14ac:dyDescent="0.25">
      <c r="A34" s="4" t="s">
        <v>319</v>
      </c>
      <c r="B34" s="1" t="s">
        <v>215</v>
      </c>
      <c r="E34" s="1" t="s">
        <v>297</v>
      </c>
    </row>
    <row r="35" spans="1:5" x14ac:dyDescent="0.25">
      <c r="A35" s="4" t="s">
        <v>323</v>
      </c>
      <c r="B35" s="1" t="s">
        <v>324</v>
      </c>
      <c r="E35" s="1" t="s">
        <v>297</v>
      </c>
    </row>
    <row r="36" spans="1:5" x14ac:dyDescent="0.25">
      <c r="A36" s="4" t="s">
        <v>357</v>
      </c>
      <c r="B36" s="1" t="s">
        <v>8</v>
      </c>
      <c r="E36" s="1" t="s">
        <v>297</v>
      </c>
    </row>
    <row r="37" spans="1:5" x14ac:dyDescent="0.25">
      <c r="A37" s="4" t="s">
        <v>363</v>
      </c>
      <c r="B37" s="1" t="s">
        <v>364</v>
      </c>
      <c r="E37" s="1" t="s">
        <v>297</v>
      </c>
    </row>
    <row r="38" spans="1:5" x14ac:dyDescent="0.25">
      <c r="A38" s="4" t="s">
        <v>349</v>
      </c>
      <c r="B38" s="1" t="s">
        <v>381</v>
      </c>
      <c r="E38" s="1" t="s">
        <v>297</v>
      </c>
    </row>
    <row r="39" spans="1:5" x14ac:dyDescent="0.25">
      <c r="A39" s="4" t="s">
        <v>394</v>
      </c>
      <c r="B39" s="1" t="s">
        <v>91</v>
      </c>
      <c r="E39" s="1" t="s">
        <v>297</v>
      </c>
    </row>
    <row r="40" spans="1:5" x14ac:dyDescent="0.25">
      <c r="A40" s="4" t="s">
        <v>401</v>
      </c>
      <c r="B40" s="1" t="s">
        <v>402</v>
      </c>
      <c r="E40" s="1" t="s">
        <v>297</v>
      </c>
    </row>
    <row r="41" spans="1:5" x14ac:dyDescent="0.25">
      <c r="A41" s="4" t="s">
        <v>436</v>
      </c>
      <c r="B41" s="1" t="s">
        <v>437</v>
      </c>
      <c r="E41" s="1" t="s">
        <v>297</v>
      </c>
    </row>
    <row r="42" spans="1:5" x14ac:dyDescent="0.25">
      <c r="A42" s="4" t="s">
        <v>440</v>
      </c>
      <c r="B42" s="1" t="s">
        <v>441</v>
      </c>
      <c r="E42" s="1" t="s">
        <v>297</v>
      </c>
    </row>
    <row r="43" spans="1:5" x14ac:dyDescent="0.25">
      <c r="A43" s="4" t="s">
        <v>452</v>
      </c>
      <c r="B43" s="1" t="s">
        <v>453</v>
      </c>
      <c r="E43" s="1" t="s">
        <v>297</v>
      </c>
    </row>
    <row r="44" spans="1:5" x14ac:dyDescent="0.25">
      <c r="A44" s="4" t="s">
        <v>458</v>
      </c>
      <c r="B44" s="1" t="s">
        <v>459</v>
      </c>
      <c r="E44" s="1" t="s">
        <v>297</v>
      </c>
    </row>
    <row r="45" spans="1:5" x14ac:dyDescent="0.25">
      <c r="A45" s="4" t="s">
        <v>461</v>
      </c>
      <c r="B45" s="1" t="s">
        <v>462</v>
      </c>
      <c r="E45" s="1" t="s">
        <v>297</v>
      </c>
    </row>
    <row r="46" spans="1:5" x14ac:dyDescent="0.25">
      <c r="A46" s="4" t="s">
        <v>487</v>
      </c>
      <c r="B46" s="1" t="s">
        <v>488</v>
      </c>
      <c r="E46" s="1" t="s">
        <v>297</v>
      </c>
    </row>
    <row r="47" spans="1:5" x14ac:dyDescent="0.25">
      <c r="A47" s="4" t="s">
        <v>529</v>
      </c>
      <c r="B47" s="1" t="s">
        <v>173</v>
      </c>
      <c r="E47" s="1" t="s">
        <v>297</v>
      </c>
    </row>
    <row r="48" spans="1:5" x14ac:dyDescent="0.25">
      <c r="A48" s="4" t="s">
        <v>565</v>
      </c>
      <c r="B48" s="1" t="s">
        <v>33</v>
      </c>
      <c r="E48" s="1" t="s">
        <v>297</v>
      </c>
    </row>
    <row r="49" spans="1:5" x14ac:dyDescent="0.25">
      <c r="A49" s="4" t="s">
        <v>315</v>
      </c>
      <c r="B49" s="1" t="s">
        <v>316</v>
      </c>
      <c r="E49" s="1" t="s">
        <v>314</v>
      </c>
    </row>
    <row r="50" spans="1:5" x14ac:dyDescent="0.25">
      <c r="A50" s="4" t="s">
        <v>354</v>
      </c>
      <c r="B50" s="1" t="s">
        <v>355</v>
      </c>
      <c r="E50" s="1" t="s">
        <v>314</v>
      </c>
    </row>
    <row r="51" spans="1:5" x14ac:dyDescent="0.25">
      <c r="A51" s="4" t="s">
        <v>386</v>
      </c>
      <c r="B51" s="1" t="s">
        <v>27</v>
      </c>
      <c r="E51" s="1" t="s">
        <v>314</v>
      </c>
    </row>
    <row r="52" spans="1:5" x14ac:dyDescent="0.25">
      <c r="A52" s="4" t="s">
        <v>404</v>
      </c>
      <c r="B52" s="1" t="s">
        <v>225</v>
      </c>
      <c r="E52" s="1" t="s">
        <v>314</v>
      </c>
    </row>
    <row r="53" spans="1:5" x14ac:dyDescent="0.25">
      <c r="A53" s="4" t="s">
        <v>408</v>
      </c>
      <c r="B53" s="1" t="s">
        <v>27</v>
      </c>
      <c r="E53" s="1" t="s">
        <v>314</v>
      </c>
    </row>
    <row r="54" spans="1:5" x14ac:dyDescent="0.25">
      <c r="A54" s="4" t="s">
        <v>427</v>
      </c>
      <c r="B54" s="1" t="s">
        <v>27</v>
      </c>
      <c r="E54" s="1" t="s">
        <v>314</v>
      </c>
    </row>
    <row r="55" spans="1:5" x14ac:dyDescent="0.25">
      <c r="A55" s="4" t="s">
        <v>502</v>
      </c>
      <c r="B55" s="1" t="s">
        <v>276</v>
      </c>
      <c r="E55" s="1" t="s">
        <v>314</v>
      </c>
    </row>
    <row r="56" spans="1:5" x14ac:dyDescent="0.25">
      <c r="A56" s="4" t="s">
        <v>544</v>
      </c>
      <c r="B56" s="1" t="s">
        <v>292</v>
      </c>
      <c r="E56" s="1" t="s">
        <v>314</v>
      </c>
    </row>
    <row r="57" spans="1:5" x14ac:dyDescent="0.25">
      <c r="A57" s="4" t="s">
        <v>308</v>
      </c>
      <c r="B57" s="1" t="s">
        <v>27</v>
      </c>
      <c r="E57" s="1" t="s">
        <v>307</v>
      </c>
    </row>
    <row r="58" spans="1:5" x14ac:dyDescent="0.25">
      <c r="A58" s="4" t="s">
        <v>369</v>
      </c>
      <c r="B58" s="1" t="s">
        <v>370</v>
      </c>
      <c r="E58" s="1" t="s">
        <v>307</v>
      </c>
    </row>
    <row r="59" spans="1:5" x14ac:dyDescent="0.25">
      <c r="A59" s="4" t="s">
        <v>372</v>
      </c>
      <c r="B59" s="1" t="s">
        <v>373</v>
      </c>
      <c r="E59" s="1" t="s">
        <v>307</v>
      </c>
    </row>
    <row r="60" spans="1:5" x14ac:dyDescent="0.25">
      <c r="A60" s="4" t="s">
        <v>375</v>
      </c>
      <c r="B60" s="1" t="s">
        <v>119</v>
      </c>
      <c r="E60" s="1" t="s">
        <v>307</v>
      </c>
    </row>
    <row r="61" spans="1:5" x14ac:dyDescent="0.25">
      <c r="A61" s="4" t="s">
        <v>377</v>
      </c>
      <c r="B61" s="1" t="s">
        <v>378</v>
      </c>
      <c r="E61" s="1" t="s">
        <v>307</v>
      </c>
    </row>
    <row r="62" spans="1:5" x14ac:dyDescent="0.25">
      <c r="A62" s="4" t="s">
        <v>444</v>
      </c>
      <c r="B62" s="1" t="s">
        <v>445</v>
      </c>
      <c r="E62" s="1" t="s">
        <v>307</v>
      </c>
    </row>
    <row r="63" spans="1:5" x14ac:dyDescent="0.25">
      <c r="A63" s="4" t="s">
        <v>450</v>
      </c>
      <c r="B63" s="1" t="s">
        <v>451</v>
      </c>
      <c r="E63" s="1" t="s">
        <v>307</v>
      </c>
    </row>
    <row r="64" spans="1:5" x14ac:dyDescent="0.25">
      <c r="A64" s="4" t="s">
        <v>469</v>
      </c>
      <c r="B64" s="1" t="s">
        <v>441</v>
      </c>
      <c r="E64" s="1" t="s">
        <v>307</v>
      </c>
    </row>
    <row r="65" spans="1:5" x14ac:dyDescent="0.25">
      <c r="A65" s="4" t="s">
        <v>470</v>
      </c>
      <c r="B65" s="1" t="s">
        <v>67</v>
      </c>
      <c r="E65" s="1" t="s">
        <v>307</v>
      </c>
    </row>
    <row r="66" spans="1:5" x14ac:dyDescent="0.25">
      <c r="A66" s="4" t="s">
        <v>473</v>
      </c>
      <c r="B66" s="1" t="s">
        <v>225</v>
      </c>
      <c r="E66" s="1" t="s">
        <v>307</v>
      </c>
    </row>
    <row r="67" spans="1:5" x14ac:dyDescent="0.25">
      <c r="A67" s="4" t="s">
        <v>514</v>
      </c>
      <c r="B67" s="1" t="s">
        <v>515</v>
      </c>
      <c r="E67" s="1" t="s">
        <v>307</v>
      </c>
    </row>
    <row r="68" spans="1:5" x14ac:dyDescent="0.25">
      <c r="A68" s="5" t="s">
        <v>304</v>
      </c>
      <c r="B68" s="1" t="s">
        <v>305</v>
      </c>
      <c r="E68" s="1" t="s">
        <v>303</v>
      </c>
    </row>
    <row r="69" spans="1:5" x14ac:dyDescent="0.25">
      <c r="A69" s="5" t="s">
        <v>346</v>
      </c>
      <c r="B69" s="1" t="s">
        <v>67</v>
      </c>
      <c r="E69" s="1" t="s">
        <v>303</v>
      </c>
    </row>
    <row r="70" spans="1:5" x14ac:dyDescent="0.25">
      <c r="A70" s="5" t="s">
        <v>368</v>
      </c>
      <c r="B70" s="1" t="s">
        <v>107</v>
      </c>
      <c r="E70" s="1" t="s">
        <v>303</v>
      </c>
    </row>
    <row r="71" spans="1:5" x14ac:dyDescent="0.25">
      <c r="A71" s="5" t="s">
        <v>379</v>
      </c>
      <c r="B71" s="1" t="s">
        <v>107</v>
      </c>
      <c r="E71" s="1" t="s">
        <v>303</v>
      </c>
    </row>
    <row r="72" spans="1:5" x14ac:dyDescent="0.25">
      <c r="A72" s="5" t="s">
        <v>389</v>
      </c>
      <c r="B72" s="1" t="s">
        <v>195</v>
      </c>
      <c r="E72" s="1" t="s">
        <v>303</v>
      </c>
    </row>
    <row r="73" spans="1:5" x14ac:dyDescent="0.25">
      <c r="A73" s="5" t="s">
        <v>406</v>
      </c>
      <c r="B73" s="1" t="s">
        <v>407</v>
      </c>
      <c r="E73" s="1" t="s">
        <v>303</v>
      </c>
    </row>
    <row r="74" spans="1:5" x14ac:dyDescent="0.25">
      <c r="A74" s="5" t="s">
        <v>421</v>
      </c>
      <c r="B74" s="1" t="s">
        <v>422</v>
      </c>
      <c r="E74" s="1" t="s">
        <v>303</v>
      </c>
    </row>
    <row r="75" spans="1:5" x14ac:dyDescent="0.25">
      <c r="A75" s="5" t="s">
        <v>431</v>
      </c>
      <c r="B75" s="1" t="s">
        <v>432</v>
      </c>
      <c r="E75" s="1" t="s">
        <v>303</v>
      </c>
    </row>
    <row r="76" spans="1:5" x14ac:dyDescent="0.25">
      <c r="A76" s="5" t="s">
        <v>463</v>
      </c>
      <c r="B76" s="1" t="s">
        <v>15</v>
      </c>
      <c r="E76" s="1" t="s">
        <v>303</v>
      </c>
    </row>
    <row r="77" spans="1:5" x14ac:dyDescent="0.25">
      <c r="A77" s="5" t="s">
        <v>483</v>
      </c>
      <c r="B77" s="1" t="s">
        <v>484</v>
      </c>
      <c r="E77" s="1" t="s">
        <v>303</v>
      </c>
    </row>
    <row r="78" spans="1:5" x14ac:dyDescent="0.25">
      <c r="A78" s="5" t="s">
        <v>492</v>
      </c>
      <c r="B78" s="1" t="s">
        <v>324</v>
      </c>
      <c r="E78" s="1" t="s">
        <v>303</v>
      </c>
    </row>
    <row r="79" spans="1:5" x14ac:dyDescent="0.25">
      <c r="A79" s="5" t="s">
        <v>520</v>
      </c>
      <c r="B79" s="1" t="s">
        <v>521</v>
      </c>
      <c r="E79" s="1" t="s">
        <v>303</v>
      </c>
    </row>
    <row r="80" spans="1:5" x14ac:dyDescent="0.25">
      <c r="A80" s="5" t="s">
        <v>562</v>
      </c>
      <c r="B80" s="1" t="s">
        <v>563</v>
      </c>
      <c r="E80" s="1" t="s">
        <v>303</v>
      </c>
    </row>
    <row r="81" spans="1:5" x14ac:dyDescent="0.25">
      <c r="A81" s="5" t="s">
        <v>292</v>
      </c>
      <c r="B81" s="1" t="s">
        <v>67</v>
      </c>
      <c r="E81" s="1" t="s">
        <v>291</v>
      </c>
    </row>
    <row r="82" spans="1:5" x14ac:dyDescent="0.25">
      <c r="A82" s="5" t="s">
        <v>320</v>
      </c>
      <c r="B82" s="1" t="s">
        <v>321</v>
      </c>
      <c r="E82" s="1" t="s">
        <v>291</v>
      </c>
    </row>
    <row r="83" spans="1:5" x14ac:dyDescent="0.25">
      <c r="A83" s="5" t="s">
        <v>326</v>
      </c>
      <c r="B83" s="1" t="s">
        <v>122</v>
      </c>
      <c r="E83" s="1" t="s">
        <v>291</v>
      </c>
    </row>
    <row r="84" spans="1:5" x14ac:dyDescent="0.25">
      <c r="A84" s="5" t="s">
        <v>335</v>
      </c>
      <c r="B84" s="1" t="s">
        <v>195</v>
      </c>
      <c r="E84" s="1" t="s">
        <v>291</v>
      </c>
    </row>
    <row r="85" spans="1:5" x14ac:dyDescent="0.25">
      <c r="A85" s="5" t="s">
        <v>343</v>
      </c>
      <c r="B85" s="1" t="s">
        <v>344</v>
      </c>
      <c r="E85" s="1" t="s">
        <v>291</v>
      </c>
    </row>
    <row r="86" spans="1:5" x14ac:dyDescent="0.25">
      <c r="A86" s="5" t="s">
        <v>359</v>
      </c>
      <c r="B86" s="1" t="s">
        <v>43</v>
      </c>
      <c r="E86" s="1" t="s">
        <v>291</v>
      </c>
    </row>
    <row r="87" spans="1:5" x14ac:dyDescent="0.25">
      <c r="A87" s="5" t="s">
        <v>439</v>
      </c>
      <c r="B87" s="1" t="s">
        <v>114</v>
      </c>
      <c r="E87" s="1" t="s">
        <v>291</v>
      </c>
    </row>
    <row r="88" spans="1:5" x14ac:dyDescent="0.25">
      <c r="A88" s="5" t="s">
        <v>446</v>
      </c>
      <c r="B88" s="1" t="s">
        <v>447</v>
      </c>
      <c r="E88" s="1" t="s">
        <v>291</v>
      </c>
    </row>
    <row r="89" spans="1:5" x14ac:dyDescent="0.25">
      <c r="A89" s="5" t="s">
        <v>448</v>
      </c>
      <c r="B89" s="1" t="s">
        <v>449</v>
      </c>
      <c r="E89" s="1" t="s">
        <v>291</v>
      </c>
    </row>
    <row r="90" spans="1:5" x14ac:dyDescent="0.25">
      <c r="A90" s="5" t="s">
        <v>494</v>
      </c>
      <c r="B90" s="1" t="s">
        <v>495</v>
      </c>
      <c r="E90" s="1" t="s">
        <v>291</v>
      </c>
    </row>
    <row r="91" spans="1:5" x14ac:dyDescent="0.25">
      <c r="A91" s="5" t="s">
        <v>497</v>
      </c>
      <c r="B91" s="1" t="s">
        <v>498</v>
      </c>
      <c r="E91" s="1" t="s">
        <v>291</v>
      </c>
    </row>
    <row r="92" spans="1:5" x14ac:dyDescent="0.25">
      <c r="A92" s="5" t="s">
        <v>504</v>
      </c>
      <c r="B92" s="1" t="s">
        <v>25</v>
      </c>
      <c r="E92" s="1" t="s">
        <v>291</v>
      </c>
    </row>
    <row r="93" spans="1:5" x14ac:dyDescent="0.25">
      <c r="A93" s="5" t="s">
        <v>538</v>
      </c>
      <c r="B93" s="1" t="s">
        <v>273</v>
      </c>
      <c r="E93" s="1" t="s">
        <v>291</v>
      </c>
    </row>
    <row r="94" spans="1:5" x14ac:dyDescent="0.25">
      <c r="A94" s="5" t="s">
        <v>553</v>
      </c>
      <c r="B94" s="1" t="s">
        <v>86</v>
      </c>
      <c r="E94" s="1" t="s">
        <v>291</v>
      </c>
    </row>
    <row r="95" spans="1:5" x14ac:dyDescent="0.25">
      <c r="A95" s="5" t="s">
        <v>559</v>
      </c>
      <c r="B95" s="1" t="s">
        <v>560</v>
      </c>
      <c r="E95" s="1" t="s">
        <v>291</v>
      </c>
    </row>
    <row r="96" spans="1:5" x14ac:dyDescent="0.25">
      <c r="A96" s="5" t="s">
        <v>301</v>
      </c>
      <c r="B96" s="1" t="s">
        <v>76</v>
      </c>
    </row>
    <row r="97" spans="1:5" x14ac:dyDescent="0.25">
      <c r="A97" s="5" t="s">
        <v>318</v>
      </c>
      <c r="B97" s="1" t="s">
        <v>173</v>
      </c>
    </row>
    <row r="98" spans="1:5" x14ac:dyDescent="0.25">
      <c r="A98" s="5" t="s">
        <v>366</v>
      </c>
      <c r="B98" s="1" t="s">
        <v>367</v>
      </c>
    </row>
    <row r="99" spans="1:5" x14ac:dyDescent="0.25">
      <c r="A99" s="5" t="s">
        <v>391</v>
      </c>
      <c r="B99" s="1" t="s">
        <v>91</v>
      </c>
    </row>
    <row r="100" spans="1:5" x14ac:dyDescent="0.25">
      <c r="A100" s="5" t="s">
        <v>396</v>
      </c>
      <c r="B100" s="1" t="s">
        <v>397</v>
      </c>
      <c r="E100" s="1" t="s">
        <v>300</v>
      </c>
    </row>
    <row r="101" spans="1:5" x14ac:dyDescent="0.25">
      <c r="A101" s="5" t="s">
        <v>425</v>
      </c>
      <c r="B101" s="1" t="s">
        <v>25</v>
      </c>
      <c r="E101" s="1" t="s">
        <v>300</v>
      </c>
    </row>
    <row r="102" spans="1:5" x14ac:dyDescent="0.25">
      <c r="A102" s="5" t="s">
        <v>434</v>
      </c>
      <c r="B102" s="1" t="s">
        <v>135</v>
      </c>
      <c r="E102" s="1" t="s">
        <v>300</v>
      </c>
    </row>
    <row r="103" spans="1:5" x14ac:dyDescent="0.25">
      <c r="A103" s="5" t="s">
        <v>464</v>
      </c>
      <c r="B103" s="1" t="s">
        <v>170</v>
      </c>
      <c r="E103" s="1" t="s">
        <v>300</v>
      </c>
    </row>
    <row r="104" spans="1:5" x14ac:dyDescent="0.25">
      <c r="A104" s="5" t="s">
        <v>467</v>
      </c>
      <c r="B104" s="1" t="s">
        <v>91</v>
      </c>
      <c r="E104" s="1" t="s">
        <v>300</v>
      </c>
    </row>
    <row r="105" spans="1:5" x14ac:dyDescent="0.25">
      <c r="A105" s="5" t="s">
        <v>481</v>
      </c>
      <c r="B105" s="1" t="s">
        <v>33</v>
      </c>
      <c r="E105" s="1" t="s">
        <v>300</v>
      </c>
    </row>
    <row r="106" spans="1:5" x14ac:dyDescent="0.25">
      <c r="A106" s="5" t="s">
        <v>485</v>
      </c>
      <c r="B106" s="1" t="s">
        <v>197</v>
      </c>
      <c r="E106" s="1" t="s">
        <v>300</v>
      </c>
    </row>
    <row r="107" spans="1:5" x14ac:dyDescent="0.25">
      <c r="A107" s="5" t="s">
        <v>490</v>
      </c>
      <c r="B107" s="1" t="s">
        <v>352</v>
      </c>
      <c r="E107" s="1" t="s">
        <v>300</v>
      </c>
    </row>
    <row r="108" spans="1:5" x14ac:dyDescent="0.25">
      <c r="A108" s="5" t="s">
        <v>525</v>
      </c>
      <c r="B108" s="1" t="s">
        <v>510</v>
      </c>
      <c r="E108" s="1" t="s">
        <v>300</v>
      </c>
    </row>
    <row r="109" spans="1:5" x14ac:dyDescent="0.25">
      <c r="A109" s="5" t="s">
        <v>531</v>
      </c>
      <c r="B109" s="1" t="s">
        <v>200</v>
      </c>
      <c r="E109" s="1" t="s">
        <v>300</v>
      </c>
    </row>
    <row r="110" spans="1:5" x14ac:dyDescent="0.25">
      <c r="A110" s="5" t="s">
        <v>542</v>
      </c>
      <c r="B110" s="1" t="s">
        <v>91</v>
      </c>
      <c r="E110" s="1" t="s">
        <v>300</v>
      </c>
    </row>
    <row r="111" spans="1:5" x14ac:dyDescent="0.25">
      <c r="A111" s="5" t="s">
        <v>552</v>
      </c>
      <c r="B111" s="1" t="s">
        <v>73</v>
      </c>
      <c r="E111" s="1" t="s">
        <v>300</v>
      </c>
    </row>
    <row r="112" spans="1:5" x14ac:dyDescent="0.25">
      <c r="A112" s="5" t="s">
        <v>311</v>
      </c>
      <c r="B112" s="1" t="s">
        <v>312</v>
      </c>
      <c r="E112" s="1" t="s">
        <v>310</v>
      </c>
    </row>
    <row r="113" spans="1:5" x14ac:dyDescent="0.25">
      <c r="A113" s="5" t="s">
        <v>328</v>
      </c>
      <c r="B113" s="1" t="s">
        <v>107</v>
      </c>
      <c r="E113" s="1" t="s">
        <v>310</v>
      </c>
    </row>
    <row r="114" spans="1:5" x14ac:dyDescent="0.25">
      <c r="A114" s="5" t="s">
        <v>333</v>
      </c>
      <c r="B114" s="1" t="s">
        <v>334</v>
      </c>
      <c r="E114" s="1" t="s">
        <v>310</v>
      </c>
    </row>
    <row r="115" spans="1:5" x14ac:dyDescent="0.25">
      <c r="A115" s="5" t="s">
        <v>342</v>
      </c>
      <c r="B115" s="1" t="s">
        <v>73</v>
      </c>
      <c r="E115" s="1" t="s">
        <v>310</v>
      </c>
    </row>
    <row r="116" spans="1:5" x14ac:dyDescent="0.25">
      <c r="A116" s="5" t="s">
        <v>348</v>
      </c>
      <c r="B116" s="1" t="s">
        <v>349</v>
      </c>
      <c r="E116" s="1" t="s">
        <v>310</v>
      </c>
    </row>
    <row r="117" spans="1:5" x14ac:dyDescent="0.25">
      <c r="A117" s="5" t="s">
        <v>398</v>
      </c>
      <c r="B117" s="1" t="s">
        <v>399</v>
      </c>
      <c r="E117" s="1" t="s">
        <v>310</v>
      </c>
    </row>
    <row r="118" spans="1:5" x14ac:dyDescent="0.25">
      <c r="A118" s="5" t="s">
        <v>414</v>
      </c>
      <c r="B118" s="1" t="s">
        <v>225</v>
      </c>
      <c r="E118" s="1" t="s">
        <v>310</v>
      </c>
    </row>
    <row r="119" spans="1:5" x14ac:dyDescent="0.25">
      <c r="A119" s="5" t="s">
        <v>417</v>
      </c>
      <c r="B119" s="1" t="s">
        <v>43</v>
      </c>
      <c r="E119" s="1" t="s">
        <v>310</v>
      </c>
    </row>
    <row r="120" spans="1:5" x14ac:dyDescent="0.25">
      <c r="A120" s="5" t="s">
        <v>419</v>
      </c>
      <c r="B120" s="1" t="s">
        <v>420</v>
      </c>
      <c r="E120" s="1" t="s">
        <v>310</v>
      </c>
    </row>
    <row r="121" spans="1:5" x14ac:dyDescent="0.25">
      <c r="A121" s="5" t="s">
        <v>423</v>
      </c>
      <c r="B121" s="1" t="s">
        <v>27</v>
      </c>
      <c r="E121" s="1" t="s">
        <v>310</v>
      </c>
    </row>
    <row r="122" spans="1:5" x14ac:dyDescent="0.25">
      <c r="A122" s="5" t="s">
        <v>191</v>
      </c>
      <c r="B122" s="1" t="s">
        <v>443</v>
      </c>
      <c r="E122" s="1" t="s">
        <v>310</v>
      </c>
    </row>
    <row r="123" spans="1:5" x14ac:dyDescent="0.25">
      <c r="A123" s="5" t="s">
        <v>454</v>
      </c>
      <c r="B123" s="1" t="s">
        <v>27</v>
      </c>
      <c r="E123" s="1" t="s">
        <v>310</v>
      </c>
    </row>
    <row r="124" spans="1:5" x14ac:dyDescent="0.25">
      <c r="A124" s="5" t="s">
        <v>476</v>
      </c>
      <c r="B124" s="1" t="s">
        <v>477</v>
      </c>
      <c r="E124" s="1" t="s">
        <v>310</v>
      </c>
    </row>
    <row r="125" spans="1:5" x14ac:dyDescent="0.25">
      <c r="A125" s="5" t="s">
        <v>478</v>
      </c>
      <c r="B125" s="1" t="s">
        <v>479</v>
      </c>
      <c r="E125" s="1" t="s">
        <v>310</v>
      </c>
    </row>
    <row r="126" spans="1:5" x14ac:dyDescent="0.25">
      <c r="A126" s="5" t="s">
        <v>500</v>
      </c>
      <c r="B126" s="1" t="s">
        <v>27</v>
      </c>
      <c r="E126" s="1" t="s">
        <v>310</v>
      </c>
    </row>
    <row r="127" spans="1:5" x14ac:dyDescent="0.25">
      <c r="A127" s="5" t="s">
        <v>506</v>
      </c>
      <c r="B127" s="1" t="s">
        <v>507</v>
      </c>
      <c r="E127" s="1" t="s">
        <v>310</v>
      </c>
    </row>
    <row r="128" spans="1:5" x14ac:dyDescent="0.25">
      <c r="A128" s="5" t="s">
        <v>509</v>
      </c>
      <c r="B128" s="1" t="s">
        <v>510</v>
      </c>
      <c r="E128" s="1" t="s">
        <v>310</v>
      </c>
    </row>
    <row r="129" spans="1:5" x14ac:dyDescent="0.25">
      <c r="A129" s="5" t="s">
        <v>527</v>
      </c>
      <c r="B129" s="1" t="s">
        <v>95</v>
      </c>
      <c r="E129" s="1" t="s">
        <v>310</v>
      </c>
    </row>
    <row r="130" spans="1:5" x14ac:dyDescent="0.25">
      <c r="A130" s="5" t="s">
        <v>541</v>
      </c>
      <c r="B130" s="1" t="s">
        <v>116</v>
      </c>
      <c r="E130" s="1" t="s">
        <v>310</v>
      </c>
    </row>
    <row r="131" spans="1:5" x14ac:dyDescent="0.25">
      <c r="A131" s="5" t="s">
        <v>555</v>
      </c>
      <c r="B131" s="1" t="s">
        <v>334</v>
      </c>
      <c r="E131" s="1" t="s">
        <v>310</v>
      </c>
    </row>
    <row r="132" spans="1:5" x14ac:dyDescent="0.25">
      <c r="A132" s="5" t="s">
        <v>567</v>
      </c>
      <c r="B132" s="1" t="s">
        <v>119</v>
      </c>
      <c r="E132" s="1" t="s">
        <v>310</v>
      </c>
    </row>
    <row r="133" spans="1:5" x14ac:dyDescent="0.25">
      <c r="A133" s="5" t="s">
        <v>1392</v>
      </c>
      <c r="B133" s="1" t="s">
        <v>55</v>
      </c>
      <c r="E133" s="1" t="s">
        <v>1391</v>
      </c>
    </row>
    <row r="134" spans="1:5" x14ac:dyDescent="0.25">
      <c r="A134" s="5" t="s">
        <v>1422</v>
      </c>
      <c r="B134" s="1" t="s">
        <v>412</v>
      </c>
      <c r="E134" s="1" t="s">
        <v>1391</v>
      </c>
    </row>
    <row r="135" spans="1:5" x14ac:dyDescent="0.25">
      <c r="A135" s="5" t="s">
        <v>1425</v>
      </c>
      <c r="B135" s="1" t="s">
        <v>292</v>
      </c>
      <c r="E135" s="1" t="s">
        <v>1391</v>
      </c>
    </row>
    <row r="136" spans="1:5" x14ac:dyDescent="0.25">
      <c r="A136" s="5" t="s">
        <v>1429</v>
      </c>
      <c r="B136" s="1" t="s">
        <v>67</v>
      </c>
      <c r="E136" s="1" t="s">
        <v>1391</v>
      </c>
    </row>
    <row r="137" spans="1:5" x14ac:dyDescent="0.25">
      <c r="A137" s="5" t="s">
        <v>896</v>
      </c>
      <c r="B137" s="1" t="s">
        <v>1007</v>
      </c>
      <c r="E137" s="1" t="s">
        <v>1391</v>
      </c>
    </row>
    <row r="138" spans="1:5" x14ac:dyDescent="0.25">
      <c r="A138" s="5" t="s">
        <v>1441</v>
      </c>
      <c r="B138" s="1" t="s">
        <v>334</v>
      </c>
      <c r="E138" s="1" t="s">
        <v>1391</v>
      </c>
    </row>
    <row r="139" spans="1:5" x14ac:dyDescent="0.25">
      <c r="A139" s="5" t="s">
        <v>2149</v>
      </c>
      <c r="B139" s="1" t="s">
        <v>2150</v>
      </c>
      <c r="C139" s="1" t="s">
        <v>27</v>
      </c>
      <c r="E139" s="1" t="s">
        <v>1391</v>
      </c>
    </row>
    <row r="140" spans="1:5" x14ac:dyDescent="0.25">
      <c r="A140" s="5" t="s">
        <v>1474</v>
      </c>
      <c r="B140" s="1" t="s">
        <v>15</v>
      </c>
      <c r="E140" s="1" t="s">
        <v>1391</v>
      </c>
    </row>
    <row r="141" spans="1:5" x14ac:dyDescent="0.25">
      <c r="A141" s="5" t="s">
        <v>1479</v>
      </c>
      <c r="B141" s="1" t="s">
        <v>25</v>
      </c>
      <c r="C141" s="1" t="s">
        <v>249</v>
      </c>
      <c r="E141" s="1" t="s">
        <v>1391</v>
      </c>
    </row>
    <row r="142" spans="1:5" x14ac:dyDescent="0.25">
      <c r="A142" s="5" t="s">
        <v>1512</v>
      </c>
      <c r="B142" s="1" t="s">
        <v>228</v>
      </c>
      <c r="E142" s="1" t="s">
        <v>1391</v>
      </c>
    </row>
    <row r="143" spans="1:5" x14ac:dyDescent="0.25">
      <c r="A143" s="5" t="s">
        <v>1542</v>
      </c>
      <c r="B143" s="1" t="s">
        <v>33</v>
      </c>
      <c r="E143" s="1" t="s">
        <v>1391</v>
      </c>
    </row>
    <row r="144" spans="1:5" x14ac:dyDescent="0.25">
      <c r="A144" s="5" t="s">
        <v>1557</v>
      </c>
      <c r="B144" s="1" t="s">
        <v>1558</v>
      </c>
      <c r="E144" s="1" t="s">
        <v>1391</v>
      </c>
    </row>
    <row r="145" spans="1:5" x14ac:dyDescent="0.25">
      <c r="A145" s="5" t="s">
        <v>1573</v>
      </c>
      <c r="B145" s="1" t="s">
        <v>1004</v>
      </c>
      <c r="E145" s="1" t="s">
        <v>1391</v>
      </c>
    </row>
    <row r="146" spans="1:5" x14ac:dyDescent="0.25">
      <c r="A146" s="5" t="s">
        <v>1583</v>
      </c>
      <c r="B146" s="1" t="s">
        <v>507</v>
      </c>
      <c r="E146" s="1" t="s">
        <v>1391</v>
      </c>
    </row>
    <row r="147" spans="1:5" x14ac:dyDescent="0.25">
      <c r="A147" s="5" t="s">
        <v>1380</v>
      </c>
      <c r="B147" s="1" t="s">
        <v>107</v>
      </c>
      <c r="E147" s="1" t="s">
        <v>1379</v>
      </c>
    </row>
    <row r="148" spans="1:5" x14ac:dyDescent="0.25">
      <c r="A148" s="5" t="s">
        <v>1398</v>
      </c>
      <c r="B148" s="1" t="s">
        <v>2151</v>
      </c>
      <c r="C148" s="1" t="s">
        <v>2152</v>
      </c>
      <c r="E148" s="1" t="s">
        <v>1379</v>
      </c>
    </row>
    <row r="149" spans="1:5" x14ac:dyDescent="0.25">
      <c r="A149" s="5" t="s">
        <v>1403</v>
      </c>
      <c r="B149" s="1" t="s">
        <v>195</v>
      </c>
      <c r="E149" s="1" t="s">
        <v>1379</v>
      </c>
    </row>
    <row r="150" spans="1:5" x14ac:dyDescent="0.25">
      <c r="A150" s="5" t="s">
        <v>1408</v>
      </c>
      <c r="B150" s="1" t="s">
        <v>1409</v>
      </c>
      <c r="E150" s="1" t="s">
        <v>1379</v>
      </c>
    </row>
    <row r="151" spans="1:5" x14ac:dyDescent="0.25">
      <c r="A151" s="5" t="s">
        <v>1436</v>
      </c>
      <c r="B151" s="1" t="s">
        <v>37</v>
      </c>
      <c r="E151" s="1" t="s">
        <v>1379</v>
      </c>
    </row>
    <row r="152" spans="1:5" x14ac:dyDescent="0.25">
      <c r="A152" s="5" t="s">
        <v>2153</v>
      </c>
      <c r="B152" s="1" t="s">
        <v>2154</v>
      </c>
      <c r="C152" s="1" t="s">
        <v>195</v>
      </c>
      <c r="E152" s="1" t="s">
        <v>1379</v>
      </c>
    </row>
    <row r="153" spans="1:5" x14ac:dyDescent="0.25">
      <c r="A153" s="5" t="s">
        <v>2149</v>
      </c>
      <c r="B153" s="1" t="s">
        <v>2155</v>
      </c>
      <c r="C153" s="1" t="s">
        <v>507</v>
      </c>
      <c r="E153" s="1" t="s">
        <v>1379</v>
      </c>
    </row>
    <row r="154" spans="1:5" x14ac:dyDescent="0.25">
      <c r="A154" s="5" t="s">
        <v>1452</v>
      </c>
      <c r="B154" s="1" t="s">
        <v>2156</v>
      </c>
      <c r="C154" s="1" t="s">
        <v>2157</v>
      </c>
      <c r="E154" s="1" t="s">
        <v>1379</v>
      </c>
    </row>
    <row r="155" spans="1:5" x14ac:dyDescent="0.25">
      <c r="A155" s="5" t="s">
        <v>1458</v>
      </c>
      <c r="B155" s="1" t="s">
        <v>215</v>
      </c>
      <c r="E155" s="1" t="s">
        <v>1379</v>
      </c>
    </row>
    <row r="156" spans="1:5" x14ac:dyDescent="0.25">
      <c r="A156" s="5" t="s">
        <v>1466</v>
      </c>
      <c r="B156" s="1" t="s">
        <v>1007</v>
      </c>
      <c r="E156" s="1" t="s">
        <v>1379</v>
      </c>
    </row>
    <row r="157" spans="1:5" x14ac:dyDescent="0.25">
      <c r="A157" s="5" t="s">
        <v>1469</v>
      </c>
      <c r="B157" s="1" t="s">
        <v>1470</v>
      </c>
      <c r="E157" s="1" t="s">
        <v>1379</v>
      </c>
    </row>
    <row r="158" spans="1:5" x14ac:dyDescent="0.25">
      <c r="A158" s="5" t="s">
        <v>1471</v>
      </c>
      <c r="B158" s="1" t="s">
        <v>107</v>
      </c>
      <c r="E158" s="1" t="s">
        <v>1379</v>
      </c>
    </row>
    <row r="159" spans="1:5" x14ac:dyDescent="0.25">
      <c r="A159" s="5" t="s">
        <v>1494</v>
      </c>
      <c r="B159" s="1" t="s">
        <v>91</v>
      </c>
      <c r="E159" s="1" t="s">
        <v>1379</v>
      </c>
    </row>
    <row r="160" spans="1:5" x14ac:dyDescent="0.25">
      <c r="A160" s="5" t="s">
        <v>1040</v>
      </c>
      <c r="B160" s="1" t="s">
        <v>73</v>
      </c>
      <c r="E160" s="1" t="s">
        <v>1379</v>
      </c>
    </row>
    <row r="161" spans="1:5" x14ac:dyDescent="0.25">
      <c r="A161" s="5" t="s">
        <v>1504</v>
      </c>
      <c r="B161" s="1" t="s">
        <v>43</v>
      </c>
      <c r="E161" s="1" t="s">
        <v>1379</v>
      </c>
    </row>
    <row r="162" spans="1:5" x14ac:dyDescent="0.25">
      <c r="A162" s="5" t="s">
        <v>1506</v>
      </c>
      <c r="B162" s="1" t="s">
        <v>27</v>
      </c>
      <c r="E162" s="1" t="s">
        <v>1379</v>
      </c>
    </row>
    <row r="163" spans="1:5" x14ac:dyDescent="0.25">
      <c r="A163" s="5" t="s">
        <v>1525</v>
      </c>
      <c r="B163" s="1" t="s">
        <v>107</v>
      </c>
      <c r="E163" s="1" t="s">
        <v>1379</v>
      </c>
    </row>
    <row r="164" spans="1:5" x14ac:dyDescent="0.25">
      <c r="A164" s="5" t="s">
        <v>1527</v>
      </c>
      <c r="B164" s="1" t="s">
        <v>107</v>
      </c>
      <c r="E164" s="1" t="s">
        <v>1379</v>
      </c>
    </row>
    <row r="165" spans="1:5" x14ac:dyDescent="0.25">
      <c r="A165" s="5" t="s">
        <v>1555</v>
      </c>
      <c r="B165" s="1" t="s">
        <v>25</v>
      </c>
      <c r="E165" s="1" t="s">
        <v>1379</v>
      </c>
    </row>
    <row r="166" spans="1:5" x14ac:dyDescent="0.25">
      <c r="A166" s="5" t="s">
        <v>1563</v>
      </c>
      <c r="B166" s="1" t="s">
        <v>515</v>
      </c>
      <c r="E166" s="1" t="s">
        <v>1379</v>
      </c>
    </row>
    <row r="167" spans="1:5" x14ac:dyDescent="0.25">
      <c r="A167" s="5" t="s">
        <v>1575</v>
      </c>
      <c r="B167" s="1" t="s">
        <v>334</v>
      </c>
      <c r="E167" s="1" t="s">
        <v>1379</v>
      </c>
    </row>
    <row r="168" spans="1:5" x14ac:dyDescent="0.25">
      <c r="A168" s="5" t="s">
        <v>1590</v>
      </c>
      <c r="B168" s="1" t="s">
        <v>1591</v>
      </c>
      <c r="E168" s="1" t="s">
        <v>1379</v>
      </c>
    </row>
    <row r="169" spans="1:5" x14ac:dyDescent="0.25">
      <c r="A169" s="5" t="s">
        <v>1592</v>
      </c>
      <c r="B169" s="1" t="s">
        <v>27</v>
      </c>
      <c r="E169" s="1" t="s">
        <v>1379</v>
      </c>
    </row>
    <row r="170" spans="1:5" x14ac:dyDescent="0.25">
      <c r="A170" s="5" t="s">
        <v>1599</v>
      </c>
      <c r="B170" s="1" t="s">
        <v>1600</v>
      </c>
      <c r="E170" s="1" t="s">
        <v>1379</v>
      </c>
    </row>
    <row r="171" spans="1:5" x14ac:dyDescent="0.25">
      <c r="A171" s="5" t="s">
        <v>1377</v>
      </c>
      <c r="B171" s="1" t="s">
        <v>432</v>
      </c>
      <c r="E171" s="1" t="s">
        <v>1089</v>
      </c>
    </row>
    <row r="172" spans="1:5" x14ac:dyDescent="0.25">
      <c r="A172" s="5" t="s">
        <v>823</v>
      </c>
      <c r="B172" s="1" t="s">
        <v>412</v>
      </c>
      <c r="E172" s="1" t="s">
        <v>1089</v>
      </c>
    </row>
    <row r="173" spans="1:5" x14ac:dyDescent="0.25">
      <c r="A173" s="5" t="s">
        <v>1400</v>
      </c>
      <c r="B173" s="1" t="s">
        <v>73</v>
      </c>
      <c r="E173" s="1" t="s">
        <v>1089</v>
      </c>
    </row>
    <row r="174" spans="1:5" x14ac:dyDescent="0.25">
      <c r="A174" s="5" t="s">
        <v>1406</v>
      </c>
      <c r="B174" s="1" t="s">
        <v>58</v>
      </c>
      <c r="E174" s="1" t="s">
        <v>1089</v>
      </c>
    </row>
    <row r="175" spans="1:5" x14ac:dyDescent="0.25">
      <c r="A175" s="5" t="s">
        <v>1424</v>
      </c>
      <c r="B175" s="1" t="s">
        <v>37</v>
      </c>
      <c r="E175" s="1" t="s">
        <v>1089</v>
      </c>
    </row>
    <row r="176" spans="1:5" x14ac:dyDescent="0.25">
      <c r="A176" s="5" t="s">
        <v>1427</v>
      </c>
      <c r="B176" s="1" t="s">
        <v>1428</v>
      </c>
      <c r="E176" s="1" t="s">
        <v>1089</v>
      </c>
    </row>
    <row r="177" spans="1:5" x14ac:dyDescent="0.25">
      <c r="A177" s="5" t="s">
        <v>1430</v>
      </c>
      <c r="B177" s="1" t="s">
        <v>225</v>
      </c>
      <c r="E177" s="1" t="s">
        <v>1089</v>
      </c>
    </row>
    <row r="178" spans="1:5" x14ac:dyDescent="0.25">
      <c r="A178" s="5" t="s">
        <v>1439</v>
      </c>
      <c r="B178" s="1" t="s">
        <v>25</v>
      </c>
      <c r="E178" s="1" t="s">
        <v>1089</v>
      </c>
    </row>
    <row r="179" spans="1:5" x14ac:dyDescent="0.25">
      <c r="A179" s="5" t="s">
        <v>1460</v>
      </c>
      <c r="B179" s="1" t="s">
        <v>116</v>
      </c>
      <c r="E179" s="1" t="s">
        <v>1089</v>
      </c>
    </row>
    <row r="180" spans="1:5" x14ac:dyDescent="0.25">
      <c r="A180" s="5" t="s">
        <v>1461</v>
      </c>
      <c r="B180" s="1" t="s">
        <v>1434</v>
      </c>
      <c r="E180" s="1" t="s">
        <v>1089</v>
      </c>
    </row>
    <row r="181" spans="1:5" x14ac:dyDescent="0.25">
      <c r="A181" s="5" t="s">
        <v>1463</v>
      </c>
      <c r="B181" s="1" t="s">
        <v>261</v>
      </c>
      <c r="E181" s="1" t="s">
        <v>1089</v>
      </c>
    </row>
    <row r="182" spans="1:5" x14ac:dyDescent="0.25">
      <c r="A182" s="5" t="s">
        <v>189</v>
      </c>
      <c r="B182" s="1" t="s">
        <v>276</v>
      </c>
      <c r="E182" s="1" t="s">
        <v>1089</v>
      </c>
    </row>
    <row r="183" spans="1:5" x14ac:dyDescent="0.25">
      <c r="A183" s="5" t="s">
        <v>1480</v>
      </c>
      <c r="B183" s="1" t="s">
        <v>27</v>
      </c>
      <c r="E183" s="1" t="s">
        <v>1089</v>
      </c>
    </row>
    <row r="184" spans="1:5" x14ac:dyDescent="0.25">
      <c r="A184" s="5" t="s">
        <v>1481</v>
      </c>
      <c r="B184" s="1" t="s">
        <v>142</v>
      </c>
      <c r="E184" s="1" t="s">
        <v>1089</v>
      </c>
    </row>
    <row r="185" spans="1:5" x14ac:dyDescent="0.25">
      <c r="A185" s="5" t="s">
        <v>1484</v>
      </c>
      <c r="B185" s="1" t="s">
        <v>1485</v>
      </c>
      <c r="E185" s="1" t="s">
        <v>1089</v>
      </c>
    </row>
    <row r="186" spans="1:5" x14ac:dyDescent="0.25">
      <c r="A186" s="5" t="s">
        <v>1492</v>
      </c>
      <c r="B186" s="1" t="s">
        <v>1493</v>
      </c>
      <c r="E186" s="1" t="s">
        <v>1089</v>
      </c>
    </row>
    <row r="187" spans="1:5" x14ac:dyDescent="0.25">
      <c r="A187" s="5" t="s">
        <v>1496</v>
      </c>
      <c r="B187" s="1" t="s">
        <v>91</v>
      </c>
      <c r="E187" s="1" t="s">
        <v>1089</v>
      </c>
    </row>
    <row r="188" spans="1:5" x14ac:dyDescent="0.25">
      <c r="A188" s="5" t="s">
        <v>1497</v>
      </c>
      <c r="B188" s="1" t="s">
        <v>33</v>
      </c>
      <c r="E188" s="1" t="s">
        <v>1089</v>
      </c>
    </row>
    <row r="189" spans="1:5" x14ac:dyDescent="0.25">
      <c r="A189" s="5" t="s">
        <v>1503</v>
      </c>
      <c r="B189" s="1" t="s">
        <v>515</v>
      </c>
      <c r="E189" s="1" t="s">
        <v>1089</v>
      </c>
    </row>
    <row r="190" spans="1:5" x14ac:dyDescent="0.25">
      <c r="A190" s="5" t="s">
        <v>1508</v>
      </c>
      <c r="B190" s="1" t="s">
        <v>73</v>
      </c>
      <c r="E190" s="1" t="s">
        <v>1089</v>
      </c>
    </row>
    <row r="191" spans="1:5" x14ac:dyDescent="0.25">
      <c r="A191" s="5" t="s">
        <v>504</v>
      </c>
      <c r="B191" s="1" t="s">
        <v>412</v>
      </c>
      <c r="C191" s="1" t="s">
        <v>2158</v>
      </c>
      <c r="E191" s="1" t="s">
        <v>1089</v>
      </c>
    </row>
    <row r="192" spans="1:5" x14ac:dyDescent="0.25">
      <c r="A192" s="5" t="s">
        <v>1518</v>
      </c>
      <c r="B192" s="1" t="s">
        <v>200</v>
      </c>
      <c r="E192" s="1" t="s">
        <v>1089</v>
      </c>
    </row>
    <row r="193" spans="1:5" x14ac:dyDescent="0.25">
      <c r="A193" s="5" t="s">
        <v>1529</v>
      </c>
      <c r="B193" s="1" t="s">
        <v>73</v>
      </c>
      <c r="E193" s="1" t="s">
        <v>1089</v>
      </c>
    </row>
    <row r="194" spans="1:5" x14ac:dyDescent="0.25">
      <c r="A194" s="5" t="s">
        <v>1535</v>
      </c>
      <c r="B194" s="1" t="s">
        <v>334</v>
      </c>
      <c r="E194" s="1" t="s">
        <v>1089</v>
      </c>
    </row>
    <row r="195" spans="1:5" x14ac:dyDescent="0.25">
      <c r="A195" s="5" t="s">
        <v>1540</v>
      </c>
      <c r="B195" s="1" t="s">
        <v>107</v>
      </c>
      <c r="E195" s="1" t="s">
        <v>1089</v>
      </c>
    </row>
    <row r="196" spans="1:5" x14ac:dyDescent="0.25">
      <c r="A196" s="5" t="s">
        <v>1090</v>
      </c>
      <c r="B196" s="1" t="s">
        <v>107</v>
      </c>
      <c r="E196" s="1" t="s">
        <v>1089</v>
      </c>
    </row>
    <row r="197" spans="1:5" x14ac:dyDescent="0.25">
      <c r="A197" s="5" t="s">
        <v>1546</v>
      </c>
      <c r="B197" s="1" t="s">
        <v>1547</v>
      </c>
      <c r="E197" s="1" t="s">
        <v>1089</v>
      </c>
    </row>
    <row r="198" spans="1:5" x14ac:dyDescent="0.25">
      <c r="A198" s="5" t="s">
        <v>1560</v>
      </c>
      <c r="B198" s="1" t="s">
        <v>37</v>
      </c>
      <c r="E198" s="1" t="s">
        <v>1089</v>
      </c>
    </row>
    <row r="199" spans="1:5" x14ac:dyDescent="0.25">
      <c r="A199" s="5" t="s">
        <v>1581</v>
      </c>
      <c r="B199" s="1" t="s">
        <v>1553</v>
      </c>
      <c r="E199" s="1" t="s">
        <v>1089</v>
      </c>
    </row>
    <row r="200" spans="1:5" x14ac:dyDescent="0.25">
      <c r="A200" s="5" t="s">
        <v>1588</v>
      </c>
      <c r="B200" s="1" t="s">
        <v>25</v>
      </c>
      <c r="E200" s="1" t="s">
        <v>1089</v>
      </c>
    </row>
    <row r="201" spans="1:5" x14ac:dyDescent="0.25">
      <c r="A201" s="5" t="s">
        <v>1383</v>
      </c>
      <c r="B201" s="1" t="s">
        <v>412</v>
      </c>
      <c r="E201" s="1" t="s">
        <v>1382</v>
      </c>
    </row>
    <row r="202" spans="1:5" x14ac:dyDescent="0.25">
      <c r="A202" s="5" t="s">
        <v>1405</v>
      </c>
      <c r="B202" s="1" t="s">
        <v>86</v>
      </c>
      <c r="C202" s="1" t="s">
        <v>1694</v>
      </c>
      <c r="E202" s="1" t="s">
        <v>1382</v>
      </c>
    </row>
    <row r="203" spans="1:5" x14ac:dyDescent="0.25">
      <c r="A203" s="5" t="s">
        <v>1411</v>
      </c>
      <c r="B203" s="1" t="s">
        <v>362</v>
      </c>
      <c r="E203" s="1" t="s">
        <v>1382</v>
      </c>
    </row>
    <row r="204" spans="1:5" x14ac:dyDescent="0.25">
      <c r="A204" s="5" t="s">
        <v>1416</v>
      </c>
      <c r="B204" s="1" t="s">
        <v>25</v>
      </c>
      <c r="E204" s="1" t="s">
        <v>1382</v>
      </c>
    </row>
    <row r="205" spans="1:5" x14ac:dyDescent="0.25">
      <c r="A205" s="5" t="s">
        <v>1433</v>
      </c>
      <c r="B205" s="1" t="s">
        <v>1434</v>
      </c>
      <c r="E205" s="1" t="s">
        <v>1382</v>
      </c>
    </row>
    <row r="206" spans="1:5" x14ac:dyDescent="0.25">
      <c r="A206" s="5" t="s">
        <v>1437</v>
      </c>
      <c r="B206" s="1" t="s">
        <v>119</v>
      </c>
      <c r="E206" s="1" t="s">
        <v>1382</v>
      </c>
    </row>
    <row r="207" spans="1:5" x14ac:dyDescent="0.25">
      <c r="A207" s="5" t="s">
        <v>2159</v>
      </c>
      <c r="B207" s="1" t="s">
        <v>2160</v>
      </c>
      <c r="C207" s="1" t="s">
        <v>104</v>
      </c>
      <c r="E207" s="1" t="s">
        <v>1382</v>
      </c>
    </row>
    <row r="208" spans="1:5" x14ac:dyDescent="0.25">
      <c r="A208" s="5" t="s">
        <v>2149</v>
      </c>
      <c r="B208" s="1" t="s">
        <v>1035</v>
      </c>
      <c r="C208" s="1" t="s">
        <v>119</v>
      </c>
      <c r="E208" s="1" t="s">
        <v>1382</v>
      </c>
    </row>
    <row r="209" spans="1:5" x14ac:dyDescent="0.25">
      <c r="A209" s="5" t="s">
        <v>1456</v>
      </c>
      <c r="B209" s="1" t="s">
        <v>334</v>
      </c>
      <c r="E209" s="1" t="s">
        <v>1382</v>
      </c>
    </row>
    <row r="210" spans="1:5" x14ac:dyDescent="0.25">
      <c r="A210" s="5" t="s">
        <v>1468</v>
      </c>
      <c r="B210" s="1" t="s">
        <v>352</v>
      </c>
      <c r="E210" s="1" t="s">
        <v>1382</v>
      </c>
    </row>
    <row r="211" spans="1:5" x14ac:dyDescent="0.25">
      <c r="A211" s="5" t="s">
        <v>1476</v>
      </c>
      <c r="B211" s="1" t="s">
        <v>1477</v>
      </c>
      <c r="E211" s="1" t="s">
        <v>1382</v>
      </c>
    </row>
    <row r="212" spans="1:5" x14ac:dyDescent="0.25">
      <c r="A212" s="5" t="s">
        <v>1487</v>
      </c>
      <c r="B212" s="1" t="s">
        <v>173</v>
      </c>
      <c r="E212" s="1" t="s">
        <v>1382</v>
      </c>
    </row>
    <row r="213" spans="1:5" x14ac:dyDescent="0.25">
      <c r="A213" s="5" t="s">
        <v>1501</v>
      </c>
      <c r="B213" s="1" t="s">
        <v>107</v>
      </c>
      <c r="E213" s="1" t="s">
        <v>1382</v>
      </c>
    </row>
    <row r="214" spans="1:5" x14ac:dyDescent="0.25">
      <c r="A214" s="5" t="s">
        <v>1565</v>
      </c>
      <c r="B214" s="1" t="s">
        <v>55</v>
      </c>
      <c r="E214" s="1" t="s">
        <v>1382</v>
      </c>
    </row>
    <row r="215" spans="1:5" x14ac:dyDescent="0.25">
      <c r="A215" s="5" t="s">
        <v>1567</v>
      </c>
      <c r="B215" s="1" t="s">
        <v>1568</v>
      </c>
      <c r="E215" s="1" t="s">
        <v>1382</v>
      </c>
    </row>
    <row r="216" spans="1:5" x14ac:dyDescent="0.25">
      <c r="A216" s="5" t="s">
        <v>1375</v>
      </c>
      <c r="B216" s="1" t="s">
        <v>334</v>
      </c>
      <c r="E216" s="1" t="s">
        <v>1382</v>
      </c>
    </row>
    <row r="217" spans="1:5" x14ac:dyDescent="0.25">
      <c r="A217" s="5" t="s">
        <v>1594</v>
      </c>
      <c r="B217" s="1" t="s">
        <v>1694</v>
      </c>
      <c r="C217" s="1" t="s">
        <v>560</v>
      </c>
      <c r="E217" s="1" t="s">
        <v>1382</v>
      </c>
    </row>
    <row r="218" spans="1:5" x14ac:dyDescent="0.25">
      <c r="A218" s="5" t="s">
        <v>1597</v>
      </c>
      <c r="B218" s="1" t="s">
        <v>173</v>
      </c>
      <c r="E218" s="1" t="s">
        <v>1382</v>
      </c>
    </row>
    <row r="219" spans="1:5" x14ac:dyDescent="0.25">
      <c r="A219" s="5" t="s">
        <v>1389</v>
      </c>
      <c r="B219" s="1" t="s">
        <v>148</v>
      </c>
      <c r="E219" s="1" t="s">
        <v>1388</v>
      </c>
    </row>
    <row r="220" spans="1:5" x14ac:dyDescent="0.25">
      <c r="A220" s="5" t="s">
        <v>1396</v>
      </c>
      <c r="B220" s="1" t="s">
        <v>119</v>
      </c>
      <c r="E220" s="1" t="s">
        <v>1388</v>
      </c>
    </row>
    <row r="221" spans="1:5" x14ac:dyDescent="0.25">
      <c r="A221" s="5" t="s">
        <v>72</v>
      </c>
      <c r="B221" s="1" t="s">
        <v>292</v>
      </c>
      <c r="E221" s="1" t="s">
        <v>1388</v>
      </c>
    </row>
    <row r="222" spans="1:5" x14ac:dyDescent="0.25">
      <c r="A222" s="5" t="s">
        <v>1453</v>
      </c>
      <c r="B222" s="1" t="s">
        <v>362</v>
      </c>
      <c r="E222" s="1" t="s">
        <v>1388</v>
      </c>
    </row>
    <row r="223" spans="1:5" x14ac:dyDescent="0.25">
      <c r="A223" s="5" t="s">
        <v>1482</v>
      </c>
      <c r="B223" s="1" t="s">
        <v>1483</v>
      </c>
      <c r="E223" s="1" t="s">
        <v>1388</v>
      </c>
    </row>
    <row r="224" spans="1:5" x14ac:dyDescent="0.25">
      <c r="A224" s="5" t="s">
        <v>1514</v>
      </c>
      <c r="B224" s="1" t="s">
        <v>453</v>
      </c>
      <c r="E224" s="1" t="s">
        <v>1388</v>
      </c>
    </row>
    <row r="225" spans="1:5" x14ac:dyDescent="0.25">
      <c r="A225" s="5" t="s">
        <v>1520</v>
      </c>
      <c r="B225" s="1" t="s">
        <v>1007</v>
      </c>
      <c r="E225" s="1" t="s">
        <v>1388</v>
      </c>
    </row>
    <row r="226" spans="1:5" x14ac:dyDescent="0.25">
      <c r="A226" s="5" t="s">
        <v>734</v>
      </c>
      <c r="B226" s="1" t="s">
        <v>1524</v>
      </c>
      <c r="E226" s="1" t="s">
        <v>1388</v>
      </c>
    </row>
    <row r="227" spans="1:5" x14ac:dyDescent="0.25">
      <c r="A227" s="5" t="s">
        <v>1537</v>
      </c>
      <c r="B227" s="1" t="s">
        <v>2161</v>
      </c>
      <c r="C227" s="1" t="s">
        <v>498</v>
      </c>
      <c r="E227" s="1" t="s">
        <v>1388</v>
      </c>
    </row>
    <row r="228" spans="1:5" x14ac:dyDescent="0.25">
      <c r="A228" s="5" t="s">
        <v>1562</v>
      </c>
      <c r="B228" s="1" t="s">
        <v>437</v>
      </c>
      <c r="E228" s="1" t="s">
        <v>1388</v>
      </c>
    </row>
    <row r="229" spans="1:5" x14ac:dyDescent="0.25">
      <c r="A229" s="5" t="s">
        <v>1570</v>
      </c>
      <c r="B229" s="1" t="s">
        <v>91</v>
      </c>
      <c r="E229" s="1" t="s">
        <v>1388</v>
      </c>
    </row>
    <row r="230" spans="1:5" x14ac:dyDescent="0.25">
      <c r="A230" s="5" t="s">
        <v>1386</v>
      </c>
      <c r="B230" s="1" t="s">
        <v>352</v>
      </c>
      <c r="E230" s="1" t="s">
        <v>1385</v>
      </c>
    </row>
    <row r="231" spans="1:5" x14ac:dyDescent="0.25">
      <c r="A231" s="5" t="s">
        <v>1394</v>
      </c>
      <c r="B231" s="1" t="s">
        <v>432</v>
      </c>
      <c r="E231" s="1" t="s">
        <v>1385</v>
      </c>
    </row>
    <row r="232" spans="1:5" x14ac:dyDescent="0.25">
      <c r="A232" s="5" t="s">
        <v>1401</v>
      </c>
      <c r="B232" s="1" t="s">
        <v>67</v>
      </c>
      <c r="E232" s="1" t="s">
        <v>1385</v>
      </c>
    </row>
    <row r="233" spans="1:5" x14ac:dyDescent="0.25">
      <c r="A233" s="5" t="s">
        <v>1413</v>
      </c>
      <c r="B233" s="1" t="s">
        <v>148</v>
      </c>
      <c r="E233" s="1" t="s">
        <v>1385</v>
      </c>
    </row>
    <row r="234" spans="1:5" x14ac:dyDescent="0.25">
      <c r="A234" s="5" t="s">
        <v>1418</v>
      </c>
      <c r="B234" s="1" t="s">
        <v>99</v>
      </c>
      <c r="E234" s="1" t="s">
        <v>1385</v>
      </c>
    </row>
    <row r="235" spans="1:5" x14ac:dyDescent="0.25">
      <c r="A235" s="5" t="s">
        <v>1420</v>
      </c>
      <c r="B235" s="1" t="s">
        <v>33</v>
      </c>
      <c r="E235" s="1" t="s">
        <v>1385</v>
      </c>
    </row>
    <row r="236" spans="1:5" x14ac:dyDescent="0.25">
      <c r="A236" s="5" t="s">
        <v>2153</v>
      </c>
      <c r="B236" s="1" t="s">
        <v>2154</v>
      </c>
      <c r="C236" s="1" t="s">
        <v>977</v>
      </c>
      <c r="E236" s="1" t="s">
        <v>1385</v>
      </c>
    </row>
    <row r="237" spans="1:5" x14ac:dyDescent="0.25">
      <c r="A237" s="5" t="s">
        <v>1450</v>
      </c>
      <c r="B237" s="1" t="s">
        <v>91</v>
      </c>
      <c r="E237" s="1" t="s">
        <v>1385</v>
      </c>
    </row>
    <row r="238" spans="1:5" x14ac:dyDescent="0.25">
      <c r="A238" s="5" t="s">
        <v>1454</v>
      </c>
      <c r="B238" s="1" t="s">
        <v>195</v>
      </c>
      <c r="E238" s="1" t="s">
        <v>1385</v>
      </c>
    </row>
    <row r="239" spans="1:5" x14ac:dyDescent="0.25">
      <c r="A239" s="5" t="s">
        <v>1465</v>
      </c>
      <c r="B239" s="1" t="s">
        <v>334</v>
      </c>
      <c r="E239" s="1" t="s">
        <v>1385</v>
      </c>
    </row>
    <row r="240" spans="1:5" x14ac:dyDescent="0.25">
      <c r="A240" s="5" t="s">
        <v>2008</v>
      </c>
      <c r="B240" s="1" t="s">
        <v>2162</v>
      </c>
      <c r="C240" s="1" t="s">
        <v>1490</v>
      </c>
      <c r="E240" s="1" t="s">
        <v>1385</v>
      </c>
    </row>
    <row r="241" spans="1:5" x14ac:dyDescent="0.25">
      <c r="A241" s="5" t="s">
        <v>1499</v>
      </c>
      <c r="B241" s="1" t="s">
        <v>557</v>
      </c>
      <c r="E241" s="1" t="s">
        <v>1385</v>
      </c>
    </row>
    <row r="242" spans="1:5" x14ac:dyDescent="0.25">
      <c r="A242" s="5" t="s">
        <v>1509</v>
      </c>
      <c r="B242" s="1" t="s">
        <v>1510</v>
      </c>
      <c r="E242" s="1" t="s">
        <v>1385</v>
      </c>
    </row>
    <row r="243" spans="1:5" x14ac:dyDescent="0.25">
      <c r="A243" s="5" t="s">
        <v>734</v>
      </c>
      <c r="B243" s="1" t="s">
        <v>1522</v>
      </c>
      <c r="E243" s="1" t="s">
        <v>1385</v>
      </c>
    </row>
    <row r="244" spans="1:5" x14ac:dyDescent="0.25">
      <c r="A244" s="5" t="s">
        <v>1531</v>
      </c>
      <c r="B244" s="1" t="s">
        <v>197</v>
      </c>
      <c r="E244" s="1" t="s">
        <v>1385</v>
      </c>
    </row>
    <row r="245" spans="1:5" x14ac:dyDescent="0.25">
      <c r="A245" s="5" t="s">
        <v>1532</v>
      </c>
      <c r="B245" s="1" t="s">
        <v>1533</v>
      </c>
      <c r="E245" s="1" t="s">
        <v>1385</v>
      </c>
    </row>
    <row r="246" spans="1:5" x14ac:dyDescent="0.25">
      <c r="A246" s="5" t="s">
        <v>1538</v>
      </c>
      <c r="B246" s="1" t="s">
        <v>202</v>
      </c>
      <c r="E246" s="1" t="s">
        <v>1385</v>
      </c>
    </row>
    <row r="247" spans="1:5" x14ac:dyDescent="0.25">
      <c r="A247" s="5" t="s">
        <v>257</v>
      </c>
      <c r="B247" s="1" t="s">
        <v>64</v>
      </c>
      <c r="E247" s="1" t="s">
        <v>1385</v>
      </c>
    </row>
    <row r="248" spans="1:5" x14ac:dyDescent="0.25">
      <c r="A248" s="5" t="s">
        <v>1549</v>
      </c>
      <c r="B248" s="1" t="s">
        <v>228</v>
      </c>
      <c r="E248" s="1" t="s">
        <v>1385</v>
      </c>
    </row>
    <row r="249" spans="1:5" x14ac:dyDescent="0.25">
      <c r="A249" s="5" t="s">
        <v>754</v>
      </c>
      <c r="B249" s="1" t="s">
        <v>37</v>
      </c>
      <c r="E249" s="1" t="s">
        <v>1385</v>
      </c>
    </row>
    <row r="250" spans="1:5" x14ac:dyDescent="0.25">
      <c r="A250" s="5" t="s">
        <v>1552</v>
      </c>
      <c r="B250" s="1" t="s">
        <v>1553</v>
      </c>
      <c r="E250" s="1" t="s">
        <v>1385</v>
      </c>
    </row>
    <row r="251" spans="1:5" x14ac:dyDescent="0.25">
      <c r="A251" s="5" t="s">
        <v>1571</v>
      </c>
      <c r="B251" s="1" t="s">
        <v>23</v>
      </c>
      <c r="E251" s="1" t="s">
        <v>1385</v>
      </c>
    </row>
    <row r="252" spans="1:5" x14ac:dyDescent="0.25">
      <c r="A252" s="5" t="s">
        <v>1576</v>
      </c>
      <c r="B252" s="1" t="s">
        <v>1577</v>
      </c>
      <c r="E252" s="1" t="s">
        <v>1385</v>
      </c>
    </row>
    <row r="253" spans="1:5" x14ac:dyDescent="0.25">
      <c r="A253" s="5" t="s">
        <v>1579</v>
      </c>
      <c r="B253" s="1" t="s">
        <v>1340</v>
      </c>
      <c r="E253" s="1" t="s">
        <v>1385</v>
      </c>
    </row>
    <row r="254" spans="1:5" x14ac:dyDescent="0.25">
      <c r="A254" s="5" t="s">
        <v>315</v>
      </c>
      <c r="B254" s="1" t="s">
        <v>55</v>
      </c>
      <c r="E254" s="1" t="s">
        <v>1385</v>
      </c>
    </row>
    <row r="255" spans="1:5" x14ac:dyDescent="0.25">
      <c r="A255" s="5" t="s">
        <v>1585</v>
      </c>
      <c r="B255" s="1" t="s">
        <v>33</v>
      </c>
      <c r="E255" s="1" t="s">
        <v>1385</v>
      </c>
    </row>
    <row r="256" spans="1:5" x14ac:dyDescent="0.25">
      <c r="A256" s="5" t="s">
        <v>1586</v>
      </c>
      <c r="B256" s="1" t="s">
        <v>292</v>
      </c>
      <c r="E256" s="1" t="s">
        <v>1385</v>
      </c>
    </row>
    <row r="257" spans="1:5" x14ac:dyDescent="0.25">
      <c r="A257" s="5" t="s">
        <v>804</v>
      </c>
      <c r="B257" s="1" t="s">
        <v>107</v>
      </c>
      <c r="E257" s="1" t="s">
        <v>803</v>
      </c>
    </row>
    <row r="258" spans="1:5" x14ac:dyDescent="0.25">
      <c r="A258" s="5" t="s">
        <v>820</v>
      </c>
      <c r="B258" s="1" t="s">
        <v>55</v>
      </c>
      <c r="E258" s="1" t="s">
        <v>803</v>
      </c>
    </row>
    <row r="259" spans="1:5" x14ac:dyDescent="0.25">
      <c r="A259" s="5" t="s">
        <v>825</v>
      </c>
      <c r="B259" s="1" t="s">
        <v>826</v>
      </c>
      <c r="E259" s="1" t="s">
        <v>803</v>
      </c>
    </row>
    <row r="260" spans="1:5" x14ac:dyDescent="0.25">
      <c r="A260" s="5" t="s">
        <v>879</v>
      </c>
      <c r="B260" s="1" t="s">
        <v>412</v>
      </c>
      <c r="E260" s="1" t="s">
        <v>803</v>
      </c>
    </row>
    <row r="261" spans="1:5" x14ac:dyDescent="0.25">
      <c r="A261" s="5" t="s">
        <v>908</v>
      </c>
      <c r="B261" s="1" t="s">
        <v>909</v>
      </c>
      <c r="E261" s="1" t="s">
        <v>803</v>
      </c>
    </row>
    <row r="262" spans="1:5" x14ac:dyDescent="0.25">
      <c r="A262" s="5" t="s">
        <v>965</v>
      </c>
      <c r="B262" s="1" t="s">
        <v>732</v>
      </c>
      <c r="E262" s="1" t="s">
        <v>803</v>
      </c>
    </row>
    <row r="263" spans="1:5" x14ac:dyDescent="0.25">
      <c r="A263" s="5" t="s">
        <v>2008</v>
      </c>
      <c r="B263" s="1" t="s">
        <v>2009</v>
      </c>
      <c r="C263" s="1" t="s">
        <v>1009</v>
      </c>
      <c r="E263" s="1" t="s">
        <v>803</v>
      </c>
    </row>
    <row r="264" spans="1:5" x14ac:dyDescent="0.25">
      <c r="A264" s="5" t="s">
        <v>1042</v>
      </c>
      <c r="B264" s="1" t="s">
        <v>225</v>
      </c>
      <c r="E264" s="1" t="s">
        <v>803</v>
      </c>
    </row>
    <row r="265" spans="1:5" x14ac:dyDescent="0.25">
      <c r="A265" s="5" t="s">
        <v>1084</v>
      </c>
      <c r="B265" s="1" t="s">
        <v>1040</v>
      </c>
      <c r="E265" s="1" t="s">
        <v>803</v>
      </c>
    </row>
    <row r="266" spans="1:5" x14ac:dyDescent="0.25">
      <c r="A266" s="5" t="s">
        <v>1100</v>
      </c>
      <c r="B266" s="1" t="s">
        <v>107</v>
      </c>
      <c r="E266" s="1" t="s">
        <v>803</v>
      </c>
    </row>
    <row r="267" spans="1:5" x14ac:dyDescent="0.25">
      <c r="A267" s="5" t="s">
        <v>807</v>
      </c>
      <c r="B267" s="1" t="s">
        <v>27</v>
      </c>
      <c r="E267" s="1" t="s">
        <v>806</v>
      </c>
    </row>
    <row r="268" spans="1:5" x14ac:dyDescent="0.25">
      <c r="A268" s="5" t="s">
        <v>815</v>
      </c>
      <c r="B268" s="1" t="s">
        <v>43</v>
      </c>
      <c r="C268" s="1" t="s">
        <v>37</v>
      </c>
      <c r="E268" s="1" t="s">
        <v>806</v>
      </c>
    </row>
    <row r="269" spans="1:5" x14ac:dyDescent="0.25">
      <c r="A269" s="5" t="s">
        <v>831</v>
      </c>
      <c r="B269" s="1" t="s">
        <v>749</v>
      </c>
      <c r="E269" s="1" t="s">
        <v>806</v>
      </c>
    </row>
    <row r="270" spans="1:5" x14ac:dyDescent="0.25">
      <c r="A270" s="5" t="s">
        <v>849</v>
      </c>
      <c r="B270" s="1" t="s">
        <v>850</v>
      </c>
      <c r="E270" s="1" t="s">
        <v>806</v>
      </c>
    </row>
    <row r="271" spans="1:5" x14ac:dyDescent="0.25">
      <c r="A271" s="5" t="s">
        <v>858</v>
      </c>
      <c r="B271" s="1" t="s">
        <v>225</v>
      </c>
      <c r="E271" s="1" t="s">
        <v>806</v>
      </c>
    </row>
    <row r="272" spans="1:5" x14ac:dyDescent="0.25">
      <c r="A272" s="5" t="s">
        <v>860</v>
      </c>
      <c r="B272" s="1" t="s">
        <v>861</v>
      </c>
      <c r="E272" s="1" t="s">
        <v>806</v>
      </c>
    </row>
    <row r="273" spans="1:5" x14ac:dyDescent="0.25">
      <c r="A273" s="5" t="s">
        <v>875</v>
      </c>
      <c r="B273" s="1" t="s">
        <v>91</v>
      </c>
      <c r="E273" s="1" t="s">
        <v>806</v>
      </c>
    </row>
    <row r="274" spans="1:5" x14ac:dyDescent="0.25">
      <c r="A274" s="5" t="s">
        <v>881</v>
      </c>
      <c r="B274" s="1" t="s">
        <v>67</v>
      </c>
      <c r="E274" s="1" t="s">
        <v>806</v>
      </c>
    </row>
    <row r="275" spans="1:5" x14ac:dyDescent="0.25">
      <c r="A275" s="5" t="s">
        <v>898</v>
      </c>
      <c r="B275" s="1" t="s">
        <v>33</v>
      </c>
      <c r="E275" s="1" t="s">
        <v>806</v>
      </c>
    </row>
    <row r="276" spans="1:5" x14ac:dyDescent="0.25">
      <c r="A276" s="5" t="s">
        <v>913</v>
      </c>
      <c r="B276" s="1" t="s">
        <v>73</v>
      </c>
      <c r="E276" s="1" t="s">
        <v>806</v>
      </c>
    </row>
    <row r="277" spans="1:5" x14ac:dyDescent="0.25">
      <c r="A277" s="5" t="s">
        <v>918</v>
      </c>
      <c r="B277" s="1" t="s">
        <v>507</v>
      </c>
      <c r="E277" s="1" t="s">
        <v>806</v>
      </c>
    </row>
    <row r="278" spans="1:5" x14ac:dyDescent="0.25">
      <c r="A278" s="5" t="s">
        <v>927</v>
      </c>
      <c r="B278" s="1" t="s">
        <v>148</v>
      </c>
      <c r="E278" s="1" t="s">
        <v>806</v>
      </c>
    </row>
    <row r="279" spans="1:5" x14ac:dyDescent="0.25">
      <c r="A279" s="5" t="s">
        <v>2153</v>
      </c>
      <c r="B279" s="1" t="s">
        <v>2163</v>
      </c>
      <c r="C279" s="1" t="s">
        <v>2164</v>
      </c>
      <c r="D279" s="1" t="s">
        <v>43</v>
      </c>
      <c r="E279" s="1" t="s">
        <v>806</v>
      </c>
    </row>
    <row r="280" spans="1:5" x14ac:dyDescent="0.25">
      <c r="A280" s="5" t="s">
        <v>941</v>
      </c>
      <c r="B280" s="1" t="s">
        <v>148</v>
      </c>
      <c r="E280" s="1" t="s">
        <v>806</v>
      </c>
    </row>
    <row r="281" spans="1:5" x14ac:dyDescent="0.25">
      <c r="A281" s="5" t="s">
        <v>2149</v>
      </c>
      <c r="B281" s="1" t="s">
        <v>2165</v>
      </c>
      <c r="C281" s="1" t="s">
        <v>37</v>
      </c>
      <c r="E281" s="1" t="s">
        <v>806</v>
      </c>
    </row>
    <row r="282" spans="1:5" x14ac:dyDescent="0.25">
      <c r="A282" s="5" t="s">
        <v>970</v>
      </c>
      <c r="B282" s="1" t="s">
        <v>107</v>
      </c>
      <c r="C282" s="1" t="s">
        <v>2019</v>
      </c>
      <c r="E282" s="1" t="s">
        <v>806</v>
      </c>
    </row>
    <row r="283" spans="1:5" x14ac:dyDescent="0.25">
      <c r="A283" s="5" t="s">
        <v>972</v>
      </c>
      <c r="B283" s="1" t="s">
        <v>148</v>
      </c>
      <c r="C283" s="1" t="s">
        <v>412</v>
      </c>
      <c r="E283" s="1" t="s">
        <v>806</v>
      </c>
    </row>
    <row r="284" spans="1:5" x14ac:dyDescent="0.25">
      <c r="A284" s="5" t="s">
        <v>981</v>
      </c>
      <c r="B284" s="1" t="s">
        <v>1264</v>
      </c>
      <c r="C284" s="1" t="s">
        <v>173</v>
      </c>
      <c r="E284" s="1" t="s">
        <v>806</v>
      </c>
    </row>
    <row r="285" spans="1:5" x14ac:dyDescent="0.25">
      <c r="A285" s="5" t="s">
        <v>983</v>
      </c>
      <c r="B285" s="1" t="s">
        <v>507</v>
      </c>
      <c r="E285" s="1" t="s">
        <v>806</v>
      </c>
    </row>
    <row r="286" spans="1:5" x14ac:dyDescent="0.25">
      <c r="A286" s="5" t="s">
        <v>985</v>
      </c>
      <c r="B286" s="1" t="s">
        <v>27</v>
      </c>
      <c r="E286" s="1" t="s">
        <v>806</v>
      </c>
    </row>
    <row r="287" spans="1:5" x14ac:dyDescent="0.25">
      <c r="A287" s="5" t="s">
        <v>1017</v>
      </c>
      <c r="B287" s="1" t="s">
        <v>1568</v>
      </c>
      <c r="C287" s="1" t="s">
        <v>523</v>
      </c>
      <c r="E287" s="1" t="s">
        <v>806</v>
      </c>
    </row>
    <row r="288" spans="1:5" x14ac:dyDescent="0.25">
      <c r="A288" s="5" t="s">
        <v>1071</v>
      </c>
      <c r="B288" s="1" t="s">
        <v>197</v>
      </c>
      <c r="E288" s="1" t="s">
        <v>806</v>
      </c>
    </row>
    <row r="289" spans="1:5" x14ac:dyDescent="0.25">
      <c r="A289" s="5" t="s">
        <v>1077</v>
      </c>
      <c r="B289" s="1" t="s">
        <v>107</v>
      </c>
      <c r="E289" s="1" t="s">
        <v>806</v>
      </c>
    </row>
    <row r="290" spans="1:5" x14ac:dyDescent="0.25">
      <c r="A290" s="5" t="s">
        <v>1092</v>
      </c>
      <c r="B290" s="1" t="s">
        <v>316</v>
      </c>
      <c r="E290" s="1" t="s">
        <v>806</v>
      </c>
    </row>
    <row r="291" spans="1:5" x14ac:dyDescent="0.25">
      <c r="A291" s="5" t="s">
        <v>1094</v>
      </c>
      <c r="B291" s="1" t="s">
        <v>107</v>
      </c>
      <c r="E291" s="1" t="s">
        <v>806</v>
      </c>
    </row>
    <row r="292" spans="1:5" x14ac:dyDescent="0.25">
      <c r="A292" s="5" t="s">
        <v>1095</v>
      </c>
      <c r="B292" s="1" t="s">
        <v>37</v>
      </c>
      <c r="E292" s="1" t="s">
        <v>806</v>
      </c>
    </row>
    <row r="293" spans="1:5" x14ac:dyDescent="0.25">
      <c r="A293" s="5" t="s">
        <v>1106</v>
      </c>
      <c r="B293" s="1" t="s">
        <v>1040</v>
      </c>
      <c r="E293" s="1" t="s">
        <v>806</v>
      </c>
    </row>
    <row r="294" spans="1:5" x14ac:dyDescent="0.25">
      <c r="A294" s="5" t="s">
        <v>1117</v>
      </c>
      <c r="B294" s="1" t="s">
        <v>341</v>
      </c>
      <c r="E294" s="1" t="s">
        <v>806</v>
      </c>
    </row>
    <row r="295" spans="1:5" x14ac:dyDescent="0.25">
      <c r="A295" s="5" t="s">
        <v>1119</v>
      </c>
      <c r="B295" s="1" t="s">
        <v>422</v>
      </c>
      <c r="E295" s="1" t="s">
        <v>806</v>
      </c>
    </row>
    <row r="296" spans="1:5" x14ac:dyDescent="0.25">
      <c r="A296" s="5" t="s">
        <v>1123</v>
      </c>
      <c r="B296" s="1" t="s">
        <v>818</v>
      </c>
      <c r="E296" s="1" t="s">
        <v>806</v>
      </c>
    </row>
    <row r="297" spans="1:5" x14ac:dyDescent="0.25">
      <c r="A297" s="5" t="s">
        <v>1127</v>
      </c>
      <c r="B297" s="1" t="s">
        <v>173</v>
      </c>
      <c r="E297" s="1" t="s">
        <v>806</v>
      </c>
    </row>
    <row r="298" spans="1:5" x14ac:dyDescent="0.25">
      <c r="A298" s="5" t="s">
        <v>1134</v>
      </c>
      <c r="B298" s="1" t="s">
        <v>202</v>
      </c>
      <c r="E298" s="1" t="s">
        <v>806</v>
      </c>
    </row>
    <row r="299" spans="1:5" x14ac:dyDescent="0.25">
      <c r="A299" s="5" t="s">
        <v>1137</v>
      </c>
      <c r="B299" s="1" t="s">
        <v>144</v>
      </c>
      <c r="E299" s="1" t="s">
        <v>806</v>
      </c>
    </row>
    <row r="300" spans="1:5" x14ac:dyDescent="0.25">
      <c r="A300" s="5" t="s">
        <v>1145</v>
      </c>
      <c r="B300" s="1" t="s">
        <v>225</v>
      </c>
      <c r="E300" s="1" t="s">
        <v>806</v>
      </c>
    </row>
    <row r="301" spans="1:5" x14ac:dyDescent="0.25">
      <c r="A301" s="5" t="s">
        <v>800</v>
      </c>
      <c r="B301" s="1" t="s">
        <v>801</v>
      </c>
      <c r="E301" s="1" t="s">
        <v>799</v>
      </c>
    </row>
    <row r="302" spans="1:5" x14ac:dyDescent="0.25">
      <c r="A302" s="5" t="s">
        <v>889</v>
      </c>
      <c r="B302" s="1" t="s">
        <v>2070</v>
      </c>
      <c r="C302" s="1" t="s">
        <v>37</v>
      </c>
      <c r="E302" s="1" t="s">
        <v>799</v>
      </c>
    </row>
    <row r="303" spans="1:5" x14ac:dyDescent="0.25">
      <c r="A303" s="5" t="s">
        <v>900</v>
      </c>
      <c r="B303" s="1" t="s">
        <v>349</v>
      </c>
      <c r="E303" s="1" t="s">
        <v>799</v>
      </c>
    </row>
    <row r="304" spans="1:5" x14ac:dyDescent="0.25">
      <c r="A304" s="5" t="s">
        <v>925</v>
      </c>
      <c r="B304" s="1" t="s">
        <v>195</v>
      </c>
      <c r="E304" s="1" t="s">
        <v>799</v>
      </c>
    </row>
    <row r="305" spans="1:5" x14ac:dyDescent="0.25">
      <c r="A305" s="5" t="s">
        <v>960</v>
      </c>
      <c r="B305" s="1" t="s">
        <v>445</v>
      </c>
      <c r="E305" s="1" t="s">
        <v>799</v>
      </c>
    </row>
    <row r="306" spans="1:5" x14ac:dyDescent="0.25">
      <c r="A306" s="5" t="s">
        <v>989</v>
      </c>
      <c r="B306" s="1" t="s">
        <v>73</v>
      </c>
      <c r="E306" s="1" t="s">
        <v>799</v>
      </c>
    </row>
    <row r="307" spans="1:5" x14ac:dyDescent="0.25">
      <c r="A307" s="5" t="s">
        <v>1016</v>
      </c>
      <c r="B307" s="1" t="s">
        <v>86</v>
      </c>
      <c r="E307" s="1" t="s">
        <v>799</v>
      </c>
    </row>
    <row r="308" spans="1:5" x14ac:dyDescent="0.25">
      <c r="A308" s="5" t="s">
        <v>1069</v>
      </c>
      <c r="B308" s="1" t="s">
        <v>197</v>
      </c>
      <c r="E308" s="1" t="s">
        <v>799</v>
      </c>
    </row>
    <row r="309" spans="1:5" x14ac:dyDescent="0.25">
      <c r="A309" s="5" t="s">
        <v>1107</v>
      </c>
      <c r="B309" s="1" t="s">
        <v>412</v>
      </c>
      <c r="E309" s="1" t="s">
        <v>799</v>
      </c>
    </row>
    <row r="310" spans="1:5" x14ac:dyDescent="0.25">
      <c r="A310" s="5" t="s">
        <v>1115</v>
      </c>
      <c r="B310" s="1" t="s">
        <v>25</v>
      </c>
      <c r="E310" s="1" t="s">
        <v>799</v>
      </c>
    </row>
    <row r="311" spans="1:5" x14ac:dyDescent="0.25">
      <c r="A311" s="5" t="s">
        <v>1125</v>
      </c>
      <c r="B311" s="1" t="s">
        <v>86</v>
      </c>
      <c r="E311" s="1" t="s">
        <v>799</v>
      </c>
    </row>
    <row r="312" spans="1:5" x14ac:dyDescent="0.25">
      <c r="A312" s="5" t="s">
        <v>797</v>
      </c>
      <c r="B312" s="1" t="s">
        <v>119</v>
      </c>
      <c r="E312" s="1" t="s">
        <v>796</v>
      </c>
    </row>
    <row r="313" spans="1:5" x14ac:dyDescent="0.25">
      <c r="A313" s="5" t="s">
        <v>821</v>
      </c>
      <c r="B313" s="1" t="s">
        <v>91</v>
      </c>
      <c r="E313" s="1" t="s">
        <v>796</v>
      </c>
    </row>
    <row r="314" spans="1:5" x14ac:dyDescent="0.25">
      <c r="A314" s="5" t="s">
        <v>833</v>
      </c>
      <c r="B314" s="1" t="s">
        <v>27</v>
      </c>
      <c r="E314" s="1" t="s">
        <v>796</v>
      </c>
    </row>
    <row r="315" spans="1:5" x14ac:dyDescent="0.25">
      <c r="A315" s="5" t="s">
        <v>838</v>
      </c>
      <c r="B315" s="1" t="s">
        <v>2164</v>
      </c>
      <c r="C315" s="1" t="s">
        <v>507</v>
      </c>
      <c r="E315" s="1" t="s">
        <v>796</v>
      </c>
    </row>
    <row r="316" spans="1:5" x14ac:dyDescent="0.25">
      <c r="A316" s="5" t="s">
        <v>846</v>
      </c>
      <c r="B316" s="1" t="s">
        <v>847</v>
      </c>
      <c r="E316" s="1" t="s">
        <v>796</v>
      </c>
    </row>
    <row r="317" spans="1:5" x14ac:dyDescent="0.25">
      <c r="A317" s="5" t="s">
        <v>79</v>
      </c>
      <c r="B317" s="1" t="s">
        <v>107</v>
      </c>
      <c r="E317" s="1" t="s">
        <v>796</v>
      </c>
    </row>
    <row r="318" spans="1:5" x14ac:dyDescent="0.25">
      <c r="A318" s="5" t="s">
        <v>852</v>
      </c>
      <c r="B318" s="1" t="s">
        <v>853</v>
      </c>
      <c r="E318" s="1" t="s">
        <v>796</v>
      </c>
    </row>
    <row r="319" spans="1:5" x14ac:dyDescent="0.25">
      <c r="A319" s="5" t="s">
        <v>863</v>
      </c>
      <c r="B319" s="1" t="s">
        <v>292</v>
      </c>
      <c r="E319" s="1" t="s">
        <v>796</v>
      </c>
    </row>
    <row r="320" spans="1:5" x14ac:dyDescent="0.25">
      <c r="A320" s="5" t="s">
        <v>871</v>
      </c>
      <c r="B320" s="1" t="s">
        <v>107</v>
      </c>
      <c r="E320" s="1" t="s">
        <v>796</v>
      </c>
    </row>
    <row r="321" spans="1:5" x14ac:dyDescent="0.25">
      <c r="A321" s="5" t="s">
        <v>877</v>
      </c>
      <c r="B321" s="1" t="s">
        <v>453</v>
      </c>
      <c r="E321" s="1" t="s">
        <v>796</v>
      </c>
    </row>
    <row r="322" spans="1:5" x14ac:dyDescent="0.25">
      <c r="A322" s="5" t="s">
        <v>894</v>
      </c>
      <c r="B322" s="1" t="s">
        <v>135</v>
      </c>
      <c r="E322" s="1" t="s">
        <v>796</v>
      </c>
    </row>
    <row r="323" spans="1:5" x14ac:dyDescent="0.25">
      <c r="A323" s="5" t="s">
        <v>911</v>
      </c>
      <c r="B323" s="1" t="s">
        <v>412</v>
      </c>
      <c r="E323" s="1" t="s">
        <v>796</v>
      </c>
    </row>
    <row r="324" spans="1:5" x14ac:dyDescent="0.25">
      <c r="A324" s="5" t="s">
        <v>920</v>
      </c>
      <c r="B324" s="1" t="s">
        <v>148</v>
      </c>
      <c r="E324" s="1" t="s">
        <v>796</v>
      </c>
    </row>
    <row r="325" spans="1:5" x14ac:dyDescent="0.25">
      <c r="A325" s="5" t="s">
        <v>924</v>
      </c>
      <c r="B325" s="1" t="s">
        <v>43</v>
      </c>
      <c r="E325" s="1" t="s">
        <v>796</v>
      </c>
    </row>
    <row r="326" spans="1:5" x14ac:dyDescent="0.25">
      <c r="A326" s="5" t="s">
        <v>929</v>
      </c>
      <c r="B326" s="1" t="s">
        <v>197</v>
      </c>
      <c r="E326" s="1" t="s">
        <v>796</v>
      </c>
    </row>
    <row r="327" spans="1:5" x14ac:dyDescent="0.25">
      <c r="A327" s="5" t="s">
        <v>2153</v>
      </c>
      <c r="B327" s="1" t="s">
        <v>2166</v>
      </c>
      <c r="C327" s="1" t="s">
        <v>273</v>
      </c>
      <c r="E327" s="1" t="s">
        <v>796</v>
      </c>
    </row>
    <row r="328" spans="1:5" x14ac:dyDescent="0.25">
      <c r="A328" s="5" t="s">
        <v>953</v>
      </c>
      <c r="B328" s="1" t="s">
        <v>954</v>
      </c>
      <c r="E328" s="1" t="s">
        <v>796</v>
      </c>
    </row>
    <row r="329" spans="1:5" x14ac:dyDescent="0.25">
      <c r="A329" s="5" t="s">
        <v>957</v>
      </c>
      <c r="B329" s="1" t="s">
        <v>126</v>
      </c>
      <c r="C329" s="1" t="s">
        <v>2167</v>
      </c>
      <c r="E329" s="1" t="s">
        <v>796</v>
      </c>
    </row>
    <row r="330" spans="1:5" x14ac:dyDescent="0.25">
      <c r="A330" s="5" t="s">
        <v>962</v>
      </c>
      <c r="B330" s="1" t="s">
        <v>963</v>
      </c>
      <c r="E330" s="1" t="s">
        <v>796</v>
      </c>
    </row>
    <row r="331" spans="1:5" x14ac:dyDescent="0.25">
      <c r="A331" s="5" t="s">
        <v>966</v>
      </c>
      <c r="B331" s="1" t="s">
        <v>967</v>
      </c>
      <c r="E331" s="1" t="s">
        <v>796</v>
      </c>
    </row>
    <row r="332" spans="1:5" x14ac:dyDescent="0.25">
      <c r="A332" s="5" t="s">
        <v>976</v>
      </c>
      <c r="B332" s="1" t="s">
        <v>977</v>
      </c>
      <c r="E332" s="1" t="s">
        <v>796</v>
      </c>
    </row>
    <row r="333" spans="1:5" x14ac:dyDescent="0.25">
      <c r="A333" s="5" t="s">
        <v>979</v>
      </c>
      <c r="B333" s="1" t="s">
        <v>126</v>
      </c>
      <c r="E333" s="1" t="s">
        <v>796</v>
      </c>
    </row>
    <row r="334" spans="1:5" x14ac:dyDescent="0.25">
      <c r="A334" s="5" t="s">
        <v>991</v>
      </c>
      <c r="B334" s="1" t="s">
        <v>352</v>
      </c>
      <c r="E334" s="1" t="s">
        <v>796</v>
      </c>
    </row>
    <row r="335" spans="1:5" x14ac:dyDescent="0.25">
      <c r="A335" s="5" t="s">
        <v>999</v>
      </c>
      <c r="B335" s="1" t="s">
        <v>557</v>
      </c>
      <c r="E335" s="1" t="s">
        <v>796</v>
      </c>
    </row>
    <row r="336" spans="1:5" x14ac:dyDescent="0.25">
      <c r="A336" s="5" t="s">
        <v>1010</v>
      </c>
      <c r="B336" s="1" t="s">
        <v>163</v>
      </c>
      <c r="E336" s="1" t="s">
        <v>796</v>
      </c>
    </row>
    <row r="337" spans="1:5" x14ac:dyDescent="0.25">
      <c r="A337" s="5" t="s">
        <v>1014</v>
      </c>
      <c r="B337" s="1" t="s">
        <v>429</v>
      </c>
      <c r="E337" s="1" t="s">
        <v>796</v>
      </c>
    </row>
    <row r="338" spans="1:5" x14ac:dyDescent="0.25">
      <c r="A338" s="5" t="s">
        <v>1022</v>
      </c>
      <c r="B338" s="1" t="s">
        <v>732</v>
      </c>
      <c r="E338" s="1" t="s">
        <v>796</v>
      </c>
    </row>
    <row r="339" spans="1:5" x14ac:dyDescent="0.25">
      <c r="A339" s="5" t="s">
        <v>1029</v>
      </c>
      <c r="B339" s="1" t="s">
        <v>27</v>
      </c>
      <c r="E339" s="1" t="s">
        <v>796</v>
      </c>
    </row>
    <row r="340" spans="1:5" x14ac:dyDescent="0.25">
      <c r="A340" s="5" t="s">
        <v>1033</v>
      </c>
      <c r="B340" s="1" t="s">
        <v>239</v>
      </c>
      <c r="C340" s="1" t="s">
        <v>2168</v>
      </c>
      <c r="E340" s="1" t="s">
        <v>796</v>
      </c>
    </row>
    <row r="341" spans="1:5" x14ac:dyDescent="0.25">
      <c r="A341" s="5" t="s">
        <v>1041</v>
      </c>
      <c r="B341" s="1" t="s">
        <v>91</v>
      </c>
      <c r="E341" s="1" t="s">
        <v>796</v>
      </c>
    </row>
    <row r="342" spans="1:5" x14ac:dyDescent="0.25">
      <c r="A342" s="5" t="s">
        <v>1047</v>
      </c>
      <c r="B342" s="1" t="s">
        <v>163</v>
      </c>
      <c r="E342" s="1" t="s">
        <v>796</v>
      </c>
    </row>
    <row r="343" spans="1:5" x14ac:dyDescent="0.25">
      <c r="A343" s="5" t="s">
        <v>1049</v>
      </c>
      <c r="B343" s="1" t="s">
        <v>173</v>
      </c>
      <c r="E343" s="1" t="s">
        <v>796</v>
      </c>
    </row>
    <row r="344" spans="1:5" x14ac:dyDescent="0.25">
      <c r="A344" s="5" t="s">
        <v>1054</v>
      </c>
      <c r="B344" s="1" t="s">
        <v>1055</v>
      </c>
      <c r="E344" s="1" t="s">
        <v>796</v>
      </c>
    </row>
    <row r="345" spans="1:5" x14ac:dyDescent="0.25">
      <c r="A345" s="5" t="s">
        <v>1058</v>
      </c>
      <c r="B345" s="1" t="s">
        <v>37</v>
      </c>
      <c r="E345" s="1" t="s">
        <v>796</v>
      </c>
    </row>
    <row r="346" spans="1:5" x14ac:dyDescent="0.25">
      <c r="A346" s="5" t="s">
        <v>1060</v>
      </c>
      <c r="B346" s="1" t="s">
        <v>1061</v>
      </c>
      <c r="E346" s="1" t="s">
        <v>796</v>
      </c>
    </row>
    <row r="347" spans="1:5" x14ac:dyDescent="0.25">
      <c r="A347" s="5" t="s">
        <v>1062</v>
      </c>
      <c r="B347" s="1" t="s">
        <v>617</v>
      </c>
      <c r="E347" s="1" t="s">
        <v>796</v>
      </c>
    </row>
    <row r="348" spans="1:5" x14ac:dyDescent="0.25">
      <c r="A348" s="5" t="s">
        <v>1065</v>
      </c>
      <c r="B348" s="1" t="s">
        <v>25</v>
      </c>
      <c r="C348" s="1" t="s">
        <v>67</v>
      </c>
      <c r="E348" s="1" t="s">
        <v>796</v>
      </c>
    </row>
    <row r="349" spans="1:5" x14ac:dyDescent="0.25">
      <c r="A349" s="5" t="s">
        <v>1079</v>
      </c>
      <c r="B349" s="1" t="s">
        <v>43</v>
      </c>
      <c r="E349" s="1" t="s">
        <v>796</v>
      </c>
    </row>
    <row r="350" spans="1:5" x14ac:dyDescent="0.25">
      <c r="A350" s="5" t="s">
        <v>1080</v>
      </c>
      <c r="B350" s="1" t="s">
        <v>107</v>
      </c>
      <c r="E350" s="1" t="s">
        <v>796</v>
      </c>
    </row>
    <row r="351" spans="1:5" x14ac:dyDescent="0.25">
      <c r="A351" s="5" t="s">
        <v>1087</v>
      </c>
      <c r="B351" s="1" t="s">
        <v>292</v>
      </c>
      <c r="E351" s="1" t="s">
        <v>796</v>
      </c>
    </row>
    <row r="352" spans="1:5" x14ac:dyDescent="0.25">
      <c r="A352" s="5" t="s">
        <v>1104</v>
      </c>
      <c r="B352" s="1" t="s">
        <v>239</v>
      </c>
      <c r="E352" s="1" t="s">
        <v>796</v>
      </c>
    </row>
    <row r="353" spans="1:5" x14ac:dyDescent="0.25">
      <c r="A353" s="5" t="s">
        <v>1109</v>
      </c>
      <c r="B353" s="1" t="s">
        <v>507</v>
      </c>
      <c r="E353" s="1" t="s">
        <v>796</v>
      </c>
    </row>
    <row r="354" spans="1:5" x14ac:dyDescent="0.25">
      <c r="A354" s="5" t="s">
        <v>1120</v>
      </c>
      <c r="B354" s="1" t="s">
        <v>1121</v>
      </c>
      <c r="E354" s="1" t="s">
        <v>796</v>
      </c>
    </row>
    <row r="355" spans="1:5" x14ac:dyDescent="0.25">
      <c r="A355" s="5" t="s">
        <v>1129</v>
      </c>
      <c r="B355" s="1" t="s">
        <v>249</v>
      </c>
      <c r="E355" s="1" t="s">
        <v>796</v>
      </c>
    </row>
    <row r="356" spans="1:5" x14ac:dyDescent="0.25">
      <c r="A356" s="5" t="s">
        <v>1141</v>
      </c>
      <c r="B356" s="1" t="s">
        <v>148</v>
      </c>
      <c r="E356" s="1" t="s">
        <v>796</v>
      </c>
    </row>
    <row r="357" spans="1:5" x14ac:dyDescent="0.25">
      <c r="A357" s="5" t="s">
        <v>791</v>
      </c>
      <c r="B357" s="1" t="s">
        <v>495</v>
      </c>
      <c r="E357" s="1" t="s">
        <v>790</v>
      </c>
    </row>
    <row r="358" spans="1:5" x14ac:dyDescent="0.25">
      <c r="A358" s="5" t="s">
        <v>813</v>
      </c>
      <c r="B358" s="1" t="s">
        <v>195</v>
      </c>
      <c r="E358" s="1" t="s">
        <v>790</v>
      </c>
    </row>
    <row r="359" spans="1:5" x14ac:dyDescent="0.25">
      <c r="A359" s="5" t="s">
        <v>817</v>
      </c>
      <c r="B359" s="1" t="s">
        <v>818</v>
      </c>
      <c r="E359" s="1" t="s">
        <v>790</v>
      </c>
    </row>
    <row r="360" spans="1:5" x14ac:dyDescent="0.25">
      <c r="A360" s="5" t="s">
        <v>906</v>
      </c>
      <c r="B360" s="1" t="s">
        <v>119</v>
      </c>
      <c r="E360" s="1" t="s">
        <v>790</v>
      </c>
    </row>
    <row r="361" spans="1:5" x14ac:dyDescent="0.25">
      <c r="A361" s="5" t="s">
        <v>915</v>
      </c>
      <c r="B361" s="1" t="s">
        <v>916</v>
      </c>
      <c r="E361" s="1" t="s">
        <v>790</v>
      </c>
    </row>
    <row r="362" spans="1:5" x14ac:dyDescent="0.25">
      <c r="A362" s="5" t="s">
        <v>922</v>
      </c>
      <c r="B362" s="1" t="s">
        <v>91</v>
      </c>
      <c r="E362" s="1" t="s">
        <v>790</v>
      </c>
    </row>
    <row r="363" spans="1:5" x14ac:dyDescent="0.25">
      <c r="A363" s="5" t="s">
        <v>2153</v>
      </c>
      <c r="B363" s="1" t="s">
        <v>195</v>
      </c>
      <c r="C363" s="1" t="s">
        <v>412</v>
      </c>
      <c r="E363" s="1" t="s">
        <v>790</v>
      </c>
    </row>
    <row r="364" spans="1:5" x14ac:dyDescent="0.25">
      <c r="A364" s="5" t="s">
        <v>2153</v>
      </c>
      <c r="B364" s="1" t="s">
        <v>2169</v>
      </c>
      <c r="C364" s="1" t="s">
        <v>518</v>
      </c>
      <c r="E364" s="1" t="s">
        <v>790</v>
      </c>
    </row>
    <row r="365" spans="1:5" x14ac:dyDescent="0.25">
      <c r="A365" s="5" t="s">
        <v>2149</v>
      </c>
      <c r="B365" s="1" t="s">
        <v>2170</v>
      </c>
      <c r="C365" s="1" t="s">
        <v>429</v>
      </c>
      <c r="E365" s="1" t="s">
        <v>790</v>
      </c>
    </row>
    <row r="366" spans="1:5" x14ac:dyDescent="0.25">
      <c r="A366" s="5" t="s">
        <v>2149</v>
      </c>
      <c r="B366" s="1" t="s">
        <v>2171</v>
      </c>
      <c r="C366" s="1" t="s">
        <v>2070</v>
      </c>
      <c r="D366" s="1" t="s">
        <v>163</v>
      </c>
      <c r="E366" s="1" t="s">
        <v>790</v>
      </c>
    </row>
    <row r="367" spans="1:5" x14ac:dyDescent="0.25">
      <c r="A367" s="5" t="s">
        <v>2149</v>
      </c>
      <c r="B367" s="1" t="s">
        <v>135</v>
      </c>
      <c r="C367" s="1" t="s">
        <v>200</v>
      </c>
      <c r="E367" s="1" t="s">
        <v>790</v>
      </c>
    </row>
    <row r="368" spans="1:5" x14ac:dyDescent="0.25">
      <c r="A368" s="5" t="s">
        <v>2149</v>
      </c>
      <c r="B368" s="1" t="s">
        <v>1479</v>
      </c>
      <c r="C368" s="1" t="s">
        <v>949</v>
      </c>
      <c r="E368" s="1" t="s">
        <v>790</v>
      </c>
    </row>
    <row r="369" spans="1:5" x14ac:dyDescent="0.25">
      <c r="A369" s="5" t="s">
        <v>162</v>
      </c>
      <c r="B369" s="1" t="s">
        <v>86</v>
      </c>
      <c r="E369" s="1" t="s">
        <v>790</v>
      </c>
    </row>
    <row r="370" spans="1:5" x14ac:dyDescent="0.25">
      <c r="A370" s="5" t="s">
        <v>987</v>
      </c>
      <c r="B370" s="1" t="s">
        <v>228</v>
      </c>
      <c r="E370" s="1" t="s">
        <v>790</v>
      </c>
    </row>
    <row r="371" spans="1:5" x14ac:dyDescent="0.25">
      <c r="A371" s="5" t="s">
        <v>1001</v>
      </c>
      <c r="B371" s="1" t="s">
        <v>352</v>
      </c>
      <c r="E371" s="1" t="s">
        <v>790</v>
      </c>
    </row>
    <row r="372" spans="1:5" x14ac:dyDescent="0.25">
      <c r="A372" s="5" t="s">
        <v>1003</v>
      </c>
      <c r="B372" s="1" t="s">
        <v>1004</v>
      </c>
      <c r="E372" s="1" t="s">
        <v>790</v>
      </c>
    </row>
    <row r="373" spans="1:5" x14ac:dyDescent="0.25">
      <c r="A373" s="5" t="s">
        <v>456</v>
      </c>
      <c r="B373" s="1" t="s">
        <v>197</v>
      </c>
      <c r="E373" s="1" t="s">
        <v>790</v>
      </c>
    </row>
    <row r="374" spans="1:5" x14ac:dyDescent="0.25">
      <c r="A374" s="5" t="s">
        <v>1006</v>
      </c>
      <c r="B374" s="1" t="s">
        <v>1007</v>
      </c>
      <c r="E374" s="1" t="s">
        <v>790</v>
      </c>
    </row>
    <row r="375" spans="1:5" x14ac:dyDescent="0.25">
      <c r="A375" s="5" t="s">
        <v>1012</v>
      </c>
      <c r="B375" s="1" t="s">
        <v>107</v>
      </c>
      <c r="E375" s="1" t="s">
        <v>790</v>
      </c>
    </row>
    <row r="376" spans="1:5" x14ac:dyDescent="0.25">
      <c r="A376" s="5" t="s">
        <v>1024</v>
      </c>
      <c r="B376" s="1" t="s">
        <v>1004</v>
      </c>
      <c r="E376" s="1" t="s">
        <v>790</v>
      </c>
    </row>
    <row r="377" spans="1:5" x14ac:dyDescent="0.25">
      <c r="A377" s="5" t="s">
        <v>1026</v>
      </c>
      <c r="B377" s="1" t="s">
        <v>1027</v>
      </c>
      <c r="E377" s="1" t="s">
        <v>790</v>
      </c>
    </row>
    <row r="378" spans="1:5" x14ac:dyDescent="0.25">
      <c r="A378" s="5" t="s">
        <v>1031</v>
      </c>
      <c r="B378" s="1" t="s">
        <v>73</v>
      </c>
      <c r="E378" s="1" t="s">
        <v>790</v>
      </c>
    </row>
    <row r="379" spans="1:5" x14ac:dyDescent="0.25">
      <c r="A379" s="5" t="s">
        <v>1037</v>
      </c>
      <c r="B379" s="1" t="s">
        <v>173</v>
      </c>
      <c r="E379" s="1" t="s">
        <v>790</v>
      </c>
    </row>
    <row r="380" spans="1:5" x14ac:dyDescent="0.25">
      <c r="A380" s="5" t="s">
        <v>1043</v>
      </c>
      <c r="B380" s="1" t="s">
        <v>249</v>
      </c>
      <c r="E380" s="1" t="s">
        <v>790</v>
      </c>
    </row>
    <row r="381" spans="1:5" x14ac:dyDescent="0.25">
      <c r="A381" s="5" t="s">
        <v>1063</v>
      </c>
      <c r="B381" s="1" t="s">
        <v>116</v>
      </c>
      <c r="E381" s="1" t="s">
        <v>790</v>
      </c>
    </row>
    <row r="382" spans="1:5" x14ac:dyDescent="0.25">
      <c r="A382" s="5" t="s">
        <v>1067</v>
      </c>
      <c r="B382" s="1" t="s">
        <v>1004</v>
      </c>
      <c r="E382" s="1" t="s">
        <v>790</v>
      </c>
    </row>
    <row r="383" spans="1:5" x14ac:dyDescent="0.25">
      <c r="A383" s="5" t="s">
        <v>1082</v>
      </c>
      <c r="B383" s="1" t="s">
        <v>202</v>
      </c>
      <c r="E383" s="1" t="s">
        <v>790</v>
      </c>
    </row>
    <row r="384" spans="1:5" x14ac:dyDescent="0.25">
      <c r="A384" s="5" t="s">
        <v>1085</v>
      </c>
      <c r="B384" s="1" t="s">
        <v>228</v>
      </c>
      <c r="E384" s="1" t="s">
        <v>790</v>
      </c>
    </row>
    <row r="385" spans="1:5" x14ac:dyDescent="0.25">
      <c r="A385" s="5" t="s">
        <v>1090</v>
      </c>
      <c r="B385" s="1" t="s">
        <v>107</v>
      </c>
      <c r="E385" s="1" t="s">
        <v>790</v>
      </c>
    </row>
    <row r="386" spans="1:5" x14ac:dyDescent="0.25">
      <c r="A386" s="5" t="s">
        <v>1096</v>
      </c>
      <c r="B386" s="1" t="s">
        <v>43</v>
      </c>
      <c r="E386" s="1" t="s">
        <v>790</v>
      </c>
    </row>
    <row r="387" spans="1:5" x14ac:dyDescent="0.25">
      <c r="A387" s="5" t="s">
        <v>1098</v>
      </c>
      <c r="B387" s="1" t="s">
        <v>451</v>
      </c>
      <c r="E387" s="1" t="s">
        <v>790</v>
      </c>
    </row>
    <row r="388" spans="1:5" x14ac:dyDescent="0.25">
      <c r="A388" s="5" t="s">
        <v>1102</v>
      </c>
      <c r="B388" s="1" t="s">
        <v>25</v>
      </c>
      <c r="E388" s="1" t="s">
        <v>790</v>
      </c>
    </row>
    <row r="389" spans="1:5" x14ac:dyDescent="0.25">
      <c r="A389" s="5" t="s">
        <v>1111</v>
      </c>
      <c r="B389" s="1" t="s">
        <v>47</v>
      </c>
      <c r="E389" s="1" t="s">
        <v>790</v>
      </c>
    </row>
    <row r="390" spans="1:5" x14ac:dyDescent="0.25">
      <c r="A390" s="5" t="s">
        <v>1135</v>
      </c>
      <c r="B390" s="1" t="s">
        <v>682</v>
      </c>
      <c r="E390" s="1" t="s">
        <v>790</v>
      </c>
    </row>
    <row r="391" spans="1:5" x14ac:dyDescent="0.25">
      <c r="A391" s="5" t="s">
        <v>788</v>
      </c>
      <c r="B391" s="1" t="s">
        <v>148</v>
      </c>
      <c r="E391" s="1" t="s">
        <v>787</v>
      </c>
    </row>
    <row r="392" spans="1:5" x14ac:dyDescent="0.25">
      <c r="A392" s="5" t="s">
        <v>326</v>
      </c>
      <c r="B392" s="1" t="s">
        <v>67</v>
      </c>
      <c r="E392" s="1" t="s">
        <v>787</v>
      </c>
    </row>
    <row r="393" spans="1:5" x14ac:dyDescent="0.25">
      <c r="A393" s="5" t="s">
        <v>823</v>
      </c>
      <c r="B393" s="1" t="s">
        <v>144</v>
      </c>
      <c r="E393" s="1" t="s">
        <v>787</v>
      </c>
    </row>
    <row r="394" spans="1:5" x14ac:dyDescent="0.25">
      <c r="A394" s="5" t="s">
        <v>828</v>
      </c>
      <c r="B394" s="1" t="s">
        <v>829</v>
      </c>
      <c r="E394" s="1" t="s">
        <v>787</v>
      </c>
    </row>
    <row r="395" spans="1:5" x14ac:dyDescent="0.25">
      <c r="A395" s="5" t="s">
        <v>844</v>
      </c>
      <c r="B395" s="1" t="s">
        <v>845</v>
      </c>
      <c r="E395" s="1" t="s">
        <v>787</v>
      </c>
    </row>
    <row r="396" spans="1:5" x14ac:dyDescent="0.25">
      <c r="A396" s="5" t="s">
        <v>855</v>
      </c>
      <c r="B396" s="1" t="s">
        <v>67</v>
      </c>
      <c r="E396" s="1" t="s">
        <v>787</v>
      </c>
    </row>
    <row r="397" spans="1:5" x14ac:dyDescent="0.25">
      <c r="A397" s="5" t="s">
        <v>865</v>
      </c>
      <c r="B397" s="1" t="s">
        <v>2043</v>
      </c>
      <c r="C397" s="1" t="s">
        <v>515</v>
      </c>
      <c r="E397" s="1" t="s">
        <v>787</v>
      </c>
    </row>
    <row r="398" spans="1:5" x14ac:dyDescent="0.25">
      <c r="A398" s="5" t="s">
        <v>867</v>
      </c>
      <c r="B398" s="1" t="s">
        <v>27</v>
      </c>
      <c r="E398" s="1" t="s">
        <v>787</v>
      </c>
    </row>
    <row r="399" spans="1:5" x14ac:dyDescent="0.25">
      <c r="A399" s="5" t="s">
        <v>869</v>
      </c>
      <c r="B399" s="1" t="s">
        <v>73</v>
      </c>
      <c r="E399" s="1" t="s">
        <v>787</v>
      </c>
    </row>
    <row r="400" spans="1:5" x14ac:dyDescent="0.25">
      <c r="A400" s="5" t="s">
        <v>873</v>
      </c>
      <c r="B400" s="1" t="s">
        <v>107</v>
      </c>
      <c r="E400" s="1" t="s">
        <v>787</v>
      </c>
    </row>
    <row r="401" spans="1:5" x14ac:dyDescent="0.25">
      <c r="A401" s="5" t="s">
        <v>892</v>
      </c>
      <c r="B401" s="1" t="s">
        <v>119</v>
      </c>
      <c r="E401" s="1" t="s">
        <v>787</v>
      </c>
    </row>
    <row r="402" spans="1:5" x14ac:dyDescent="0.25">
      <c r="A402" s="5" t="s">
        <v>896</v>
      </c>
      <c r="B402" s="1" t="s">
        <v>195</v>
      </c>
      <c r="E402" s="1" t="s">
        <v>787</v>
      </c>
    </row>
    <row r="403" spans="1:5" x14ac:dyDescent="0.25">
      <c r="A403" s="5" t="s">
        <v>904</v>
      </c>
      <c r="B403" s="1" t="s">
        <v>173</v>
      </c>
      <c r="E403" s="1" t="s">
        <v>787</v>
      </c>
    </row>
    <row r="404" spans="1:5" x14ac:dyDescent="0.25">
      <c r="A404" s="5" t="s">
        <v>2153</v>
      </c>
      <c r="B404" s="1" t="s">
        <v>2172</v>
      </c>
      <c r="C404" s="1" t="s">
        <v>590</v>
      </c>
      <c r="E404" s="1" t="s">
        <v>787</v>
      </c>
    </row>
    <row r="405" spans="1:5" x14ac:dyDescent="0.25">
      <c r="A405" s="5" t="s">
        <v>958</v>
      </c>
      <c r="B405" s="1" t="s">
        <v>37</v>
      </c>
      <c r="E405" s="1" t="s">
        <v>787</v>
      </c>
    </row>
    <row r="406" spans="1:5" x14ac:dyDescent="0.25">
      <c r="A406" s="5" t="s">
        <v>993</v>
      </c>
      <c r="B406" s="1" t="s">
        <v>994</v>
      </c>
      <c r="E406" s="1" t="s">
        <v>787</v>
      </c>
    </row>
    <row r="407" spans="1:5" x14ac:dyDescent="0.25">
      <c r="A407" s="5" t="s">
        <v>996</v>
      </c>
      <c r="B407" s="1" t="s">
        <v>997</v>
      </c>
      <c r="E407" s="1" t="s">
        <v>787</v>
      </c>
    </row>
    <row r="408" spans="1:5" x14ac:dyDescent="0.25">
      <c r="A408" s="5" t="s">
        <v>1035</v>
      </c>
      <c r="B408" s="1" t="s">
        <v>412</v>
      </c>
      <c r="E408" s="1" t="s">
        <v>787</v>
      </c>
    </row>
    <row r="409" spans="1:5" x14ac:dyDescent="0.25">
      <c r="A409" s="5" t="s">
        <v>1051</v>
      </c>
      <c r="B409" s="1" t="s">
        <v>1052</v>
      </c>
      <c r="E409" s="1" t="s">
        <v>787</v>
      </c>
    </row>
    <row r="410" spans="1:5" x14ac:dyDescent="0.25">
      <c r="A410" s="5" t="s">
        <v>644</v>
      </c>
      <c r="B410" s="1" t="s">
        <v>33</v>
      </c>
      <c r="E410" s="1" t="s">
        <v>787</v>
      </c>
    </row>
    <row r="411" spans="1:5" x14ac:dyDescent="0.25">
      <c r="A411" s="5" t="s">
        <v>1143</v>
      </c>
      <c r="B411" s="1" t="s">
        <v>33</v>
      </c>
      <c r="E411" s="1" t="s">
        <v>787</v>
      </c>
    </row>
    <row r="412" spans="1:5" x14ac:dyDescent="0.25">
      <c r="A412" s="5" t="s">
        <v>810</v>
      </c>
      <c r="B412" s="1" t="s">
        <v>811</v>
      </c>
      <c r="E412" s="1" t="s">
        <v>809</v>
      </c>
    </row>
    <row r="413" spans="1:5" x14ac:dyDescent="0.25">
      <c r="A413" s="5" t="s">
        <v>841</v>
      </c>
      <c r="B413" s="1" t="s">
        <v>842</v>
      </c>
      <c r="E413" s="1" t="s">
        <v>809</v>
      </c>
    </row>
    <row r="414" spans="1:5" x14ac:dyDescent="0.25">
      <c r="A414" s="5" t="s">
        <v>94</v>
      </c>
      <c r="B414" s="1" t="s">
        <v>202</v>
      </c>
      <c r="E414" s="1" t="s">
        <v>809</v>
      </c>
    </row>
    <row r="415" spans="1:5" x14ac:dyDescent="0.25">
      <c r="A415" s="5" t="s">
        <v>883</v>
      </c>
      <c r="B415" s="1" t="s">
        <v>884</v>
      </c>
      <c r="E415" s="1" t="s">
        <v>809</v>
      </c>
    </row>
    <row r="416" spans="1:5" x14ac:dyDescent="0.25">
      <c r="A416" s="5" t="s">
        <v>368</v>
      </c>
      <c r="B416" s="1" t="s">
        <v>362</v>
      </c>
      <c r="E416" s="1" t="s">
        <v>809</v>
      </c>
    </row>
    <row r="417" spans="1:5" x14ac:dyDescent="0.25">
      <c r="A417" s="5" t="s">
        <v>974</v>
      </c>
      <c r="B417" s="1" t="s">
        <v>197</v>
      </c>
      <c r="E417" s="1" t="s">
        <v>809</v>
      </c>
    </row>
    <row r="418" spans="1:5" x14ac:dyDescent="0.25">
      <c r="A418" s="5" t="s">
        <v>211</v>
      </c>
      <c r="B418" s="1" t="s">
        <v>104</v>
      </c>
      <c r="E418" s="1" t="s">
        <v>809</v>
      </c>
    </row>
    <row r="419" spans="1:5" x14ac:dyDescent="0.25">
      <c r="A419" s="5" t="s">
        <v>211</v>
      </c>
      <c r="B419" s="1" t="s">
        <v>1020</v>
      </c>
      <c r="E419" s="1" t="s">
        <v>809</v>
      </c>
    </row>
    <row r="420" spans="1:5" x14ac:dyDescent="0.25">
      <c r="A420" s="5" t="s">
        <v>1039</v>
      </c>
      <c r="B420" s="1" t="s">
        <v>1040</v>
      </c>
      <c r="E420" s="1" t="s">
        <v>809</v>
      </c>
    </row>
    <row r="421" spans="1:5" x14ac:dyDescent="0.25">
      <c r="A421" s="5" t="s">
        <v>1045</v>
      </c>
      <c r="B421" s="1" t="s">
        <v>261</v>
      </c>
      <c r="E421" s="1" t="s">
        <v>809</v>
      </c>
    </row>
    <row r="422" spans="1:5" x14ac:dyDescent="0.25">
      <c r="A422" s="5" t="s">
        <v>1073</v>
      </c>
      <c r="B422" s="1" t="s">
        <v>935</v>
      </c>
      <c r="E422" s="1" t="s">
        <v>809</v>
      </c>
    </row>
    <row r="423" spans="1:5" x14ac:dyDescent="0.25">
      <c r="A423" s="5" t="s">
        <v>1075</v>
      </c>
      <c r="B423" s="1" t="s">
        <v>107</v>
      </c>
      <c r="E423" s="1" t="s">
        <v>809</v>
      </c>
    </row>
    <row r="424" spans="1:5" x14ac:dyDescent="0.25">
      <c r="A424" s="5" t="s">
        <v>1131</v>
      </c>
      <c r="B424" s="1" t="s">
        <v>1132</v>
      </c>
      <c r="E424" s="1" t="s">
        <v>809</v>
      </c>
    </row>
    <row r="425" spans="1:5" x14ac:dyDescent="0.25">
      <c r="A425" s="5" t="s">
        <v>794</v>
      </c>
      <c r="B425" s="1" t="s">
        <v>173</v>
      </c>
      <c r="E425" s="1" t="s">
        <v>793</v>
      </c>
    </row>
    <row r="426" spans="1:5" x14ac:dyDescent="0.25">
      <c r="A426" s="5" t="s">
        <v>835</v>
      </c>
      <c r="B426" s="1" t="s">
        <v>2070</v>
      </c>
      <c r="C426" s="1" t="s">
        <v>37</v>
      </c>
      <c r="E426" s="1" t="s">
        <v>793</v>
      </c>
    </row>
    <row r="427" spans="1:5" x14ac:dyDescent="0.25">
      <c r="A427" s="5" t="s">
        <v>886</v>
      </c>
      <c r="B427" s="1" t="s">
        <v>887</v>
      </c>
      <c r="E427" s="1" t="s">
        <v>793</v>
      </c>
    </row>
    <row r="428" spans="1:5" x14ac:dyDescent="0.25">
      <c r="A428" s="5" t="s">
        <v>902</v>
      </c>
      <c r="B428" s="1" t="s">
        <v>228</v>
      </c>
      <c r="E428" s="1" t="s">
        <v>793</v>
      </c>
    </row>
    <row r="429" spans="1:5" x14ac:dyDescent="0.25">
      <c r="A429" s="5" t="s">
        <v>2153</v>
      </c>
      <c r="B429" s="1" t="s">
        <v>1694</v>
      </c>
      <c r="C429" s="1" t="s">
        <v>935</v>
      </c>
      <c r="E429" s="1" t="s">
        <v>793</v>
      </c>
    </row>
    <row r="430" spans="1:5" x14ac:dyDescent="0.25">
      <c r="A430" s="5" t="s">
        <v>951</v>
      </c>
      <c r="B430" s="1" t="s">
        <v>441</v>
      </c>
      <c r="E430" s="1" t="s">
        <v>793</v>
      </c>
    </row>
    <row r="431" spans="1:5" x14ac:dyDescent="0.25">
      <c r="A431" s="5" t="s">
        <v>968</v>
      </c>
      <c r="B431" s="1" t="s">
        <v>148</v>
      </c>
      <c r="E431" s="1" t="s">
        <v>793</v>
      </c>
    </row>
    <row r="432" spans="1:5" x14ac:dyDescent="0.25">
      <c r="A432" s="5" t="s">
        <v>1113</v>
      </c>
      <c r="B432" s="1" t="s">
        <v>148</v>
      </c>
      <c r="E432" s="1" t="s">
        <v>793</v>
      </c>
    </row>
    <row r="433" spans="1:5" x14ac:dyDescent="0.25">
      <c r="A433" s="5" t="s">
        <v>1139</v>
      </c>
      <c r="B433" s="1" t="s">
        <v>43</v>
      </c>
      <c r="E433" s="1" t="s">
        <v>793</v>
      </c>
    </row>
    <row r="434" spans="1:5" x14ac:dyDescent="0.25">
      <c r="A434" s="5" t="s">
        <v>54</v>
      </c>
      <c r="B434" s="1" t="s">
        <v>55</v>
      </c>
      <c r="E434" s="1" t="s">
        <v>53</v>
      </c>
    </row>
    <row r="435" spans="1:5" x14ac:dyDescent="0.25">
      <c r="A435" s="5" t="s">
        <v>63</v>
      </c>
      <c r="B435" s="1" t="s">
        <v>64</v>
      </c>
      <c r="E435" s="1" t="s">
        <v>53</v>
      </c>
    </row>
    <row r="436" spans="1:5" x14ac:dyDescent="0.25">
      <c r="A436" s="5" t="s">
        <v>66</v>
      </c>
      <c r="B436" s="1" t="s">
        <v>67</v>
      </c>
      <c r="E436" s="1" t="s">
        <v>53</v>
      </c>
    </row>
    <row r="437" spans="1:5" x14ac:dyDescent="0.25">
      <c r="A437" s="5" t="s">
        <v>72</v>
      </c>
      <c r="B437" s="1" t="s">
        <v>73</v>
      </c>
      <c r="E437" s="1" t="s">
        <v>53</v>
      </c>
    </row>
    <row r="438" spans="1:5" x14ac:dyDescent="0.25">
      <c r="A438" s="5" t="s">
        <v>88</v>
      </c>
      <c r="B438" s="1" t="s">
        <v>89</v>
      </c>
      <c r="E438" s="1" t="s">
        <v>53</v>
      </c>
    </row>
    <row r="439" spans="1:5" x14ac:dyDescent="0.25">
      <c r="A439" s="5" t="s">
        <v>101</v>
      </c>
      <c r="B439" s="1" t="s">
        <v>86</v>
      </c>
      <c r="E439" s="1" t="s">
        <v>53</v>
      </c>
    </row>
    <row r="440" spans="1:5" x14ac:dyDescent="0.25">
      <c r="A440" s="5" t="s">
        <v>121</v>
      </c>
      <c r="B440" s="1" t="s">
        <v>122</v>
      </c>
      <c r="E440" s="1" t="s">
        <v>53</v>
      </c>
    </row>
    <row r="441" spans="1:5" x14ac:dyDescent="0.25">
      <c r="A441" s="5" t="s">
        <v>128</v>
      </c>
      <c r="B441" s="1" t="s">
        <v>43</v>
      </c>
      <c r="C441" s="1" t="s">
        <v>689</v>
      </c>
      <c r="E441" s="1" t="s">
        <v>53</v>
      </c>
    </row>
    <row r="442" spans="1:5" x14ac:dyDescent="0.25">
      <c r="A442" s="5" t="s">
        <v>137</v>
      </c>
      <c r="B442" s="1" t="s">
        <v>37</v>
      </c>
      <c r="E442" s="1" t="s">
        <v>53</v>
      </c>
    </row>
    <row r="443" spans="1:5" x14ac:dyDescent="0.25">
      <c r="A443" s="5" t="s">
        <v>2153</v>
      </c>
      <c r="B443" s="1" t="s">
        <v>195</v>
      </c>
      <c r="C443" s="1" t="s">
        <v>148</v>
      </c>
      <c r="E443" s="1" t="s">
        <v>53</v>
      </c>
    </row>
    <row r="444" spans="1:5" x14ac:dyDescent="0.25">
      <c r="A444" s="5" t="s">
        <v>165</v>
      </c>
      <c r="B444" s="1" t="s">
        <v>2173</v>
      </c>
      <c r="C444" s="1" t="s">
        <v>667</v>
      </c>
      <c r="E444" s="1" t="s">
        <v>53</v>
      </c>
    </row>
    <row r="445" spans="1:5" x14ac:dyDescent="0.25">
      <c r="A445" s="5" t="s">
        <v>169</v>
      </c>
      <c r="B445" s="1" t="s">
        <v>170</v>
      </c>
      <c r="E445" s="1" t="s">
        <v>53</v>
      </c>
    </row>
    <row r="446" spans="1:5" x14ac:dyDescent="0.25">
      <c r="A446" s="5" t="s">
        <v>177</v>
      </c>
      <c r="B446" s="1" t="s">
        <v>179</v>
      </c>
      <c r="E446" s="1" t="s">
        <v>53</v>
      </c>
    </row>
    <row r="447" spans="1:5" x14ac:dyDescent="0.25">
      <c r="A447" s="5" t="s">
        <v>185</v>
      </c>
      <c r="B447" s="1" t="s">
        <v>186</v>
      </c>
      <c r="E447" s="1" t="s">
        <v>53</v>
      </c>
    </row>
    <row r="448" spans="1:5" x14ac:dyDescent="0.25">
      <c r="A448" s="5" t="s">
        <v>194</v>
      </c>
      <c r="B448" s="1" t="s">
        <v>195</v>
      </c>
      <c r="E448" s="1" t="s">
        <v>53</v>
      </c>
    </row>
    <row r="449" spans="1:5" x14ac:dyDescent="0.25">
      <c r="A449" s="5" t="s">
        <v>201</v>
      </c>
      <c r="B449" s="1" t="s">
        <v>202</v>
      </c>
      <c r="E449" s="1" t="s">
        <v>53</v>
      </c>
    </row>
    <row r="450" spans="1:5" x14ac:dyDescent="0.25">
      <c r="A450" s="5" t="s">
        <v>251</v>
      </c>
      <c r="B450" s="1" t="s">
        <v>55</v>
      </c>
      <c r="E450" s="1" t="s">
        <v>53</v>
      </c>
    </row>
    <row r="451" spans="1:5" x14ac:dyDescent="0.25">
      <c r="A451" s="5" t="s">
        <v>268</v>
      </c>
      <c r="B451" s="1" t="s">
        <v>91</v>
      </c>
      <c r="E451" s="1" t="s">
        <v>53</v>
      </c>
    </row>
    <row r="452" spans="1:5" x14ac:dyDescent="0.25">
      <c r="A452" s="5" t="s">
        <v>284</v>
      </c>
      <c r="B452" s="1" t="s">
        <v>25</v>
      </c>
      <c r="E452" s="1" t="s">
        <v>53</v>
      </c>
    </row>
    <row r="453" spans="1:5" x14ac:dyDescent="0.25">
      <c r="A453" s="5" t="s">
        <v>40</v>
      </c>
      <c r="B453" s="1" t="s">
        <v>25</v>
      </c>
      <c r="E453" s="1" t="s">
        <v>39</v>
      </c>
    </row>
    <row r="454" spans="1:5" x14ac:dyDescent="0.25">
      <c r="A454" s="5" t="s">
        <v>57</v>
      </c>
      <c r="B454" s="1" t="s">
        <v>58</v>
      </c>
      <c r="E454" s="1" t="s">
        <v>39</v>
      </c>
    </row>
    <row r="455" spans="1:5" x14ac:dyDescent="0.25">
      <c r="A455" s="5" t="s">
        <v>60</v>
      </c>
      <c r="B455" s="1" t="s">
        <v>61</v>
      </c>
      <c r="E455" s="1" t="s">
        <v>39</v>
      </c>
    </row>
    <row r="456" spans="1:5" x14ac:dyDescent="0.25">
      <c r="A456" s="5" t="s">
        <v>106</v>
      </c>
      <c r="B456" s="1" t="s">
        <v>107</v>
      </c>
      <c r="E456" s="1" t="s">
        <v>39</v>
      </c>
    </row>
    <row r="457" spans="1:5" x14ac:dyDescent="0.25">
      <c r="A457" s="5" t="s">
        <v>110</v>
      </c>
      <c r="B457" s="1" t="s">
        <v>91</v>
      </c>
      <c r="E457" s="1" t="s">
        <v>39</v>
      </c>
    </row>
    <row r="458" spans="1:5" x14ac:dyDescent="0.25">
      <c r="A458" s="5" t="s">
        <v>125</v>
      </c>
      <c r="B458" s="1" t="s">
        <v>126</v>
      </c>
      <c r="E458" s="1" t="s">
        <v>39</v>
      </c>
    </row>
    <row r="459" spans="1:5" x14ac:dyDescent="0.25">
      <c r="A459" s="5" t="s">
        <v>141</v>
      </c>
      <c r="B459" s="1" t="s">
        <v>142</v>
      </c>
      <c r="E459" s="1" t="s">
        <v>39</v>
      </c>
    </row>
    <row r="460" spans="1:5" x14ac:dyDescent="0.25">
      <c r="A460" s="5" t="s">
        <v>2174</v>
      </c>
      <c r="B460" s="1" t="s">
        <v>2175</v>
      </c>
      <c r="C460" s="1" t="s">
        <v>144</v>
      </c>
      <c r="E460" s="1" t="s">
        <v>39</v>
      </c>
    </row>
    <row r="461" spans="1:5" x14ac:dyDescent="0.25">
      <c r="A461" s="5" t="s">
        <v>2149</v>
      </c>
      <c r="B461" s="1" t="s">
        <v>119</v>
      </c>
      <c r="C461" s="1" t="s">
        <v>158</v>
      </c>
      <c r="E461" s="1" t="s">
        <v>39</v>
      </c>
    </row>
    <row r="462" spans="1:5" x14ac:dyDescent="0.25">
      <c r="A462" s="5" t="s">
        <v>172</v>
      </c>
      <c r="B462" s="1" t="s">
        <v>173</v>
      </c>
      <c r="E462" s="1" t="s">
        <v>39</v>
      </c>
    </row>
    <row r="463" spans="1:5" x14ac:dyDescent="0.25">
      <c r="A463" s="5" t="s">
        <v>181</v>
      </c>
      <c r="B463" s="1" t="s">
        <v>25</v>
      </c>
      <c r="E463" s="1" t="s">
        <v>39</v>
      </c>
    </row>
    <row r="464" spans="1:5" x14ac:dyDescent="0.25">
      <c r="A464" s="5" t="s">
        <v>219</v>
      </c>
      <c r="B464" s="1" t="s">
        <v>116</v>
      </c>
      <c r="E464" s="1" t="s">
        <v>39</v>
      </c>
    </row>
    <row r="465" spans="1:5" x14ac:dyDescent="0.25">
      <c r="A465" s="5" t="s">
        <v>227</v>
      </c>
      <c r="B465" s="1" t="s">
        <v>228</v>
      </c>
      <c r="E465" s="1" t="s">
        <v>39</v>
      </c>
    </row>
    <row r="466" spans="1:5" x14ac:dyDescent="0.25">
      <c r="A466" s="5" t="s">
        <v>253</v>
      </c>
      <c r="B466" s="1" t="s">
        <v>107</v>
      </c>
      <c r="E466" s="1" t="s">
        <v>39</v>
      </c>
    </row>
    <row r="467" spans="1:5" x14ac:dyDescent="0.25">
      <c r="A467" s="5" t="s">
        <v>32</v>
      </c>
      <c r="B467" s="1" t="s">
        <v>33</v>
      </c>
      <c r="E467" s="1" t="s">
        <v>31</v>
      </c>
    </row>
    <row r="468" spans="1:5" x14ac:dyDescent="0.25">
      <c r="A468" s="5" t="s">
        <v>75</v>
      </c>
      <c r="B468" s="1" t="s">
        <v>76</v>
      </c>
      <c r="E468" s="1" t="s">
        <v>31</v>
      </c>
    </row>
    <row r="469" spans="1:5" x14ac:dyDescent="0.25">
      <c r="A469" s="5" t="s">
        <v>90</v>
      </c>
      <c r="B469" s="1" t="s">
        <v>91</v>
      </c>
      <c r="E469" s="1" t="s">
        <v>31</v>
      </c>
    </row>
    <row r="470" spans="1:5" x14ac:dyDescent="0.25">
      <c r="A470" s="5" t="s">
        <v>100</v>
      </c>
      <c r="B470" s="1" t="s">
        <v>33</v>
      </c>
      <c r="C470" s="1" t="s">
        <v>507</v>
      </c>
      <c r="E470" s="1" t="s">
        <v>31</v>
      </c>
    </row>
    <row r="471" spans="1:5" x14ac:dyDescent="0.25">
      <c r="A471" s="5" t="s">
        <v>103</v>
      </c>
      <c r="B471" s="1" t="s">
        <v>104</v>
      </c>
      <c r="E471" s="1" t="s">
        <v>31</v>
      </c>
    </row>
    <row r="472" spans="1:5" x14ac:dyDescent="0.25">
      <c r="A472" s="5" t="s">
        <v>117</v>
      </c>
      <c r="B472" s="1" t="s">
        <v>107</v>
      </c>
      <c r="E472" s="1" t="s">
        <v>31</v>
      </c>
    </row>
    <row r="473" spans="1:5" x14ac:dyDescent="0.25">
      <c r="A473" s="5" t="s">
        <v>118</v>
      </c>
      <c r="B473" s="1" t="s">
        <v>119</v>
      </c>
      <c r="E473" s="1" t="s">
        <v>31</v>
      </c>
    </row>
    <row r="474" spans="1:5" x14ac:dyDescent="0.25">
      <c r="A474" s="5" t="s">
        <v>130</v>
      </c>
      <c r="B474" s="1" t="s">
        <v>131</v>
      </c>
      <c r="E474" s="1" t="s">
        <v>31</v>
      </c>
    </row>
    <row r="475" spans="1:5" x14ac:dyDescent="0.25">
      <c r="A475" s="5" t="s">
        <v>132</v>
      </c>
      <c r="B475" s="1" t="s">
        <v>1994</v>
      </c>
      <c r="C475" s="1" t="s">
        <v>67</v>
      </c>
      <c r="E475" s="1" t="s">
        <v>31</v>
      </c>
    </row>
    <row r="476" spans="1:5" x14ac:dyDescent="0.25">
      <c r="A476" s="5" t="s">
        <v>146</v>
      </c>
      <c r="B476" s="1" t="s">
        <v>119</v>
      </c>
      <c r="E476" s="1" t="s">
        <v>31</v>
      </c>
    </row>
    <row r="477" spans="1:5" x14ac:dyDescent="0.25">
      <c r="A477" s="5" t="s">
        <v>147</v>
      </c>
      <c r="B477" s="1" t="s">
        <v>23</v>
      </c>
      <c r="E477" s="1" t="s">
        <v>31</v>
      </c>
    </row>
    <row r="478" spans="1:5" x14ac:dyDescent="0.25">
      <c r="A478" s="5" t="s">
        <v>188</v>
      </c>
      <c r="B478" s="1" t="s">
        <v>37</v>
      </c>
      <c r="E478" s="1" t="s">
        <v>31</v>
      </c>
    </row>
    <row r="479" spans="1:5" x14ac:dyDescent="0.25">
      <c r="A479" s="5" t="s">
        <v>199</v>
      </c>
      <c r="B479" s="1" t="s">
        <v>200</v>
      </c>
      <c r="E479" s="1" t="s">
        <v>31</v>
      </c>
    </row>
    <row r="480" spans="1:5" x14ac:dyDescent="0.25">
      <c r="A480" s="5" t="s">
        <v>222</v>
      </c>
      <c r="B480" s="1" t="s">
        <v>119</v>
      </c>
      <c r="E480" s="1" t="s">
        <v>31</v>
      </c>
    </row>
    <row r="481" spans="1:5" x14ac:dyDescent="0.25">
      <c r="A481" s="5" t="s">
        <v>224</v>
      </c>
      <c r="B481" s="1" t="s">
        <v>225</v>
      </c>
      <c r="E481" s="1" t="s">
        <v>31</v>
      </c>
    </row>
    <row r="482" spans="1:5" x14ac:dyDescent="0.25">
      <c r="A482" s="5" t="s">
        <v>233</v>
      </c>
      <c r="B482" s="1" t="s">
        <v>234</v>
      </c>
      <c r="E482" s="1" t="s">
        <v>31</v>
      </c>
    </row>
    <row r="483" spans="1:5" x14ac:dyDescent="0.25">
      <c r="A483" s="5" t="s">
        <v>241</v>
      </c>
      <c r="B483" s="1" t="s">
        <v>119</v>
      </c>
      <c r="E483" s="1" t="s">
        <v>31</v>
      </c>
    </row>
    <row r="484" spans="1:5" x14ac:dyDescent="0.25">
      <c r="A484" s="5" t="s">
        <v>257</v>
      </c>
      <c r="B484" s="1" t="s">
        <v>258</v>
      </c>
      <c r="E484" s="1" t="s">
        <v>31</v>
      </c>
    </row>
    <row r="485" spans="1:5" x14ac:dyDescent="0.25">
      <c r="A485" s="5" t="s">
        <v>270</v>
      </c>
      <c r="B485" s="1" t="s">
        <v>73</v>
      </c>
      <c r="E485" s="1" t="s">
        <v>31</v>
      </c>
    </row>
    <row r="486" spans="1:5" x14ac:dyDescent="0.25">
      <c r="A486" s="5" t="s">
        <v>277</v>
      </c>
      <c r="B486" s="1" t="s">
        <v>278</v>
      </c>
      <c r="E486" s="1" t="s">
        <v>31</v>
      </c>
    </row>
    <row r="487" spans="1:5" x14ac:dyDescent="0.25">
      <c r="A487" s="5" t="s">
        <v>280</v>
      </c>
      <c r="B487" s="1" t="s">
        <v>192</v>
      </c>
      <c r="E487" s="1" t="s">
        <v>31</v>
      </c>
    </row>
    <row r="488" spans="1:5" x14ac:dyDescent="0.25">
      <c r="A488" s="5" t="s">
        <v>286</v>
      </c>
      <c r="B488" s="1" t="s">
        <v>200</v>
      </c>
      <c r="E488" s="1" t="s">
        <v>31</v>
      </c>
    </row>
    <row r="489" spans="1:5" x14ac:dyDescent="0.25">
      <c r="A489" s="5" t="s">
        <v>287</v>
      </c>
      <c r="B489" s="1" t="s">
        <v>33</v>
      </c>
      <c r="E489" s="1" t="s">
        <v>31</v>
      </c>
    </row>
    <row r="490" spans="1:5" x14ac:dyDescent="0.25">
      <c r="A490" s="5" t="s">
        <v>50</v>
      </c>
      <c r="B490" s="1" t="s">
        <v>747</v>
      </c>
      <c r="C490" s="1" t="s">
        <v>1694</v>
      </c>
      <c r="E490" s="1" t="s">
        <v>49</v>
      </c>
    </row>
    <row r="491" spans="1:5" x14ac:dyDescent="0.25">
      <c r="A491" s="5" t="s">
        <v>82</v>
      </c>
      <c r="B491" s="1" t="s">
        <v>83</v>
      </c>
      <c r="E491" s="1" t="s">
        <v>49</v>
      </c>
    </row>
    <row r="492" spans="1:5" x14ac:dyDescent="0.25">
      <c r="A492" s="5" t="s">
        <v>2176</v>
      </c>
      <c r="B492" s="1" t="s">
        <v>2153</v>
      </c>
      <c r="C492" s="1" t="s">
        <v>2177</v>
      </c>
      <c r="D492" s="1" t="s">
        <v>67</v>
      </c>
      <c r="E492" s="1" t="s">
        <v>49</v>
      </c>
    </row>
    <row r="493" spans="1:5" x14ac:dyDescent="0.25">
      <c r="A493" s="5" t="s">
        <v>124</v>
      </c>
      <c r="B493" s="1" t="s">
        <v>91</v>
      </c>
      <c r="E493" s="1" t="s">
        <v>49</v>
      </c>
    </row>
    <row r="494" spans="1:5" x14ac:dyDescent="0.25">
      <c r="A494" s="5" t="s">
        <v>134</v>
      </c>
      <c r="B494" s="1" t="s">
        <v>135</v>
      </c>
      <c r="E494" s="1" t="s">
        <v>49</v>
      </c>
    </row>
    <row r="495" spans="1:5" x14ac:dyDescent="0.25">
      <c r="A495" s="5" t="s">
        <v>161</v>
      </c>
      <c r="B495" s="1" t="s">
        <v>80</v>
      </c>
      <c r="E495" s="1" t="s">
        <v>49</v>
      </c>
    </row>
    <row r="496" spans="1:5" x14ac:dyDescent="0.25">
      <c r="A496" s="5" t="s">
        <v>162</v>
      </c>
      <c r="B496" s="1" t="s">
        <v>163</v>
      </c>
      <c r="E496" s="1" t="s">
        <v>49</v>
      </c>
    </row>
    <row r="497" spans="1:5" x14ac:dyDescent="0.25">
      <c r="A497" s="5" t="s">
        <v>163</v>
      </c>
      <c r="B497" s="1" t="s">
        <v>175</v>
      </c>
      <c r="E497" s="1" t="s">
        <v>49</v>
      </c>
    </row>
    <row r="498" spans="1:5" x14ac:dyDescent="0.25">
      <c r="A498" s="5" t="s">
        <v>207</v>
      </c>
      <c r="B498" s="1" t="s">
        <v>30</v>
      </c>
      <c r="E498" s="1" t="s">
        <v>49</v>
      </c>
    </row>
    <row r="499" spans="1:5" x14ac:dyDescent="0.25">
      <c r="A499" s="5" t="s">
        <v>217</v>
      </c>
      <c r="B499" s="1" t="s">
        <v>2178</v>
      </c>
      <c r="C499" s="1" t="s">
        <v>412</v>
      </c>
      <c r="E499" s="1" t="s">
        <v>49</v>
      </c>
    </row>
    <row r="500" spans="1:5" x14ac:dyDescent="0.25">
      <c r="A500" s="5" t="s">
        <v>238</v>
      </c>
      <c r="B500" s="1" t="s">
        <v>239</v>
      </c>
      <c r="E500" s="1" t="s">
        <v>49</v>
      </c>
    </row>
    <row r="501" spans="1:5" x14ac:dyDescent="0.25">
      <c r="A501" s="5" t="s">
        <v>248</v>
      </c>
      <c r="B501" s="1" t="s">
        <v>249</v>
      </c>
      <c r="E501" s="1" t="s">
        <v>49</v>
      </c>
    </row>
    <row r="502" spans="1:5" x14ac:dyDescent="0.25">
      <c r="A502" s="5" t="s">
        <v>260</v>
      </c>
      <c r="B502" s="1" t="s">
        <v>261</v>
      </c>
      <c r="E502" s="1" t="s">
        <v>49</v>
      </c>
    </row>
    <row r="503" spans="1:5" x14ac:dyDescent="0.25">
      <c r="A503" s="5" t="s">
        <v>263</v>
      </c>
      <c r="B503" s="1" t="s">
        <v>264</v>
      </c>
      <c r="E503" s="1" t="s">
        <v>49</v>
      </c>
    </row>
    <row r="504" spans="1:5" x14ac:dyDescent="0.25">
      <c r="A504" s="5" t="s">
        <v>266</v>
      </c>
      <c r="B504" s="1" t="s">
        <v>173</v>
      </c>
      <c r="E504" s="1" t="s">
        <v>49</v>
      </c>
    </row>
    <row r="505" spans="1:5" x14ac:dyDescent="0.25">
      <c r="A505" s="5" t="s">
        <v>275</v>
      </c>
      <c r="B505" s="1" t="s">
        <v>276</v>
      </c>
      <c r="E505" s="1" t="s">
        <v>49</v>
      </c>
    </row>
    <row r="506" spans="1:5" x14ac:dyDescent="0.25">
      <c r="A506" s="5" t="s">
        <v>281</v>
      </c>
      <c r="B506" s="1" t="s">
        <v>282</v>
      </c>
      <c r="E506" s="1" t="s">
        <v>49</v>
      </c>
    </row>
    <row r="507" spans="1:5" x14ac:dyDescent="0.25">
      <c r="A507" s="5" t="s">
        <v>46</v>
      </c>
      <c r="B507" s="1" t="s">
        <v>47</v>
      </c>
      <c r="E507" s="1" t="s">
        <v>45</v>
      </c>
    </row>
    <row r="508" spans="1:5" x14ac:dyDescent="0.25">
      <c r="A508" s="5" t="s">
        <v>2179</v>
      </c>
      <c r="B508" s="1" t="s">
        <v>2180</v>
      </c>
      <c r="C508" s="1" t="s">
        <v>112</v>
      </c>
      <c r="E508" s="1" t="s">
        <v>45</v>
      </c>
    </row>
    <row r="509" spans="1:5" x14ac:dyDescent="0.25">
      <c r="A509" s="5" t="s">
        <v>139</v>
      </c>
      <c r="B509" s="1" t="s">
        <v>316</v>
      </c>
      <c r="C509" s="1" t="s">
        <v>1694</v>
      </c>
      <c r="E509" s="1" t="s">
        <v>45</v>
      </c>
    </row>
    <row r="510" spans="1:5" x14ac:dyDescent="0.25">
      <c r="A510" s="5" t="s">
        <v>159</v>
      </c>
      <c r="B510" s="1" t="s">
        <v>73</v>
      </c>
      <c r="E510" s="1" t="s">
        <v>45</v>
      </c>
    </row>
    <row r="511" spans="1:5" x14ac:dyDescent="0.25">
      <c r="A511" s="5" t="s">
        <v>189</v>
      </c>
      <c r="B511" s="1" t="s">
        <v>27</v>
      </c>
      <c r="E511" s="1" t="s">
        <v>45</v>
      </c>
    </row>
    <row r="512" spans="1:5" x14ac:dyDescent="0.25">
      <c r="A512" s="5" t="s">
        <v>204</v>
      </c>
      <c r="B512" s="1" t="s">
        <v>43</v>
      </c>
      <c r="E512" s="1" t="s">
        <v>45</v>
      </c>
    </row>
    <row r="513" spans="1:5" x14ac:dyDescent="0.25">
      <c r="A513" s="5" t="s">
        <v>205</v>
      </c>
      <c r="B513" s="1" t="s">
        <v>25</v>
      </c>
      <c r="E513" s="1" t="s">
        <v>45</v>
      </c>
    </row>
    <row r="514" spans="1:5" x14ac:dyDescent="0.25">
      <c r="A514" s="5" t="s">
        <v>221</v>
      </c>
      <c r="B514" s="1" t="s">
        <v>107</v>
      </c>
      <c r="E514" s="1" t="s">
        <v>45</v>
      </c>
    </row>
    <row r="515" spans="1:5" x14ac:dyDescent="0.25">
      <c r="A515" s="5" t="s">
        <v>230</v>
      </c>
      <c r="B515" s="1" t="s">
        <v>231</v>
      </c>
      <c r="E515" s="1" t="s">
        <v>45</v>
      </c>
    </row>
    <row r="516" spans="1:5" x14ac:dyDescent="0.25">
      <c r="A516" s="5" t="s">
        <v>243</v>
      </c>
      <c r="B516" s="1" t="s">
        <v>33</v>
      </c>
      <c r="E516" s="1" t="s">
        <v>45</v>
      </c>
    </row>
    <row r="517" spans="1:5" x14ac:dyDescent="0.25">
      <c r="A517" s="5" t="s">
        <v>42</v>
      </c>
      <c r="B517" s="1" t="s">
        <v>43</v>
      </c>
      <c r="E517" s="1" t="s">
        <v>41</v>
      </c>
    </row>
    <row r="518" spans="1:5" x14ac:dyDescent="0.25">
      <c r="A518" s="5" t="s">
        <v>65</v>
      </c>
      <c r="B518" s="1" t="s">
        <v>334</v>
      </c>
      <c r="C518" s="1" t="s">
        <v>2181</v>
      </c>
      <c r="E518" s="1" t="s">
        <v>41</v>
      </c>
    </row>
    <row r="519" spans="1:5" x14ac:dyDescent="0.25">
      <c r="A519" s="5" t="s">
        <v>69</v>
      </c>
      <c r="B519" s="1" t="s">
        <v>70</v>
      </c>
      <c r="E519" s="1" t="s">
        <v>41</v>
      </c>
    </row>
    <row r="520" spans="1:5" x14ac:dyDescent="0.25">
      <c r="A520" s="5" t="s">
        <v>98</v>
      </c>
      <c r="B520" s="1" t="s">
        <v>99</v>
      </c>
      <c r="E520" s="1" t="s">
        <v>41</v>
      </c>
    </row>
    <row r="521" spans="1:5" x14ac:dyDescent="0.25">
      <c r="A521" s="5" t="s">
        <v>113</v>
      </c>
      <c r="B521" s="1" t="s">
        <v>114</v>
      </c>
      <c r="E521" s="1" t="s">
        <v>41</v>
      </c>
    </row>
    <row r="522" spans="1:5" x14ac:dyDescent="0.25">
      <c r="A522" s="5" t="s">
        <v>115</v>
      </c>
      <c r="B522" s="1" t="s">
        <v>116</v>
      </c>
      <c r="E522" s="1" t="s">
        <v>41</v>
      </c>
    </row>
    <row r="523" spans="1:5" x14ac:dyDescent="0.25">
      <c r="A523" s="5" t="s">
        <v>191</v>
      </c>
      <c r="B523" s="1" t="s">
        <v>192</v>
      </c>
      <c r="E523" s="1" t="s">
        <v>41</v>
      </c>
    </row>
    <row r="524" spans="1:5" x14ac:dyDescent="0.25">
      <c r="A524" s="5" t="s">
        <v>209</v>
      </c>
      <c r="B524" s="1" t="s">
        <v>210</v>
      </c>
      <c r="E524" s="1" t="s">
        <v>41</v>
      </c>
    </row>
    <row r="525" spans="1:5" x14ac:dyDescent="0.25">
      <c r="A525" s="5" t="s">
        <v>211</v>
      </c>
      <c r="B525" s="1" t="s">
        <v>37</v>
      </c>
      <c r="E525" s="1" t="s">
        <v>41</v>
      </c>
    </row>
    <row r="526" spans="1:5" x14ac:dyDescent="0.25">
      <c r="A526" s="5" t="s">
        <v>236</v>
      </c>
      <c r="B526" s="1" t="s">
        <v>237</v>
      </c>
      <c r="E526" s="1" t="s">
        <v>41</v>
      </c>
    </row>
    <row r="527" spans="1:5" x14ac:dyDescent="0.25">
      <c r="A527" s="5" t="s">
        <v>245</v>
      </c>
      <c r="B527" s="1" t="s">
        <v>246</v>
      </c>
      <c r="E527" s="1" t="s">
        <v>41</v>
      </c>
    </row>
    <row r="528" spans="1:5" x14ac:dyDescent="0.25">
      <c r="A528" s="5" t="s">
        <v>255</v>
      </c>
      <c r="B528" s="1" t="s">
        <v>27</v>
      </c>
      <c r="E528" s="1" t="s">
        <v>41</v>
      </c>
    </row>
    <row r="529" spans="1:5" x14ac:dyDescent="0.25">
      <c r="A529" s="5" t="s">
        <v>272</v>
      </c>
      <c r="B529" s="1" t="s">
        <v>273</v>
      </c>
      <c r="E529" s="1" t="s">
        <v>41</v>
      </c>
    </row>
    <row r="530" spans="1:5" x14ac:dyDescent="0.25">
      <c r="A530" s="5" t="s">
        <v>36</v>
      </c>
      <c r="B530" s="1" t="s">
        <v>37</v>
      </c>
      <c r="E530" s="1" t="s">
        <v>35</v>
      </c>
    </row>
    <row r="531" spans="1:5" x14ac:dyDescent="0.25">
      <c r="A531" s="5" t="s">
        <v>79</v>
      </c>
      <c r="B531" s="1" t="s">
        <v>80</v>
      </c>
      <c r="E531" s="1" t="s">
        <v>35</v>
      </c>
    </row>
    <row r="532" spans="1:5" x14ac:dyDescent="0.25">
      <c r="A532" s="5" t="s">
        <v>85</v>
      </c>
      <c r="B532" s="1" t="s">
        <v>86</v>
      </c>
      <c r="E532" s="1" t="s">
        <v>35</v>
      </c>
    </row>
    <row r="533" spans="1:5" x14ac:dyDescent="0.25">
      <c r="A533" s="5" t="s">
        <v>92</v>
      </c>
      <c r="B533" s="1" t="s">
        <v>89</v>
      </c>
      <c r="E533" s="1" t="s">
        <v>35</v>
      </c>
    </row>
    <row r="534" spans="1:5" x14ac:dyDescent="0.25">
      <c r="A534" s="5" t="s">
        <v>94</v>
      </c>
      <c r="B534" s="1" t="s">
        <v>95</v>
      </c>
      <c r="E534" s="1" t="s">
        <v>35</v>
      </c>
    </row>
    <row r="535" spans="1:5" x14ac:dyDescent="0.25">
      <c r="A535" s="5" t="s">
        <v>2182</v>
      </c>
      <c r="B535" s="1" t="s">
        <v>2183</v>
      </c>
      <c r="C535" s="1" t="s">
        <v>484</v>
      </c>
      <c r="D535" s="1" t="s">
        <v>1694</v>
      </c>
      <c r="E535" s="1" t="s">
        <v>35</v>
      </c>
    </row>
    <row r="536" spans="1:5" x14ac:dyDescent="0.25">
      <c r="A536" s="5" t="s">
        <v>2159</v>
      </c>
      <c r="B536" s="1" t="s">
        <v>2184</v>
      </c>
      <c r="C536" s="1" t="s">
        <v>154</v>
      </c>
      <c r="E536" s="1" t="s">
        <v>35</v>
      </c>
    </row>
    <row r="537" spans="1:5" x14ac:dyDescent="0.25">
      <c r="A537" s="5" t="s">
        <v>2149</v>
      </c>
      <c r="B537" s="1" t="s">
        <v>2185</v>
      </c>
      <c r="C537" s="1" t="s">
        <v>173</v>
      </c>
      <c r="D537" s="1" t="s">
        <v>43</v>
      </c>
      <c r="E537" s="1" t="s">
        <v>35</v>
      </c>
    </row>
    <row r="538" spans="1:5" x14ac:dyDescent="0.25">
      <c r="A538" s="5" t="s">
        <v>167</v>
      </c>
      <c r="B538" s="1" t="s">
        <v>25</v>
      </c>
      <c r="C538" s="1" t="s">
        <v>2186</v>
      </c>
      <c r="E538" s="1" t="s">
        <v>35</v>
      </c>
    </row>
    <row r="539" spans="1:5" x14ac:dyDescent="0.25">
      <c r="A539" s="5" t="s">
        <v>177</v>
      </c>
      <c r="B539" s="1" t="s">
        <v>91</v>
      </c>
      <c r="E539" s="1" t="s">
        <v>35</v>
      </c>
    </row>
    <row r="540" spans="1:5" x14ac:dyDescent="0.25">
      <c r="A540" s="5" t="s">
        <v>183</v>
      </c>
      <c r="B540" s="1" t="s">
        <v>55</v>
      </c>
      <c r="E540" s="1" t="s">
        <v>35</v>
      </c>
    </row>
    <row r="541" spans="1:5" x14ac:dyDescent="0.25">
      <c r="A541" s="5" t="s">
        <v>196</v>
      </c>
      <c r="B541" s="1" t="s">
        <v>197</v>
      </c>
      <c r="E541" s="1" t="s">
        <v>35</v>
      </c>
    </row>
    <row r="542" spans="1:5" x14ac:dyDescent="0.25">
      <c r="A542" s="5" t="s">
        <v>213</v>
      </c>
      <c r="B542" s="1" t="s">
        <v>73</v>
      </c>
      <c r="E542" s="1" t="s">
        <v>35</v>
      </c>
    </row>
    <row r="543" spans="1:5" x14ac:dyDescent="0.25">
      <c r="A543" s="5" t="s">
        <v>213</v>
      </c>
      <c r="B543" s="1" t="s">
        <v>215</v>
      </c>
      <c r="E543" s="1" t="s">
        <v>35</v>
      </c>
    </row>
    <row r="544" spans="1:5" x14ac:dyDescent="0.25">
      <c r="A544" s="5" t="s">
        <v>259</v>
      </c>
      <c r="B544" s="1" t="s">
        <v>25</v>
      </c>
      <c r="E544" s="1" t="s">
        <v>35</v>
      </c>
    </row>
    <row r="545" spans="1:5" x14ac:dyDescent="0.25">
      <c r="A545" s="5" t="s">
        <v>7</v>
      </c>
      <c r="B545" s="1" t="s">
        <v>8</v>
      </c>
      <c r="E545" s="1" t="s">
        <v>11</v>
      </c>
    </row>
    <row r="546" spans="1:5" x14ac:dyDescent="0.25">
      <c r="A546" s="5" t="s">
        <v>12</v>
      </c>
      <c r="B546" s="1" t="s">
        <v>412</v>
      </c>
      <c r="C546" s="1" t="s">
        <v>2018</v>
      </c>
      <c r="E546" s="1" t="s">
        <v>11</v>
      </c>
    </row>
    <row r="547" spans="1:5" x14ac:dyDescent="0.25">
      <c r="A547" s="5" t="s">
        <v>15</v>
      </c>
      <c r="B547" s="1" t="s">
        <v>16</v>
      </c>
      <c r="E547" s="1" t="s">
        <v>11</v>
      </c>
    </row>
    <row r="548" spans="1:5" x14ac:dyDescent="0.25">
      <c r="A548" s="5" t="s">
        <v>19</v>
      </c>
      <c r="B548" s="1" t="s">
        <v>2164</v>
      </c>
      <c r="C548" s="1" t="s">
        <v>2178</v>
      </c>
      <c r="E548" s="1" t="s">
        <v>11</v>
      </c>
    </row>
    <row r="549" spans="1:5" x14ac:dyDescent="0.25">
      <c r="A549" s="5" t="s">
        <v>20</v>
      </c>
      <c r="B549" s="1" t="s">
        <v>21</v>
      </c>
      <c r="E549" s="1" t="s">
        <v>11</v>
      </c>
    </row>
    <row r="550" spans="1:5" x14ac:dyDescent="0.25">
      <c r="A550" s="5" t="s">
        <v>22</v>
      </c>
      <c r="B550" s="1" t="s">
        <v>23</v>
      </c>
      <c r="E550" s="1" t="s">
        <v>11</v>
      </c>
    </row>
    <row r="551" spans="1:5" x14ac:dyDescent="0.25">
      <c r="A551" s="5" t="s">
        <v>24</v>
      </c>
      <c r="B551" s="1" t="s">
        <v>25</v>
      </c>
      <c r="E551" s="1" t="s">
        <v>11</v>
      </c>
    </row>
    <row r="552" spans="1:5" x14ac:dyDescent="0.25">
      <c r="A552" s="5" t="s">
        <v>26</v>
      </c>
      <c r="B552" s="1" t="s">
        <v>27</v>
      </c>
      <c r="E552" s="1" t="s">
        <v>11</v>
      </c>
    </row>
    <row r="553" spans="1:5" x14ac:dyDescent="0.25">
      <c r="A553" s="5" t="s">
        <v>1149</v>
      </c>
      <c r="B553" s="1" t="s">
        <v>173</v>
      </c>
      <c r="E553" s="1" t="s">
        <v>1148</v>
      </c>
    </row>
    <row r="554" spans="1:5" x14ac:dyDescent="0.25">
      <c r="A554" s="5" t="s">
        <v>1170</v>
      </c>
      <c r="B554" s="1" t="s">
        <v>55</v>
      </c>
      <c r="E554" s="1" t="s">
        <v>1148</v>
      </c>
    </row>
    <row r="555" spans="1:5" x14ac:dyDescent="0.25">
      <c r="A555" s="5" t="s">
        <v>1190</v>
      </c>
      <c r="B555" s="1" t="s">
        <v>73</v>
      </c>
      <c r="E555" s="1" t="s">
        <v>1148</v>
      </c>
    </row>
    <row r="556" spans="1:5" x14ac:dyDescent="0.25">
      <c r="A556" s="5" t="s">
        <v>1192</v>
      </c>
      <c r="B556" s="1" t="s">
        <v>412</v>
      </c>
      <c r="C556" s="1" t="s">
        <v>67</v>
      </c>
      <c r="E556" s="1" t="s">
        <v>1148</v>
      </c>
    </row>
    <row r="557" spans="1:5" x14ac:dyDescent="0.25">
      <c r="A557" s="5" t="s">
        <v>1205</v>
      </c>
      <c r="B557" s="1" t="s">
        <v>261</v>
      </c>
      <c r="E557" s="1" t="s">
        <v>1148</v>
      </c>
    </row>
    <row r="558" spans="1:5" x14ac:dyDescent="0.25">
      <c r="A558" s="5" t="s">
        <v>1209</v>
      </c>
      <c r="B558" s="1" t="s">
        <v>334</v>
      </c>
      <c r="E558" s="1" t="s">
        <v>1148</v>
      </c>
    </row>
    <row r="559" spans="1:5" x14ac:dyDescent="0.25">
      <c r="A559" s="5" t="s">
        <v>1219</v>
      </c>
      <c r="B559" s="1" t="s">
        <v>515</v>
      </c>
      <c r="E559" s="1" t="s">
        <v>1148</v>
      </c>
    </row>
    <row r="560" spans="1:5" x14ac:dyDescent="0.25">
      <c r="A560" s="5" t="s">
        <v>1227</v>
      </c>
      <c r="B560" s="1" t="s">
        <v>1228</v>
      </c>
      <c r="E560" s="1" t="s">
        <v>1148</v>
      </c>
    </row>
    <row r="561" spans="1:5" x14ac:dyDescent="0.25">
      <c r="A561" s="5" t="s">
        <v>1230</v>
      </c>
      <c r="B561" s="1" t="s">
        <v>225</v>
      </c>
      <c r="E561" s="1" t="s">
        <v>1148</v>
      </c>
    </row>
    <row r="562" spans="1:5" x14ac:dyDescent="0.25">
      <c r="A562" s="5" t="s">
        <v>1232</v>
      </c>
      <c r="B562" s="1" t="s">
        <v>1233</v>
      </c>
      <c r="E562" s="1" t="s">
        <v>1148</v>
      </c>
    </row>
    <row r="563" spans="1:5" x14ac:dyDescent="0.25">
      <c r="A563" s="5" t="s">
        <v>1235</v>
      </c>
      <c r="B563" s="1" t="s">
        <v>412</v>
      </c>
      <c r="E563" s="1" t="s">
        <v>1148</v>
      </c>
    </row>
    <row r="564" spans="1:5" x14ac:dyDescent="0.25">
      <c r="A564" s="5" t="s">
        <v>1242</v>
      </c>
      <c r="B564" s="1" t="s">
        <v>1243</v>
      </c>
      <c r="E564" s="1" t="s">
        <v>1148</v>
      </c>
    </row>
    <row r="565" spans="1:5" x14ac:dyDescent="0.25">
      <c r="A565" s="5" t="s">
        <v>1246</v>
      </c>
      <c r="B565" s="1" t="s">
        <v>847</v>
      </c>
      <c r="E565" s="1" t="s">
        <v>1148</v>
      </c>
    </row>
    <row r="566" spans="1:5" x14ac:dyDescent="0.25">
      <c r="A566" s="5" t="s">
        <v>27</v>
      </c>
      <c r="B566" s="1" t="s">
        <v>261</v>
      </c>
      <c r="E566" s="1" t="s">
        <v>1153</v>
      </c>
    </row>
    <row r="567" spans="1:5" x14ac:dyDescent="0.25">
      <c r="A567" s="5" t="s">
        <v>1160</v>
      </c>
      <c r="B567" s="1" t="s">
        <v>1161</v>
      </c>
      <c r="E567" s="1" t="s">
        <v>1153</v>
      </c>
    </row>
    <row r="568" spans="1:5" x14ac:dyDescent="0.25">
      <c r="A568" s="5" t="s">
        <v>1167</v>
      </c>
      <c r="B568" s="1" t="s">
        <v>462</v>
      </c>
      <c r="E568" s="1" t="s">
        <v>1153</v>
      </c>
    </row>
    <row r="569" spans="1:5" x14ac:dyDescent="0.25">
      <c r="A569" s="5" t="s">
        <v>1168</v>
      </c>
      <c r="B569" s="1" t="s">
        <v>1169</v>
      </c>
      <c r="E569" s="1" t="s">
        <v>1153</v>
      </c>
    </row>
    <row r="570" spans="1:5" x14ac:dyDescent="0.25">
      <c r="A570" s="5" t="s">
        <v>1174</v>
      </c>
      <c r="B570" s="1" t="s">
        <v>617</v>
      </c>
      <c r="E570" s="1" t="s">
        <v>1153</v>
      </c>
    </row>
    <row r="571" spans="1:5" x14ac:dyDescent="0.25">
      <c r="A571" s="5" t="s">
        <v>1184</v>
      </c>
      <c r="B571" s="1" t="s">
        <v>1185</v>
      </c>
      <c r="E571" s="1" t="s">
        <v>1153</v>
      </c>
    </row>
    <row r="572" spans="1:5" x14ac:dyDescent="0.25">
      <c r="A572" s="5" t="s">
        <v>1186</v>
      </c>
      <c r="B572" s="1" t="s">
        <v>86</v>
      </c>
      <c r="E572" s="1" t="s">
        <v>1153</v>
      </c>
    </row>
    <row r="573" spans="1:5" x14ac:dyDescent="0.25">
      <c r="A573" s="5" t="s">
        <v>1194</v>
      </c>
      <c r="B573" s="1" t="s">
        <v>334</v>
      </c>
      <c r="E573" s="1" t="s">
        <v>1153</v>
      </c>
    </row>
    <row r="574" spans="1:5" x14ac:dyDescent="0.25">
      <c r="A574" s="5" t="s">
        <v>1197</v>
      </c>
      <c r="B574" s="1" t="s">
        <v>33</v>
      </c>
      <c r="E574" s="1" t="s">
        <v>1153</v>
      </c>
    </row>
    <row r="575" spans="1:5" x14ac:dyDescent="0.25">
      <c r="A575" s="5" t="s">
        <v>1201</v>
      </c>
      <c r="B575" s="1" t="s">
        <v>107</v>
      </c>
      <c r="E575" s="1" t="s">
        <v>1153</v>
      </c>
    </row>
    <row r="576" spans="1:5" x14ac:dyDescent="0.25">
      <c r="A576" s="5" t="s">
        <v>1203</v>
      </c>
      <c r="B576" s="1" t="s">
        <v>292</v>
      </c>
      <c r="E576" s="1" t="s">
        <v>1153</v>
      </c>
    </row>
    <row r="577" spans="1:5" x14ac:dyDescent="0.25">
      <c r="A577" s="5" t="s">
        <v>1211</v>
      </c>
      <c r="B577" s="1" t="s">
        <v>148</v>
      </c>
      <c r="E577" s="1" t="s">
        <v>1153</v>
      </c>
    </row>
    <row r="578" spans="1:5" x14ac:dyDescent="0.25">
      <c r="A578" s="5" t="s">
        <v>1237</v>
      </c>
      <c r="B578" s="1" t="s">
        <v>954</v>
      </c>
      <c r="E578" s="1" t="s">
        <v>1153</v>
      </c>
    </row>
    <row r="579" spans="1:5" x14ac:dyDescent="0.25">
      <c r="A579" s="5" t="s">
        <v>1241</v>
      </c>
      <c r="B579" s="1" t="s">
        <v>225</v>
      </c>
      <c r="E579" s="1" t="s">
        <v>1153</v>
      </c>
    </row>
    <row r="580" spans="1:5" x14ac:dyDescent="0.25">
      <c r="A580" s="5" t="s">
        <v>1244</v>
      </c>
      <c r="B580" s="1" t="s">
        <v>432</v>
      </c>
      <c r="E580" s="1" t="s">
        <v>1153</v>
      </c>
    </row>
    <row r="581" spans="1:5" x14ac:dyDescent="0.25">
      <c r="A581" s="5" t="s">
        <v>1156</v>
      </c>
      <c r="B581" s="1" t="s">
        <v>8</v>
      </c>
      <c r="C581" s="1" t="s">
        <v>384</v>
      </c>
      <c r="E581" s="1" t="s">
        <v>1155</v>
      </c>
    </row>
    <row r="582" spans="1:5" x14ac:dyDescent="0.25">
      <c r="A582" s="5" t="s">
        <v>1162</v>
      </c>
      <c r="B582" s="1" t="s">
        <v>33</v>
      </c>
      <c r="E582" s="1" t="s">
        <v>1155</v>
      </c>
    </row>
    <row r="583" spans="1:5" x14ac:dyDescent="0.25">
      <c r="A583" s="5" t="s">
        <v>1164</v>
      </c>
      <c r="B583" s="1" t="s">
        <v>91</v>
      </c>
      <c r="E583" s="1" t="s">
        <v>1155</v>
      </c>
    </row>
    <row r="584" spans="1:5" x14ac:dyDescent="0.25">
      <c r="A584" s="5" t="s">
        <v>1166</v>
      </c>
      <c r="B584" s="1" t="s">
        <v>135</v>
      </c>
      <c r="E584" s="1" t="s">
        <v>1155</v>
      </c>
    </row>
    <row r="585" spans="1:5" x14ac:dyDescent="0.25">
      <c r="A585" s="5" t="s">
        <v>1180</v>
      </c>
      <c r="B585" s="1" t="s">
        <v>412</v>
      </c>
      <c r="E585" s="1" t="s">
        <v>1155</v>
      </c>
    </row>
    <row r="586" spans="1:5" x14ac:dyDescent="0.25">
      <c r="A586" s="5" t="s">
        <v>1182</v>
      </c>
      <c r="B586" s="1" t="s">
        <v>27</v>
      </c>
      <c r="E586" s="1" t="s">
        <v>1155</v>
      </c>
    </row>
    <row r="587" spans="1:5" x14ac:dyDescent="0.25">
      <c r="A587" s="5" t="s">
        <v>1207</v>
      </c>
      <c r="B587" s="1" t="s">
        <v>119</v>
      </c>
      <c r="E587" s="1" t="s">
        <v>1155</v>
      </c>
    </row>
    <row r="588" spans="1:5" x14ac:dyDescent="0.25">
      <c r="A588" s="5" t="s">
        <v>1215</v>
      </c>
      <c r="B588" s="1" t="s">
        <v>228</v>
      </c>
      <c r="E588" s="1" t="s">
        <v>1155</v>
      </c>
    </row>
    <row r="589" spans="1:5" x14ac:dyDescent="0.25">
      <c r="A589" s="5" t="s">
        <v>1221</v>
      </c>
      <c r="B589" s="1" t="s">
        <v>126</v>
      </c>
      <c r="E589" s="1" t="s">
        <v>1155</v>
      </c>
    </row>
    <row r="590" spans="1:5" x14ac:dyDescent="0.25">
      <c r="A590" s="5" t="s">
        <v>386</v>
      </c>
      <c r="B590" s="1" t="s">
        <v>2070</v>
      </c>
      <c r="C590" s="1" t="s">
        <v>1694</v>
      </c>
      <c r="E590" s="1" t="s">
        <v>1151</v>
      </c>
    </row>
    <row r="591" spans="1:5" x14ac:dyDescent="0.25">
      <c r="A591" s="5" t="s">
        <v>1158</v>
      </c>
      <c r="B591" s="1" t="s">
        <v>25</v>
      </c>
      <c r="E591" s="1" t="s">
        <v>1151</v>
      </c>
    </row>
    <row r="592" spans="1:5" x14ac:dyDescent="0.25">
      <c r="A592" s="5" t="s">
        <v>1172</v>
      </c>
      <c r="B592" s="1" t="s">
        <v>119</v>
      </c>
      <c r="E592" s="1" t="s">
        <v>1151</v>
      </c>
    </row>
    <row r="593" spans="1:5" x14ac:dyDescent="0.25">
      <c r="A593" s="5" t="s">
        <v>368</v>
      </c>
      <c r="B593" s="1" t="s">
        <v>621</v>
      </c>
      <c r="E593" s="1" t="s">
        <v>1151</v>
      </c>
    </row>
    <row r="594" spans="1:5" x14ac:dyDescent="0.25">
      <c r="A594" s="5" t="s">
        <v>1188</v>
      </c>
      <c r="B594" s="1" t="s">
        <v>37</v>
      </c>
      <c r="C594" s="1" t="s">
        <v>362</v>
      </c>
      <c r="E594" s="1" t="s">
        <v>1151</v>
      </c>
    </row>
    <row r="595" spans="1:5" x14ac:dyDescent="0.25">
      <c r="A595" s="5" t="s">
        <v>1196</v>
      </c>
      <c r="B595" s="1" t="s">
        <v>362</v>
      </c>
      <c r="E595" s="1" t="s">
        <v>1151</v>
      </c>
    </row>
    <row r="596" spans="1:5" x14ac:dyDescent="0.25">
      <c r="A596" s="5" t="s">
        <v>1199</v>
      </c>
      <c r="B596" s="1" t="s">
        <v>412</v>
      </c>
      <c r="E596" s="1" t="s">
        <v>1151</v>
      </c>
    </row>
    <row r="597" spans="1:5" x14ac:dyDescent="0.25">
      <c r="A597" s="5" t="s">
        <v>1213</v>
      </c>
      <c r="B597" s="1" t="s">
        <v>86</v>
      </c>
      <c r="E597" s="1" t="s">
        <v>1151</v>
      </c>
    </row>
    <row r="598" spans="1:5" x14ac:dyDescent="0.25">
      <c r="A598" s="5" t="s">
        <v>1217</v>
      </c>
      <c r="B598" s="1" t="s">
        <v>33</v>
      </c>
      <c r="E598" s="1" t="s">
        <v>1151</v>
      </c>
    </row>
    <row r="599" spans="1:5" x14ac:dyDescent="0.25">
      <c r="A599" s="5" t="s">
        <v>1223</v>
      </c>
      <c r="B599" s="1" t="s">
        <v>258</v>
      </c>
      <c r="E599" s="1" t="s">
        <v>1151</v>
      </c>
    </row>
    <row r="600" spans="1:5" x14ac:dyDescent="0.25">
      <c r="A600" s="5" t="s">
        <v>1225</v>
      </c>
      <c r="B600" s="1" t="s">
        <v>192</v>
      </c>
      <c r="E600" s="1" t="s">
        <v>1151</v>
      </c>
    </row>
    <row r="601" spans="1:5" x14ac:dyDescent="0.25">
      <c r="A601" s="5" t="s">
        <v>1234</v>
      </c>
      <c r="B601" s="1" t="s">
        <v>99</v>
      </c>
      <c r="E601" s="1" t="s">
        <v>1151</v>
      </c>
    </row>
    <row r="602" spans="1:5" x14ac:dyDescent="0.25">
      <c r="A602" s="5" t="s">
        <v>1239</v>
      </c>
      <c r="B602" s="1" t="s">
        <v>1240</v>
      </c>
      <c r="E602" s="1" t="s">
        <v>1151</v>
      </c>
    </row>
    <row r="603" spans="1:5" x14ac:dyDescent="0.25">
      <c r="A603" s="5" t="s">
        <v>1256</v>
      </c>
      <c r="B603" s="1" t="s">
        <v>1257</v>
      </c>
      <c r="E603" s="1" t="s">
        <v>1255</v>
      </c>
    </row>
    <row r="604" spans="1:5" x14ac:dyDescent="0.25">
      <c r="A604" s="5" t="s">
        <v>1278</v>
      </c>
      <c r="B604" s="1" t="s">
        <v>116</v>
      </c>
      <c r="E604" s="1" t="s">
        <v>1255</v>
      </c>
    </row>
    <row r="605" spans="1:5" x14ac:dyDescent="0.25">
      <c r="A605" s="5" t="s">
        <v>1334</v>
      </c>
      <c r="B605" s="1" t="s">
        <v>163</v>
      </c>
      <c r="E605" s="1" t="s">
        <v>1255</v>
      </c>
    </row>
    <row r="606" spans="1:5" x14ac:dyDescent="0.25">
      <c r="A606" s="5" t="s">
        <v>1336</v>
      </c>
      <c r="B606" s="1" t="s">
        <v>64</v>
      </c>
      <c r="E606" s="1" t="s">
        <v>1255</v>
      </c>
    </row>
    <row r="607" spans="1:5" x14ac:dyDescent="0.25">
      <c r="A607" s="5" t="s">
        <v>1343</v>
      </c>
      <c r="B607" s="1" t="s">
        <v>163</v>
      </c>
      <c r="E607" s="1" t="s">
        <v>1255</v>
      </c>
    </row>
    <row r="608" spans="1:5" x14ac:dyDescent="0.25">
      <c r="A608" s="5" t="s">
        <v>1348</v>
      </c>
      <c r="B608" s="1" t="s">
        <v>73</v>
      </c>
      <c r="E608" s="1" t="s">
        <v>1255</v>
      </c>
    </row>
    <row r="609" spans="1:5" x14ac:dyDescent="0.25">
      <c r="A609" s="5" t="s">
        <v>1106</v>
      </c>
      <c r="B609" s="1" t="s">
        <v>47</v>
      </c>
      <c r="E609" s="1" t="s">
        <v>1255</v>
      </c>
    </row>
    <row r="610" spans="1:5" x14ac:dyDescent="0.25">
      <c r="A610" s="5" t="s">
        <v>1253</v>
      </c>
      <c r="B610" s="1" t="s">
        <v>33</v>
      </c>
      <c r="E610" s="1" t="s">
        <v>1252</v>
      </c>
    </row>
    <row r="611" spans="1:5" x14ac:dyDescent="0.25">
      <c r="A611" s="5" t="s">
        <v>1268</v>
      </c>
      <c r="B611" s="1" t="s">
        <v>67</v>
      </c>
      <c r="E611" s="1" t="s">
        <v>1252</v>
      </c>
    </row>
    <row r="612" spans="1:5" x14ac:dyDescent="0.25">
      <c r="A612" s="5" t="s">
        <v>1270</v>
      </c>
      <c r="B612" s="1" t="s">
        <v>1860</v>
      </c>
      <c r="C612" s="1" t="s">
        <v>1862</v>
      </c>
      <c r="E612" s="1" t="s">
        <v>1252</v>
      </c>
    </row>
    <row r="613" spans="1:5" x14ac:dyDescent="0.25">
      <c r="A613" s="5" t="s">
        <v>1272</v>
      </c>
      <c r="B613" s="1" t="s">
        <v>1273</v>
      </c>
      <c r="E613" s="1" t="s">
        <v>1252</v>
      </c>
    </row>
    <row r="614" spans="1:5" x14ac:dyDescent="0.25">
      <c r="A614" s="5" t="s">
        <v>1279</v>
      </c>
      <c r="B614" s="1" t="s">
        <v>276</v>
      </c>
      <c r="E614" s="1" t="s">
        <v>1252</v>
      </c>
    </row>
    <row r="615" spans="1:5" x14ac:dyDescent="0.25">
      <c r="A615" s="5" t="s">
        <v>1283</v>
      </c>
      <c r="B615" s="1" t="s">
        <v>47</v>
      </c>
      <c r="E615" s="1" t="s">
        <v>1252</v>
      </c>
    </row>
    <row r="616" spans="1:5" x14ac:dyDescent="0.25">
      <c r="A616" s="5" t="s">
        <v>1294</v>
      </c>
      <c r="B616" s="1" t="s">
        <v>355</v>
      </c>
      <c r="C616" s="1" t="s">
        <v>1694</v>
      </c>
      <c r="E616" s="1" t="s">
        <v>1252</v>
      </c>
    </row>
    <row r="617" spans="1:5" x14ac:dyDescent="0.25">
      <c r="A617" s="5" t="s">
        <v>1303</v>
      </c>
      <c r="B617" s="1" t="s">
        <v>170</v>
      </c>
      <c r="E617" s="1" t="s">
        <v>1252</v>
      </c>
    </row>
    <row r="618" spans="1:5" x14ac:dyDescent="0.25">
      <c r="A618" s="5" t="s">
        <v>2153</v>
      </c>
      <c r="B618" s="1" t="s">
        <v>2019</v>
      </c>
      <c r="C618" s="1" t="s">
        <v>163</v>
      </c>
      <c r="E618" s="1" t="s">
        <v>1252</v>
      </c>
    </row>
    <row r="619" spans="1:5" x14ac:dyDescent="0.25">
      <c r="A619" s="5" t="s">
        <v>2153</v>
      </c>
      <c r="B619" s="1" t="s">
        <v>2187</v>
      </c>
      <c r="C619" s="1" t="s">
        <v>173</v>
      </c>
      <c r="E619" s="1" t="s">
        <v>1252</v>
      </c>
    </row>
    <row r="620" spans="1:5" x14ac:dyDescent="0.25">
      <c r="A620" s="5" t="s">
        <v>1316</v>
      </c>
      <c r="B620" s="1" t="s">
        <v>667</v>
      </c>
      <c r="E620" s="1" t="s">
        <v>1252</v>
      </c>
    </row>
    <row r="621" spans="1:5" x14ac:dyDescent="0.25">
      <c r="A621" s="5" t="s">
        <v>1320</v>
      </c>
      <c r="B621" s="1" t="s">
        <v>278</v>
      </c>
      <c r="E621" s="1" t="s">
        <v>1252</v>
      </c>
    </row>
    <row r="622" spans="1:5" x14ac:dyDescent="0.25">
      <c r="A622" s="5" t="s">
        <v>690</v>
      </c>
      <c r="B622" s="1" t="s">
        <v>1322</v>
      </c>
      <c r="E622" s="1" t="s">
        <v>1252</v>
      </c>
    </row>
    <row r="623" spans="1:5" x14ac:dyDescent="0.25">
      <c r="A623" s="5" t="s">
        <v>1329</v>
      </c>
      <c r="B623" s="1" t="s">
        <v>43</v>
      </c>
      <c r="E623" s="1" t="s">
        <v>1252</v>
      </c>
    </row>
    <row r="624" spans="1:5" x14ac:dyDescent="0.25">
      <c r="A624" s="5" t="s">
        <v>1331</v>
      </c>
      <c r="B624" s="1" t="s">
        <v>1332</v>
      </c>
      <c r="E624" s="1" t="s">
        <v>1252</v>
      </c>
    </row>
    <row r="625" spans="1:5" x14ac:dyDescent="0.25">
      <c r="A625" s="5" t="s">
        <v>1350</v>
      </c>
      <c r="B625" s="1" t="s">
        <v>27</v>
      </c>
      <c r="E625" s="1" t="s">
        <v>1252</v>
      </c>
    </row>
    <row r="626" spans="1:5" x14ac:dyDescent="0.25">
      <c r="A626" s="5" t="s">
        <v>1352</v>
      </c>
      <c r="B626" s="1" t="s">
        <v>179</v>
      </c>
      <c r="E626" s="1" t="s">
        <v>1252</v>
      </c>
    </row>
    <row r="627" spans="1:5" x14ac:dyDescent="0.25">
      <c r="A627" s="5" t="s">
        <v>1355</v>
      </c>
      <c r="B627" s="1" t="s">
        <v>2188</v>
      </c>
      <c r="C627" s="1" t="s">
        <v>89</v>
      </c>
      <c r="E627" s="1" t="s">
        <v>1252</v>
      </c>
    </row>
    <row r="628" spans="1:5" x14ac:dyDescent="0.25">
      <c r="A628" s="5" t="s">
        <v>1360</v>
      </c>
      <c r="B628" s="1" t="s">
        <v>1121</v>
      </c>
      <c r="E628" s="1" t="s">
        <v>1252</v>
      </c>
    </row>
    <row r="629" spans="1:5" x14ac:dyDescent="0.25">
      <c r="A629" s="5" t="s">
        <v>1366</v>
      </c>
      <c r="B629" s="1" t="s">
        <v>445</v>
      </c>
      <c r="E629" s="1" t="s">
        <v>1252</v>
      </c>
    </row>
    <row r="630" spans="1:5" x14ac:dyDescent="0.25">
      <c r="A630" s="5" t="s">
        <v>1263</v>
      </c>
      <c r="B630" s="1" t="s">
        <v>1264</v>
      </c>
      <c r="E630" s="1" t="s">
        <v>1262</v>
      </c>
    </row>
    <row r="631" spans="1:5" x14ac:dyDescent="0.25">
      <c r="A631" s="5" t="s">
        <v>1275</v>
      </c>
      <c r="B631" s="1" t="s">
        <v>37</v>
      </c>
      <c r="E631" s="1" t="s">
        <v>1262</v>
      </c>
    </row>
    <row r="632" spans="1:5" x14ac:dyDescent="0.25">
      <c r="A632" s="5" t="s">
        <v>1285</v>
      </c>
      <c r="B632" s="1" t="s">
        <v>2070</v>
      </c>
      <c r="C632" s="1" t="s">
        <v>37</v>
      </c>
      <c r="E632" s="1" t="s">
        <v>1262</v>
      </c>
    </row>
    <row r="633" spans="1:5" x14ac:dyDescent="0.25">
      <c r="A633" s="5" t="s">
        <v>1287</v>
      </c>
      <c r="B633" s="1" t="s">
        <v>33</v>
      </c>
      <c r="E633" s="1" t="s">
        <v>1262</v>
      </c>
    </row>
    <row r="634" spans="1:5" x14ac:dyDescent="0.25">
      <c r="A634" s="5" t="s">
        <v>1289</v>
      </c>
      <c r="B634" s="1" t="s">
        <v>1290</v>
      </c>
      <c r="E634" s="1" t="s">
        <v>1262</v>
      </c>
    </row>
    <row r="635" spans="1:5" x14ac:dyDescent="0.25">
      <c r="A635" s="5" t="s">
        <v>1292</v>
      </c>
      <c r="B635" s="1" t="s">
        <v>195</v>
      </c>
      <c r="E635" s="1" t="s">
        <v>1262</v>
      </c>
    </row>
    <row r="636" spans="1:5" x14ac:dyDescent="0.25">
      <c r="A636" s="5" t="s">
        <v>147</v>
      </c>
      <c r="B636" s="1" t="s">
        <v>1302</v>
      </c>
      <c r="E636" s="1" t="s">
        <v>1262</v>
      </c>
    </row>
    <row r="637" spans="1:5" x14ac:dyDescent="0.25">
      <c r="A637" s="5" t="s">
        <v>2153</v>
      </c>
      <c r="B637" s="1" t="s">
        <v>2189</v>
      </c>
      <c r="C637" s="1" t="s">
        <v>1307</v>
      </c>
      <c r="E637" s="1" t="s">
        <v>1262</v>
      </c>
    </row>
    <row r="638" spans="1:5" x14ac:dyDescent="0.25">
      <c r="A638" s="5" t="s">
        <v>1309</v>
      </c>
      <c r="B638" s="1" t="s">
        <v>276</v>
      </c>
      <c r="E638" s="1" t="s">
        <v>1262</v>
      </c>
    </row>
    <row r="639" spans="1:5" x14ac:dyDescent="0.25">
      <c r="A639" s="5" t="s">
        <v>1310</v>
      </c>
      <c r="B639" s="1" t="s">
        <v>362</v>
      </c>
      <c r="E639" s="1" t="s">
        <v>1262</v>
      </c>
    </row>
    <row r="640" spans="1:5" x14ac:dyDescent="0.25">
      <c r="A640" s="5" t="s">
        <v>12</v>
      </c>
      <c r="B640" s="1" t="s">
        <v>195</v>
      </c>
      <c r="E640" s="1" t="s">
        <v>1262</v>
      </c>
    </row>
    <row r="641" spans="1:5" x14ac:dyDescent="0.25">
      <c r="A641" s="5" t="s">
        <v>1315</v>
      </c>
      <c r="B641" s="1" t="s">
        <v>126</v>
      </c>
      <c r="E641" s="1" t="s">
        <v>1262</v>
      </c>
    </row>
    <row r="642" spans="1:5" x14ac:dyDescent="0.25">
      <c r="A642" s="5" t="s">
        <v>1318</v>
      </c>
      <c r="B642" s="1" t="s">
        <v>95</v>
      </c>
      <c r="E642" s="1" t="s">
        <v>1262</v>
      </c>
    </row>
    <row r="643" spans="1:5" x14ac:dyDescent="0.25">
      <c r="A643" s="5" t="s">
        <v>1325</v>
      </c>
      <c r="B643" s="1" t="s">
        <v>1007</v>
      </c>
      <c r="E643" s="1" t="s">
        <v>1262</v>
      </c>
    </row>
    <row r="644" spans="1:5" x14ac:dyDescent="0.25">
      <c r="A644" s="5" t="s">
        <v>1327</v>
      </c>
      <c r="B644" s="1" t="s">
        <v>25</v>
      </c>
      <c r="E644" s="1" t="s">
        <v>1262</v>
      </c>
    </row>
    <row r="645" spans="1:5" x14ac:dyDescent="0.25">
      <c r="A645" s="5" t="s">
        <v>1337</v>
      </c>
      <c r="B645" s="1" t="s">
        <v>718</v>
      </c>
      <c r="E645" s="1" t="s">
        <v>1262</v>
      </c>
    </row>
    <row r="646" spans="1:5" x14ac:dyDescent="0.25">
      <c r="A646" s="5" t="s">
        <v>1345</v>
      </c>
      <c r="B646" s="1" t="s">
        <v>30</v>
      </c>
      <c r="E646" s="1" t="s">
        <v>1262</v>
      </c>
    </row>
    <row r="647" spans="1:5" x14ac:dyDescent="0.25">
      <c r="A647" s="5" t="s">
        <v>1263</v>
      </c>
      <c r="B647" s="1" t="s">
        <v>116</v>
      </c>
      <c r="E647" s="1" t="s">
        <v>1262</v>
      </c>
    </row>
    <row r="648" spans="1:5" x14ac:dyDescent="0.25">
      <c r="A648" s="5" t="s">
        <v>1352</v>
      </c>
      <c r="B648" s="1" t="s">
        <v>23</v>
      </c>
      <c r="E648" s="1" t="s">
        <v>1262</v>
      </c>
    </row>
    <row r="649" spans="1:5" x14ac:dyDescent="0.25">
      <c r="A649" s="5" t="s">
        <v>1356</v>
      </c>
      <c r="B649" s="1" t="s">
        <v>1020</v>
      </c>
      <c r="E649" s="1" t="s">
        <v>1262</v>
      </c>
    </row>
    <row r="650" spans="1:5" x14ac:dyDescent="0.25">
      <c r="A650" s="5" t="s">
        <v>1358</v>
      </c>
      <c r="B650" s="1" t="s">
        <v>173</v>
      </c>
      <c r="E650" s="1" t="s">
        <v>1262</v>
      </c>
    </row>
    <row r="651" spans="1:5" x14ac:dyDescent="0.25">
      <c r="A651" s="5" t="s">
        <v>1361</v>
      </c>
      <c r="B651" s="1" t="s">
        <v>91</v>
      </c>
      <c r="E651" s="1" t="s">
        <v>1262</v>
      </c>
    </row>
    <row r="652" spans="1:5" x14ac:dyDescent="0.25">
      <c r="A652" s="5" t="s">
        <v>1364</v>
      </c>
      <c r="B652" s="1" t="s">
        <v>261</v>
      </c>
      <c r="E652" s="1" t="s">
        <v>1262</v>
      </c>
    </row>
    <row r="653" spans="1:5" x14ac:dyDescent="0.25">
      <c r="A653" s="5" t="s">
        <v>1372</v>
      </c>
      <c r="B653" s="1" t="s">
        <v>55</v>
      </c>
      <c r="E653" s="1" t="s">
        <v>1262</v>
      </c>
    </row>
    <row r="654" spans="1:5" x14ac:dyDescent="0.25">
      <c r="A654" s="5" t="s">
        <v>1373</v>
      </c>
      <c r="B654" s="1" t="s">
        <v>355</v>
      </c>
      <c r="E654" s="1" t="s">
        <v>1262</v>
      </c>
    </row>
    <row r="655" spans="1:5" x14ac:dyDescent="0.25">
      <c r="A655" s="5" t="s">
        <v>1375</v>
      </c>
      <c r="B655" s="1" t="s">
        <v>47</v>
      </c>
      <c r="E655" s="1" t="s">
        <v>1262</v>
      </c>
    </row>
    <row r="656" spans="1:5" x14ac:dyDescent="0.25">
      <c r="A656" s="5" t="s">
        <v>1260</v>
      </c>
      <c r="B656" s="1" t="s">
        <v>195</v>
      </c>
      <c r="E656" s="1" t="s">
        <v>1259</v>
      </c>
    </row>
    <row r="657" spans="1:5" x14ac:dyDescent="0.25">
      <c r="A657" s="5" t="s">
        <v>1266</v>
      </c>
      <c r="B657" s="1" t="s">
        <v>173</v>
      </c>
      <c r="E657" s="1" t="s">
        <v>1259</v>
      </c>
    </row>
    <row r="658" spans="1:5" x14ac:dyDescent="0.25">
      <c r="A658" s="5" t="s">
        <v>1276</v>
      </c>
      <c r="B658" s="1" t="s">
        <v>507</v>
      </c>
      <c r="E658" s="1" t="s">
        <v>1259</v>
      </c>
    </row>
    <row r="659" spans="1:5" x14ac:dyDescent="0.25">
      <c r="A659" s="5" t="s">
        <v>1281</v>
      </c>
      <c r="B659" s="1" t="s">
        <v>55</v>
      </c>
      <c r="E659" s="1" t="s">
        <v>1259</v>
      </c>
    </row>
    <row r="660" spans="1:5" x14ac:dyDescent="0.25">
      <c r="A660" s="5" t="s">
        <v>1297</v>
      </c>
      <c r="B660" s="1" t="s">
        <v>1298</v>
      </c>
      <c r="E660" s="1" t="s">
        <v>1259</v>
      </c>
    </row>
    <row r="661" spans="1:5" x14ac:dyDescent="0.25">
      <c r="A661" s="5" t="s">
        <v>1300</v>
      </c>
      <c r="B661" s="1" t="s">
        <v>107</v>
      </c>
      <c r="E661" s="1" t="s">
        <v>1259</v>
      </c>
    </row>
    <row r="662" spans="1:5" x14ac:dyDescent="0.25">
      <c r="A662" s="5" t="s">
        <v>2153</v>
      </c>
      <c r="B662" s="1" t="s">
        <v>1034</v>
      </c>
      <c r="C662" s="1" t="s">
        <v>173</v>
      </c>
      <c r="E662" s="1" t="s">
        <v>1259</v>
      </c>
    </row>
    <row r="663" spans="1:5" x14ac:dyDescent="0.25">
      <c r="A663" s="5" t="s">
        <v>2153</v>
      </c>
      <c r="B663" s="1" t="s">
        <v>2190</v>
      </c>
      <c r="C663" s="1" t="s">
        <v>412</v>
      </c>
      <c r="E663" s="1" t="s">
        <v>1259</v>
      </c>
    </row>
    <row r="664" spans="1:5" x14ac:dyDescent="0.25">
      <c r="A664" s="5" t="s">
        <v>162</v>
      </c>
      <c r="B664" s="1" t="s">
        <v>1004</v>
      </c>
      <c r="E664" s="1" t="s">
        <v>1259</v>
      </c>
    </row>
    <row r="665" spans="1:5" x14ac:dyDescent="0.25">
      <c r="A665" s="5" t="s">
        <v>1313</v>
      </c>
      <c r="B665" s="1" t="s">
        <v>521</v>
      </c>
      <c r="E665" s="1" t="s">
        <v>1259</v>
      </c>
    </row>
    <row r="666" spans="1:5" x14ac:dyDescent="0.25">
      <c r="A666" s="5" t="s">
        <v>1323</v>
      </c>
      <c r="B666" s="1" t="s">
        <v>412</v>
      </c>
      <c r="E666" s="1" t="s">
        <v>1259</v>
      </c>
    </row>
    <row r="667" spans="1:5" x14ac:dyDescent="0.25">
      <c r="A667" s="5" t="s">
        <v>1339</v>
      </c>
      <c r="B667" s="1" t="s">
        <v>1340</v>
      </c>
      <c r="E667" s="1" t="s">
        <v>1259</v>
      </c>
    </row>
    <row r="668" spans="1:5" x14ac:dyDescent="0.25">
      <c r="A668" s="5" t="s">
        <v>1342</v>
      </c>
      <c r="B668" s="1" t="s">
        <v>462</v>
      </c>
      <c r="E668" s="1" t="s">
        <v>1259</v>
      </c>
    </row>
    <row r="669" spans="1:5" x14ac:dyDescent="0.25">
      <c r="A669" s="5" t="s">
        <v>1368</v>
      </c>
      <c r="B669" s="1" t="s">
        <v>1369</v>
      </c>
      <c r="E669" s="1" t="s">
        <v>1259</v>
      </c>
    </row>
    <row r="670" spans="1:5" x14ac:dyDescent="0.25">
      <c r="A670" s="5" t="s">
        <v>1370</v>
      </c>
      <c r="B670" s="1" t="s">
        <v>8</v>
      </c>
      <c r="C670" s="1" t="s">
        <v>507</v>
      </c>
      <c r="E670" s="1" t="s">
        <v>1259</v>
      </c>
    </row>
    <row r="671" spans="1:5" x14ac:dyDescent="0.25">
      <c r="A671" s="5" t="s">
        <v>1609</v>
      </c>
      <c r="B671" s="1" t="s">
        <v>64</v>
      </c>
      <c r="E671" s="1" t="s">
        <v>1608</v>
      </c>
    </row>
    <row r="672" spans="1:5" x14ac:dyDescent="0.25">
      <c r="A672" s="5" t="s">
        <v>1616</v>
      </c>
      <c r="B672" s="1" t="s">
        <v>445</v>
      </c>
      <c r="E672" s="1" t="s">
        <v>1608</v>
      </c>
    </row>
    <row r="673" spans="1:5" x14ac:dyDescent="0.25">
      <c r="A673" s="5" t="s">
        <v>1619</v>
      </c>
      <c r="B673" s="1" t="s">
        <v>515</v>
      </c>
      <c r="E673" s="1" t="s">
        <v>1608</v>
      </c>
    </row>
    <row r="674" spans="1:5" x14ac:dyDescent="0.25">
      <c r="A674" s="5" t="s">
        <v>1622</v>
      </c>
      <c r="B674" s="1" t="s">
        <v>1623</v>
      </c>
      <c r="E674" s="1" t="s">
        <v>1608</v>
      </c>
    </row>
    <row r="675" spans="1:5" x14ac:dyDescent="0.25">
      <c r="A675" s="5" t="s">
        <v>2191</v>
      </c>
      <c r="B675" s="1" t="s">
        <v>2192</v>
      </c>
      <c r="C675" s="1" t="s">
        <v>1007</v>
      </c>
      <c r="E675" s="1" t="s">
        <v>1608</v>
      </c>
    </row>
    <row r="676" spans="1:5" x14ac:dyDescent="0.25">
      <c r="A676" s="5" t="s">
        <v>1630</v>
      </c>
      <c r="B676" s="1" t="s">
        <v>2193</v>
      </c>
      <c r="C676" s="1" t="s">
        <v>2194</v>
      </c>
      <c r="E676" s="1" t="s">
        <v>1608</v>
      </c>
    </row>
    <row r="677" spans="1:5" x14ac:dyDescent="0.25">
      <c r="A677" s="5" t="s">
        <v>1632</v>
      </c>
      <c r="B677" s="1" t="s">
        <v>441</v>
      </c>
      <c r="E677" s="1" t="s">
        <v>1608</v>
      </c>
    </row>
    <row r="678" spans="1:5" x14ac:dyDescent="0.25">
      <c r="A678" s="5" t="s">
        <v>1633</v>
      </c>
      <c r="B678" s="1" t="s">
        <v>521</v>
      </c>
      <c r="E678" s="1" t="s">
        <v>1608</v>
      </c>
    </row>
    <row r="679" spans="1:5" x14ac:dyDescent="0.25">
      <c r="A679" s="5" t="s">
        <v>1635</v>
      </c>
      <c r="B679" s="1" t="s">
        <v>27</v>
      </c>
      <c r="E679" s="1" t="s">
        <v>1608</v>
      </c>
    </row>
    <row r="680" spans="1:5" x14ac:dyDescent="0.25">
      <c r="A680" s="5" t="s">
        <v>1638</v>
      </c>
      <c r="B680" s="1" t="s">
        <v>195</v>
      </c>
      <c r="E680" s="1" t="s">
        <v>1608</v>
      </c>
    </row>
    <row r="681" spans="1:5" x14ac:dyDescent="0.25">
      <c r="A681" s="5" t="s">
        <v>1642</v>
      </c>
      <c r="B681" s="1" t="s">
        <v>107</v>
      </c>
      <c r="E681" s="1" t="s">
        <v>1608</v>
      </c>
    </row>
    <row r="682" spans="1:5" x14ac:dyDescent="0.25">
      <c r="A682" s="5" t="s">
        <v>1644</v>
      </c>
      <c r="B682" s="1" t="s">
        <v>1645</v>
      </c>
      <c r="E682" s="1" t="s">
        <v>1608</v>
      </c>
    </row>
    <row r="683" spans="1:5" x14ac:dyDescent="0.25">
      <c r="A683" s="5" t="s">
        <v>1647</v>
      </c>
      <c r="B683" s="1" t="s">
        <v>25</v>
      </c>
      <c r="E683" s="1" t="s">
        <v>1608</v>
      </c>
    </row>
    <row r="684" spans="1:5" x14ac:dyDescent="0.25">
      <c r="A684" s="5" t="s">
        <v>1652</v>
      </c>
      <c r="B684" s="1" t="s">
        <v>362</v>
      </c>
      <c r="E684" s="1" t="s">
        <v>1608</v>
      </c>
    </row>
    <row r="685" spans="1:5" x14ac:dyDescent="0.25">
      <c r="A685" s="5" t="s">
        <v>1656</v>
      </c>
      <c r="B685" s="1" t="s">
        <v>1568</v>
      </c>
      <c r="E685" s="1" t="s">
        <v>1608</v>
      </c>
    </row>
    <row r="686" spans="1:5" x14ac:dyDescent="0.25">
      <c r="A686" s="5" t="s">
        <v>1606</v>
      </c>
      <c r="B686" s="1" t="s">
        <v>25</v>
      </c>
      <c r="E686" s="1" t="s">
        <v>1605</v>
      </c>
    </row>
    <row r="687" spans="1:5" x14ac:dyDescent="0.25">
      <c r="A687" s="5" t="s">
        <v>1611</v>
      </c>
      <c r="B687" s="1" t="s">
        <v>1612</v>
      </c>
      <c r="E687" s="1" t="s">
        <v>1605</v>
      </c>
    </row>
    <row r="688" spans="1:5" x14ac:dyDescent="0.25">
      <c r="A688" s="5" t="s">
        <v>1614</v>
      </c>
      <c r="B688" s="1" t="s">
        <v>27</v>
      </c>
      <c r="E688" s="1" t="s">
        <v>1605</v>
      </c>
    </row>
    <row r="689" spans="1:5" x14ac:dyDescent="0.25">
      <c r="A689" s="5" t="s">
        <v>1615</v>
      </c>
      <c r="B689" s="1" t="s">
        <v>107</v>
      </c>
      <c r="E689" s="1" t="s">
        <v>1605</v>
      </c>
    </row>
    <row r="690" spans="1:5" x14ac:dyDescent="0.25">
      <c r="A690" s="5" t="s">
        <v>1618</v>
      </c>
      <c r="B690" s="1" t="s">
        <v>173</v>
      </c>
      <c r="E690" s="1" t="s">
        <v>1605</v>
      </c>
    </row>
    <row r="691" spans="1:5" x14ac:dyDescent="0.25">
      <c r="A691" s="5" t="s">
        <v>1624</v>
      </c>
      <c r="B691" s="1" t="s">
        <v>963</v>
      </c>
      <c r="E691" s="1" t="s">
        <v>1605</v>
      </c>
    </row>
    <row r="692" spans="1:5" x14ac:dyDescent="0.25">
      <c r="A692" s="5" t="s">
        <v>1625</v>
      </c>
      <c r="B692" s="1" t="s">
        <v>2195</v>
      </c>
      <c r="C692" s="1" t="s">
        <v>718</v>
      </c>
      <c r="E692" s="1" t="s">
        <v>1605</v>
      </c>
    </row>
    <row r="693" spans="1:5" x14ac:dyDescent="0.25">
      <c r="A693" s="5" t="s">
        <v>1626</v>
      </c>
      <c r="B693" s="1" t="s">
        <v>225</v>
      </c>
      <c r="E693" s="1" t="s">
        <v>1605</v>
      </c>
    </row>
    <row r="694" spans="1:5" x14ac:dyDescent="0.25">
      <c r="A694" s="5" t="s">
        <v>1629</v>
      </c>
      <c r="B694" s="1" t="s">
        <v>432</v>
      </c>
      <c r="E694" s="1" t="s">
        <v>1605</v>
      </c>
    </row>
    <row r="695" spans="1:5" x14ac:dyDescent="0.25">
      <c r="A695" s="5" t="s">
        <v>444</v>
      </c>
      <c r="B695" s="1" t="s">
        <v>86</v>
      </c>
      <c r="C695" s="1" t="s">
        <v>43</v>
      </c>
      <c r="E695" s="1" t="s">
        <v>1605</v>
      </c>
    </row>
    <row r="696" spans="1:5" x14ac:dyDescent="0.25">
      <c r="A696" s="5" t="s">
        <v>1631</v>
      </c>
      <c r="B696" s="1" t="s">
        <v>107</v>
      </c>
      <c r="E696" s="1" t="s">
        <v>1605</v>
      </c>
    </row>
    <row r="697" spans="1:5" x14ac:dyDescent="0.25">
      <c r="A697" s="5" t="s">
        <v>1634</v>
      </c>
      <c r="B697" s="1" t="s">
        <v>83</v>
      </c>
      <c r="E697" s="1" t="s">
        <v>1605</v>
      </c>
    </row>
    <row r="698" spans="1:5" x14ac:dyDescent="0.25">
      <c r="A698" s="5" t="s">
        <v>1637</v>
      </c>
      <c r="B698" s="1" t="s">
        <v>258</v>
      </c>
      <c r="E698" s="1" t="s">
        <v>1605</v>
      </c>
    </row>
    <row r="699" spans="1:5" x14ac:dyDescent="0.25">
      <c r="A699" s="5" t="s">
        <v>1639</v>
      </c>
      <c r="B699" s="1" t="s">
        <v>667</v>
      </c>
      <c r="E699" s="1" t="s">
        <v>1605</v>
      </c>
    </row>
    <row r="700" spans="1:5" x14ac:dyDescent="0.25">
      <c r="A700" s="5" t="s">
        <v>1640</v>
      </c>
      <c r="B700" s="1" t="s">
        <v>91</v>
      </c>
      <c r="E700" s="1" t="s">
        <v>1605</v>
      </c>
    </row>
    <row r="701" spans="1:5" x14ac:dyDescent="0.25">
      <c r="A701" s="5" t="s">
        <v>264</v>
      </c>
      <c r="B701" s="1" t="s">
        <v>25</v>
      </c>
      <c r="E701" s="1" t="s">
        <v>1605</v>
      </c>
    </row>
    <row r="702" spans="1:5" x14ac:dyDescent="0.25">
      <c r="A702" s="5" t="s">
        <v>1350</v>
      </c>
      <c r="B702" s="1" t="s">
        <v>195</v>
      </c>
      <c r="E702" s="1" t="s">
        <v>1605</v>
      </c>
    </row>
    <row r="703" spans="1:5" x14ac:dyDescent="0.25">
      <c r="A703" s="5" t="s">
        <v>1648</v>
      </c>
      <c r="B703" s="1" t="s">
        <v>1340</v>
      </c>
      <c r="E703" s="1" t="s">
        <v>1605</v>
      </c>
    </row>
    <row r="704" spans="1:5" x14ac:dyDescent="0.25">
      <c r="A704" s="5" t="s">
        <v>1649</v>
      </c>
      <c r="B704" s="1" t="s">
        <v>1201</v>
      </c>
      <c r="E704" s="1" t="s">
        <v>1605</v>
      </c>
    </row>
    <row r="705" spans="1:5" x14ac:dyDescent="0.25">
      <c r="A705" s="5" t="s">
        <v>1651</v>
      </c>
      <c r="B705" s="1" t="s">
        <v>402</v>
      </c>
      <c r="E705" s="1" t="s">
        <v>1605</v>
      </c>
    </row>
    <row r="706" spans="1:5" x14ac:dyDescent="0.25">
      <c r="A706" s="5" t="s">
        <v>1655</v>
      </c>
      <c r="B706" s="1" t="s">
        <v>37</v>
      </c>
      <c r="E706" s="1" t="s">
        <v>1605</v>
      </c>
    </row>
    <row r="707" spans="1:5" x14ac:dyDescent="0.25">
      <c r="A707" s="5" t="s">
        <v>1657</v>
      </c>
      <c r="B707" s="1" t="s">
        <v>43</v>
      </c>
      <c r="E707" s="1" t="s">
        <v>1605</v>
      </c>
    </row>
    <row r="708" spans="1:5" x14ac:dyDescent="0.25">
      <c r="A708" s="5" t="s">
        <v>292</v>
      </c>
      <c r="B708" s="1" t="s">
        <v>91</v>
      </c>
      <c r="E708" s="1" t="s">
        <v>1603</v>
      </c>
    </row>
    <row r="709" spans="1:5" x14ac:dyDescent="0.25">
      <c r="A709" s="5" t="s">
        <v>2153</v>
      </c>
      <c r="B709" s="1" t="s">
        <v>135</v>
      </c>
      <c r="C709" s="1" t="s">
        <v>1621</v>
      </c>
      <c r="E709" s="1" t="s">
        <v>1603</v>
      </c>
    </row>
    <row r="710" spans="1:5" x14ac:dyDescent="0.25">
      <c r="A710" s="5" t="s">
        <v>1628</v>
      </c>
      <c r="B710" s="1" t="s">
        <v>37</v>
      </c>
      <c r="E710" s="1" t="s">
        <v>1603</v>
      </c>
    </row>
    <row r="711" spans="1:5" x14ac:dyDescent="0.25">
      <c r="A711" s="5" t="s">
        <v>1653</v>
      </c>
      <c r="B711" s="1" t="s">
        <v>126</v>
      </c>
      <c r="E711" s="1" t="s">
        <v>1603</v>
      </c>
    </row>
    <row r="712" spans="1:5" x14ac:dyDescent="0.25">
      <c r="A712" s="5" t="s">
        <v>1654</v>
      </c>
      <c r="B712" s="1" t="s">
        <v>43</v>
      </c>
      <c r="E712" s="1" t="s">
        <v>1603</v>
      </c>
    </row>
    <row r="713" spans="1:5" x14ac:dyDescent="0.25">
      <c r="A713" s="5" t="s">
        <v>575</v>
      </c>
      <c r="B713" s="1" t="s">
        <v>91</v>
      </c>
      <c r="E713" s="1" t="s">
        <v>574</v>
      </c>
    </row>
    <row r="714" spans="1:5" x14ac:dyDescent="0.25">
      <c r="A714" s="5" t="s">
        <v>594</v>
      </c>
      <c r="B714" s="1" t="s">
        <v>25</v>
      </c>
      <c r="E714" s="1" t="s">
        <v>574</v>
      </c>
    </row>
    <row r="715" spans="1:5" x14ac:dyDescent="0.25">
      <c r="A715" s="5" t="s">
        <v>596</v>
      </c>
      <c r="B715" s="1" t="s">
        <v>33</v>
      </c>
      <c r="E715" s="1" t="s">
        <v>574</v>
      </c>
    </row>
    <row r="716" spans="1:5" x14ac:dyDescent="0.25">
      <c r="A716" s="5" t="s">
        <v>614</v>
      </c>
      <c r="B716" s="1" t="s">
        <v>73</v>
      </c>
      <c r="E716" s="1" t="s">
        <v>574</v>
      </c>
    </row>
    <row r="717" spans="1:5" x14ac:dyDescent="0.25">
      <c r="A717" s="5" t="s">
        <v>633</v>
      </c>
      <c r="B717" s="1" t="s">
        <v>634</v>
      </c>
      <c r="E717" s="1" t="s">
        <v>574</v>
      </c>
    </row>
    <row r="718" spans="1:5" x14ac:dyDescent="0.25">
      <c r="A718" s="5" t="s">
        <v>642</v>
      </c>
      <c r="B718" s="1" t="s">
        <v>273</v>
      </c>
      <c r="E718" s="1" t="s">
        <v>574</v>
      </c>
    </row>
    <row r="719" spans="1:5" x14ac:dyDescent="0.25">
      <c r="A719" s="5" t="s">
        <v>645</v>
      </c>
      <c r="B719" s="1" t="s">
        <v>646</v>
      </c>
      <c r="E719" s="1" t="s">
        <v>574</v>
      </c>
    </row>
    <row r="720" spans="1:5" x14ac:dyDescent="0.25">
      <c r="A720" s="5" t="s">
        <v>692</v>
      </c>
      <c r="B720" s="1" t="s">
        <v>195</v>
      </c>
      <c r="E720" s="1" t="s">
        <v>574</v>
      </c>
    </row>
    <row r="721" spans="1:5" x14ac:dyDescent="0.25">
      <c r="A721" s="5" t="s">
        <v>2196</v>
      </c>
      <c r="B721" s="1" t="s">
        <v>2197</v>
      </c>
      <c r="C721" s="1" t="s">
        <v>2198</v>
      </c>
      <c r="D721" s="1" t="s">
        <v>2199</v>
      </c>
      <c r="E721" s="1" t="s">
        <v>574</v>
      </c>
    </row>
    <row r="722" spans="1:5" x14ac:dyDescent="0.25">
      <c r="A722" s="5" t="s">
        <v>2200</v>
      </c>
      <c r="B722" s="1" t="s">
        <v>2201</v>
      </c>
      <c r="C722" s="1" t="s">
        <v>37</v>
      </c>
      <c r="E722" s="1" t="s">
        <v>574</v>
      </c>
    </row>
    <row r="723" spans="1:5" x14ac:dyDescent="0.25">
      <c r="A723" s="5" t="s">
        <v>701</v>
      </c>
      <c r="B723" s="1" t="s">
        <v>231</v>
      </c>
      <c r="E723" s="1" t="s">
        <v>574</v>
      </c>
    </row>
    <row r="724" spans="1:5" x14ac:dyDescent="0.25">
      <c r="A724" s="5" t="s">
        <v>706</v>
      </c>
      <c r="B724" s="1" t="s">
        <v>91</v>
      </c>
      <c r="E724" s="1" t="s">
        <v>574</v>
      </c>
    </row>
    <row r="725" spans="1:5" x14ac:dyDescent="0.25">
      <c r="A725" s="5" t="s">
        <v>710</v>
      </c>
      <c r="B725" s="1" t="s">
        <v>47</v>
      </c>
      <c r="E725" s="1" t="s">
        <v>574</v>
      </c>
    </row>
    <row r="726" spans="1:5" x14ac:dyDescent="0.25">
      <c r="A726" s="5" t="s">
        <v>721</v>
      </c>
      <c r="B726" s="1" t="s">
        <v>67</v>
      </c>
      <c r="E726" s="1" t="s">
        <v>574</v>
      </c>
    </row>
    <row r="727" spans="1:5" x14ac:dyDescent="0.25">
      <c r="A727" s="5" t="s">
        <v>761</v>
      </c>
      <c r="B727" s="1" t="s">
        <v>107</v>
      </c>
      <c r="E727" s="1" t="s">
        <v>574</v>
      </c>
    </row>
    <row r="728" spans="1:5" x14ac:dyDescent="0.25">
      <c r="A728" s="5" t="s">
        <v>784</v>
      </c>
      <c r="B728" s="1" t="s">
        <v>91</v>
      </c>
      <c r="E728" s="1" t="s">
        <v>574</v>
      </c>
    </row>
    <row r="729" spans="1:5" x14ac:dyDescent="0.25">
      <c r="A729" s="5" t="s">
        <v>579</v>
      </c>
      <c r="B729" s="1" t="s">
        <v>437</v>
      </c>
      <c r="E729" s="1" t="s">
        <v>578</v>
      </c>
    </row>
    <row r="730" spans="1:5" x14ac:dyDescent="0.25">
      <c r="A730" s="5" t="s">
        <v>671</v>
      </c>
      <c r="B730" s="1" t="s">
        <v>197</v>
      </c>
      <c r="E730" s="1" t="s">
        <v>578</v>
      </c>
    </row>
    <row r="731" spans="1:5" x14ac:dyDescent="0.25">
      <c r="A731" s="5" t="s">
        <v>163</v>
      </c>
      <c r="B731" s="1" t="s">
        <v>682</v>
      </c>
      <c r="E731" s="1" t="s">
        <v>578</v>
      </c>
    </row>
    <row r="732" spans="1:5" x14ac:dyDescent="0.25">
      <c r="A732" s="5" t="s">
        <v>685</v>
      </c>
      <c r="B732" s="1" t="s">
        <v>173</v>
      </c>
      <c r="E732" s="1" t="s">
        <v>578</v>
      </c>
    </row>
    <row r="733" spans="1:5" x14ac:dyDescent="0.25">
      <c r="A733" s="5" t="s">
        <v>694</v>
      </c>
      <c r="B733" s="1" t="s">
        <v>2070</v>
      </c>
      <c r="C733" s="1" t="s">
        <v>33</v>
      </c>
      <c r="E733" s="1" t="s">
        <v>578</v>
      </c>
    </row>
    <row r="734" spans="1:5" x14ac:dyDescent="0.25">
      <c r="A734" s="5" t="s">
        <v>729</v>
      </c>
      <c r="B734" s="1" t="s">
        <v>27</v>
      </c>
      <c r="E734" s="1" t="s">
        <v>578</v>
      </c>
    </row>
    <row r="735" spans="1:5" x14ac:dyDescent="0.25">
      <c r="A735" s="5" t="s">
        <v>731</v>
      </c>
      <c r="B735" s="1" t="s">
        <v>732</v>
      </c>
      <c r="E735" s="1" t="s">
        <v>578</v>
      </c>
    </row>
    <row r="736" spans="1:5" x14ac:dyDescent="0.25">
      <c r="A736" s="5" t="s">
        <v>762</v>
      </c>
      <c r="B736" s="1" t="s">
        <v>15</v>
      </c>
      <c r="E736" s="1" t="s">
        <v>578</v>
      </c>
    </row>
    <row r="737" spans="1:5" x14ac:dyDescent="0.25">
      <c r="A737" s="5" t="s">
        <v>764</v>
      </c>
      <c r="B737" s="1" t="s">
        <v>43</v>
      </c>
      <c r="E737" s="1" t="s">
        <v>578</v>
      </c>
    </row>
    <row r="738" spans="1:5" x14ac:dyDescent="0.25">
      <c r="A738" s="5" t="s">
        <v>777</v>
      </c>
      <c r="B738" s="1" t="s">
        <v>778</v>
      </c>
      <c r="E738" s="1" t="s">
        <v>578</v>
      </c>
    </row>
    <row r="739" spans="1:5" x14ac:dyDescent="0.25">
      <c r="A739" s="5" t="s">
        <v>582</v>
      </c>
      <c r="B739" s="1" t="s">
        <v>25</v>
      </c>
      <c r="E739" s="1" t="s">
        <v>581</v>
      </c>
    </row>
    <row r="740" spans="1:5" x14ac:dyDescent="0.25">
      <c r="A740" s="5" t="s">
        <v>618</v>
      </c>
      <c r="B740" s="1" t="s">
        <v>27</v>
      </c>
      <c r="E740" s="1" t="s">
        <v>581</v>
      </c>
    </row>
    <row r="741" spans="1:5" x14ac:dyDescent="0.25">
      <c r="A741" s="5" t="s">
        <v>354</v>
      </c>
      <c r="B741" s="1" t="s">
        <v>107</v>
      </c>
      <c r="E741" s="1" t="s">
        <v>581</v>
      </c>
    </row>
    <row r="742" spans="1:5" x14ac:dyDescent="0.25">
      <c r="A742" s="5" t="s">
        <v>680</v>
      </c>
      <c r="B742" s="1" t="s">
        <v>91</v>
      </c>
      <c r="E742" s="1" t="s">
        <v>581</v>
      </c>
    </row>
    <row r="743" spans="1:5" x14ac:dyDescent="0.25">
      <c r="A743" s="5" t="s">
        <v>704</v>
      </c>
      <c r="B743" s="1" t="s">
        <v>116</v>
      </c>
      <c r="E743" s="1" t="s">
        <v>581</v>
      </c>
    </row>
    <row r="744" spans="1:5" x14ac:dyDescent="0.25">
      <c r="A744" s="5" t="s">
        <v>724</v>
      </c>
      <c r="B744" s="1" t="s">
        <v>64</v>
      </c>
      <c r="E744" s="1" t="s">
        <v>581</v>
      </c>
    </row>
    <row r="745" spans="1:5" x14ac:dyDescent="0.25">
      <c r="A745" s="5" t="s">
        <v>745</v>
      </c>
      <c r="B745" s="1" t="s">
        <v>107</v>
      </c>
      <c r="E745" s="1" t="s">
        <v>581</v>
      </c>
    </row>
    <row r="746" spans="1:5" x14ac:dyDescent="0.25">
      <c r="A746" s="5" t="s">
        <v>754</v>
      </c>
      <c r="B746" s="1" t="s">
        <v>119</v>
      </c>
      <c r="E746" s="1" t="s">
        <v>581</v>
      </c>
    </row>
    <row r="747" spans="1:5" x14ac:dyDescent="0.25">
      <c r="A747" s="5" t="s">
        <v>758</v>
      </c>
      <c r="B747" s="1" t="s">
        <v>412</v>
      </c>
      <c r="E747" s="1" t="s">
        <v>581</v>
      </c>
    </row>
    <row r="748" spans="1:5" x14ac:dyDescent="0.25">
      <c r="A748" s="5" t="s">
        <v>572</v>
      </c>
      <c r="B748" s="1" t="s">
        <v>43</v>
      </c>
      <c r="E748" s="1" t="s">
        <v>571</v>
      </c>
    </row>
    <row r="749" spans="1:5" x14ac:dyDescent="0.25">
      <c r="A749" s="5" t="s">
        <v>600</v>
      </c>
      <c r="B749" s="1" t="s">
        <v>122</v>
      </c>
      <c r="E749" s="1" t="s">
        <v>571</v>
      </c>
    </row>
    <row r="750" spans="1:5" x14ac:dyDescent="0.25">
      <c r="A750" s="5" t="s">
        <v>602</v>
      </c>
      <c r="B750" s="1" t="s">
        <v>603</v>
      </c>
      <c r="E750" s="1" t="s">
        <v>571</v>
      </c>
    </row>
    <row r="751" spans="1:5" x14ac:dyDescent="0.25">
      <c r="A751" s="5" t="s">
        <v>606</v>
      </c>
      <c r="B751" s="1" t="s">
        <v>607</v>
      </c>
      <c r="E751" s="1" t="s">
        <v>571</v>
      </c>
    </row>
    <row r="752" spans="1:5" x14ac:dyDescent="0.25">
      <c r="A752" s="5" t="s">
        <v>611</v>
      </c>
      <c r="B752" s="1" t="s">
        <v>612</v>
      </c>
      <c r="E752" s="1" t="s">
        <v>571</v>
      </c>
    </row>
    <row r="753" spans="1:5" x14ac:dyDescent="0.25">
      <c r="A753" s="5" t="s">
        <v>623</v>
      </c>
      <c r="B753" s="1" t="s">
        <v>119</v>
      </c>
      <c r="E753" s="1" t="s">
        <v>571</v>
      </c>
    </row>
    <row r="754" spans="1:5" x14ac:dyDescent="0.25">
      <c r="A754" s="5" t="s">
        <v>625</v>
      </c>
      <c r="B754" s="1" t="s">
        <v>626</v>
      </c>
      <c r="E754" s="1" t="s">
        <v>571</v>
      </c>
    </row>
    <row r="755" spans="1:5" x14ac:dyDescent="0.25">
      <c r="A755" s="5" t="s">
        <v>631</v>
      </c>
      <c r="B755" s="1" t="s">
        <v>37</v>
      </c>
      <c r="E755" s="1" t="s">
        <v>571</v>
      </c>
    </row>
    <row r="756" spans="1:5" x14ac:dyDescent="0.25">
      <c r="A756" s="5" t="s">
        <v>632</v>
      </c>
      <c r="B756" s="1" t="s">
        <v>617</v>
      </c>
      <c r="E756" s="1" t="s">
        <v>571</v>
      </c>
    </row>
    <row r="757" spans="1:5" x14ac:dyDescent="0.25">
      <c r="A757" s="5" t="s">
        <v>636</v>
      </c>
      <c r="B757" s="1" t="s">
        <v>73</v>
      </c>
      <c r="E757" s="1" t="s">
        <v>571</v>
      </c>
    </row>
    <row r="758" spans="1:5" x14ac:dyDescent="0.25">
      <c r="A758" s="5" t="s">
        <v>637</v>
      </c>
      <c r="B758" s="1" t="s">
        <v>638</v>
      </c>
      <c r="E758" s="1" t="s">
        <v>571</v>
      </c>
    </row>
    <row r="759" spans="1:5" x14ac:dyDescent="0.25">
      <c r="A759" s="5" t="s">
        <v>643</v>
      </c>
      <c r="B759" s="1" t="s">
        <v>644</v>
      </c>
      <c r="E759" s="1" t="s">
        <v>571</v>
      </c>
    </row>
    <row r="760" spans="1:5" x14ac:dyDescent="0.25">
      <c r="A760" s="5" t="s">
        <v>651</v>
      </c>
      <c r="B760" s="1" t="s">
        <v>652</v>
      </c>
      <c r="E760" s="1" t="s">
        <v>571</v>
      </c>
    </row>
    <row r="761" spans="1:5" x14ac:dyDescent="0.25">
      <c r="A761" s="5" t="s">
        <v>653</v>
      </c>
      <c r="B761" s="1" t="s">
        <v>91</v>
      </c>
      <c r="E761" s="1" t="s">
        <v>571</v>
      </c>
    </row>
    <row r="762" spans="1:5" x14ac:dyDescent="0.25">
      <c r="A762" s="5" t="s">
        <v>654</v>
      </c>
      <c r="B762" s="1" t="s">
        <v>73</v>
      </c>
      <c r="E762" s="1" t="s">
        <v>571</v>
      </c>
    </row>
    <row r="763" spans="1:5" x14ac:dyDescent="0.25">
      <c r="A763" s="5" t="s">
        <v>656</v>
      </c>
      <c r="B763" s="1" t="s">
        <v>73</v>
      </c>
      <c r="E763" s="1" t="s">
        <v>571</v>
      </c>
    </row>
    <row r="764" spans="1:5" x14ac:dyDescent="0.25">
      <c r="A764" s="5" t="s">
        <v>661</v>
      </c>
      <c r="B764" s="3" t="s">
        <v>202</v>
      </c>
      <c r="E764" s="1" t="s">
        <v>571</v>
      </c>
    </row>
    <row r="765" spans="1:5" x14ac:dyDescent="0.25">
      <c r="A765" s="5" t="s">
        <v>662</v>
      </c>
      <c r="B765" s="1" t="s">
        <v>33</v>
      </c>
      <c r="E765" s="1" t="s">
        <v>571</v>
      </c>
    </row>
    <row r="766" spans="1:5" x14ac:dyDescent="0.25">
      <c r="A766" s="5" t="s">
        <v>676</v>
      </c>
      <c r="B766" s="1" t="s">
        <v>292</v>
      </c>
      <c r="E766" s="1" t="s">
        <v>571</v>
      </c>
    </row>
    <row r="767" spans="1:5" x14ac:dyDescent="0.25">
      <c r="A767" s="5" t="s">
        <v>689</v>
      </c>
      <c r="B767" s="1" t="s">
        <v>23</v>
      </c>
      <c r="E767" s="1" t="s">
        <v>571</v>
      </c>
    </row>
    <row r="768" spans="1:5" x14ac:dyDescent="0.25">
      <c r="A768" s="5" t="s">
        <v>690</v>
      </c>
      <c r="B768" s="1" t="s">
        <v>667</v>
      </c>
      <c r="E768" s="1" t="s">
        <v>571</v>
      </c>
    </row>
    <row r="769" spans="1:5" x14ac:dyDescent="0.25">
      <c r="A769" s="5" t="s">
        <v>702</v>
      </c>
      <c r="B769" s="1" t="s">
        <v>703</v>
      </c>
      <c r="E769" s="1" t="s">
        <v>571</v>
      </c>
    </row>
    <row r="770" spans="1:5" x14ac:dyDescent="0.25">
      <c r="A770" s="5" t="s">
        <v>740</v>
      </c>
      <c r="B770" s="1" t="s">
        <v>316</v>
      </c>
      <c r="E770" s="1" t="s">
        <v>571</v>
      </c>
    </row>
    <row r="771" spans="1:5" x14ac:dyDescent="0.25">
      <c r="A771" s="5" t="s">
        <v>747</v>
      </c>
      <c r="B771" s="1" t="s">
        <v>67</v>
      </c>
      <c r="E771" s="1" t="s">
        <v>571</v>
      </c>
    </row>
    <row r="772" spans="1:5" x14ac:dyDescent="0.25">
      <c r="A772" s="5" t="s">
        <v>748</v>
      </c>
      <c r="B772" s="1" t="s">
        <v>749</v>
      </c>
      <c r="E772" s="1" t="s">
        <v>571</v>
      </c>
    </row>
    <row r="773" spans="1:5" x14ac:dyDescent="0.25">
      <c r="A773" s="5" t="s">
        <v>750</v>
      </c>
      <c r="B773" s="1" t="s">
        <v>91</v>
      </c>
      <c r="E773" s="1" t="s">
        <v>571</v>
      </c>
    </row>
    <row r="774" spans="1:5" x14ac:dyDescent="0.25">
      <c r="A774" s="5" t="s">
        <v>752</v>
      </c>
      <c r="B774" s="1" t="s">
        <v>753</v>
      </c>
      <c r="E774" s="1" t="s">
        <v>571</v>
      </c>
    </row>
    <row r="775" spans="1:5" x14ac:dyDescent="0.25">
      <c r="A775" s="5" t="s">
        <v>756</v>
      </c>
      <c r="B775" s="1" t="s">
        <v>757</v>
      </c>
      <c r="E775" s="1" t="s">
        <v>571</v>
      </c>
    </row>
    <row r="776" spans="1:5" x14ac:dyDescent="0.25">
      <c r="A776" s="5" t="s">
        <v>760</v>
      </c>
      <c r="B776" s="1" t="s">
        <v>30</v>
      </c>
      <c r="E776" s="1" t="s">
        <v>571</v>
      </c>
    </row>
    <row r="777" spans="1:5" x14ac:dyDescent="0.25">
      <c r="A777" s="5" t="s">
        <v>766</v>
      </c>
      <c r="B777" s="1" t="s">
        <v>25</v>
      </c>
      <c r="E777" s="1" t="s">
        <v>571</v>
      </c>
    </row>
    <row r="778" spans="1:5" x14ac:dyDescent="0.25">
      <c r="A778" s="5" t="s">
        <v>769</v>
      </c>
      <c r="B778" s="1" t="s">
        <v>770</v>
      </c>
      <c r="E778" s="1" t="s">
        <v>571</v>
      </c>
    </row>
    <row r="779" spans="1:5" x14ac:dyDescent="0.25">
      <c r="A779" s="5" t="s">
        <v>773</v>
      </c>
      <c r="B779" s="1" t="s">
        <v>774</v>
      </c>
      <c r="E779" s="1" t="s">
        <v>571</v>
      </c>
    </row>
    <row r="780" spans="1:5" x14ac:dyDescent="0.25">
      <c r="A780" s="5" t="s">
        <v>775</v>
      </c>
      <c r="B780" s="1" t="s">
        <v>2202</v>
      </c>
      <c r="E780" s="1" t="s">
        <v>571</v>
      </c>
    </row>
    <row r="781" spans="1:5" x14ac:dyDescent="0.25">
      <c r="A781" s="5" t="s">
        <v>585</v>
      </c>
      <c r="B781" s="1" t="s">
        <v>144</v>
      </c>
      <c r="E781" s="1" t="s">
        <v>584</v>
      </c>
    </row>
    <row r="782" spans="1:5" x14ac:dyDescent="0.25">
      <c r="A782" s="5" t="s">
        <v>587</v>
      </c>
      <c r="B782" s="1" t="s">
        <v>27</v>
      </c>
      <c r="E782" s="1" t="s">
        <v>584</v>
      </c>
    </row>
    <row r="783" spans="1:5" x14ac:dyDescent="0.25">
      <c r="A783" s="5" t="s">
        <v>589</v>
      </c>
      <c r="B783" s="1" t="s">
        <v>590</v>
      </c>
      <c r="E783" s="1" t="s">
        <v>584</v>
      </c>
    </row>
    <row r="784" spans="1:5" x14ac:dyDescent="0.25">
      <c r="A784" s="5" t="s">
        <v>592</v>
      </c>
      <c r="B784" s="1" t="s">
        <v>412</v>
      </c>
      <c r="E784" s="1" t="s">
        <v>584</v>
      </c>
    </row>
    <row r="785" spans="1:5" x14ac:dyDescent="0.25">
      <c r="A785" s="5" t="s">
        <v>598</v>
      </c>
      <c r="B785" s="1" t="s">
        <v>91</v>
      </c>
      <c r="E785" s="1" t="s">
        <v>584</v>
      </c>
    </row>
    <row r="786" spans="1:5" x14ac:dyDescent="0.25">
      <c r="A786" s="5" t="s">
        <v>608</v>
      </c>
      <c r="B786" s="1" t="s">
        <v>609</v>
      </c>
      <c r="E786" s="1" t="s">
        <v>584</v>
      </c>
    </row>
    <row r="787" spans="1:5" x14ac:dyDescent="0.25">
      <c r="A787" s="5" t="s">
        <v>616</v>
      </c>
      <c r="B787" s="1" t="s">
        <v>617</v>
      </c>
      <c r="E787" s="1" t="s">
        <v>584</v>
      </c>
    </row>
    <row r="788" spans="1:5" x14ac:dyDescent="0.25">
      <c r="A788" s="5" t="s">
        <v>620</v>
      </c>
      <c r="B788" s="1" t="s">
        <v>621</v>
      </c>
      <c r="E788" s="1" t="s">
        <v>584</v>
      </c>
    </row>
    <row r="789" spans="1:5" x14ac:dyDescent="0.25">
      <c r="A789" s="5" t="s">
        <v>628</v>
      </c>
      <c r="B789" s="1" t="s">
        <v>27</v>
      </c>
      <c r="E789" s="1" t="s">
        <v>584</v>
      </c>
    </row>
    <row r="790" spans="1:5" x14ac:dyDescent="0.25">
      <c r="A790" s="5" t="s">
        <v>629</v>
      </c>
      <c r="B790" s="1" t="s">
        <v>27</v>
      </c>
      <c r="E790" s="1" t="s">
        <v>584</v>
      </c>
    </row>
    <row r="791" spans="1:5" x14ac:dyDescent="0.25">
      <c r="A791" s="5" t="s">
        <v>640</v>
      </c>
      <c r="B791" s="1" t="s">
        <v>202</v>
      </c>
      <c r="E791" s="1" t="s">
        <v>584</v>
      </c>
    </row>
    <row r="792" spans="1:5" x14ac:dyDescent="0.25">
      <c r="A792" s="5" t="s">
        <v>648</v>
      </c>
      <c r="B792" s="1" t="s">
        <v>234</v>
      </c>
      <c r="E792" s="1" t="s">
        <v>584</v>
      </c>
    </row>
    <row r="793" spans="1:5" x14ac:dyDescent="0.25">
      <c r="A793" s="5" t="s">
        <v>650</v>
      </c>
      <c r="B793" s="1" t="s">
        <v>384</v>
      </c>
      <c r="E793" s="1" t="s">
        <v>584</v>
      </c>
    </row>
    <row r="794" spans="1:5" x14ac:dyDescent="0.25">
      <c r="A794" s="5" t="s">
        <v>656</v>
      </c>
      <c r="B794" s="1" t="s">
        <v>225</v>
      </c>
      <c r="E794" s="1" t="s">
        <v>584</v>
      </c>
    </row>
    <row r="795" spans="1:5" x14ac:dyDescent="0.25">
      <c r="A795" s="5" t="s">
        <v>658</v>
      </c>
      <c r="B795" s="1" t="s">
        <v>659</v>
      </c>
      <c r="E795" s="1" t="s">
        <v>584</v>
      </c>
    </row>
    <row r="796" spans="1:5" x14ac:dyDescent="0.25">
      <c r="A796" s="5" t="s">
        <v>663</v>
      </c>
      <c r="B796" s="1" t="s">
        <v>664</v>
      </c>
      <c r="E796" s="1" t="s">
        <v>584</v>
      </c>
    </row>
    <row r="797" spans="1:5" x14ac:dyDescent="0.25">
      <c r="A797" s="5" t="s">
        <v>666</v>
      </c>
      <c r="B797" s="1" t="s">
        <v>667</v>
      </c>
      <c r="E797" s="1" t="s">
        <v>584</v>
      </c>
    </row>
    <row r="798" spans="1:5" x14ac:dyDescent="0.25">
      <c r="A798" s="5" t="s">
        <v>669</v>
      </c>
      <c r="B798" s="1" t="s">
        <v>173</v>
      </c>
      <c r="E798" s="1" t="s">
        <v>584</v>
      </c>
    </row>
    <row r="799" spans="1:5" x14ac:dyDescent="0.25">
      <c r="A799" s="5" t="s">
        <v>673</v>
      </c>
      <c r="B799" s="1" t="s">
        <v>674</v>
      </c>
      <c r="E799" s="1" t="s">
        <v>584</v>
      </c>
    </row>
    <row r="800" spans="1:5" x14ac:dyDescent="0.25">
      <c r="A800" s="5" t="s">
        <v>678</v>
      </c>
      <c r="B800" s="1" t="s">
        <v>453</v>
      </c>
      <c r="E800" s="1" t="s">
        <v>584</v>
      </c>
    </row>
    <row r="801" spans="1:5" x14ac:dyDescent="0.25">
      <c r="A801" s="5" t="s">
        <v>163</v>
      </c>
      <c r="B801" s="1" t="s">
        <v>228</v>
      </c>
      <c r="E801" s="1" t="s">
        <v>584</v>
      </c>
    </row>
    <row r="802" spans="1:5" x14ac:dyDescent="0.25">
      <c r="A802" s="5" t="s">
        <v>687</v>
      </c>
      <c r="B802" s="1" t="s">
        <v>228</v>
      </c>
      <c r="E802" s="1" t="s">
        <v>584</v>
      </c>
    </row>
    <row r="803" spans="1:5" x14ac:dyDescent="0.25">
      <c r="A803" s="5" t="s">
        <v>696</v>
      </c>
      <c r="B803" s="1" t="s">
        <v>697</v>
      </c>
      <c r="E803" s="1" t="s">
        <v>584</v>
      </c>
    </row>
    <row r="804" spans="1:5" x14ac:dyDescent="0.25">
      <c r="A804" s="5" t="s">
        <v>698</v>
      </c>
      <c r="B804" s="1" t="s">
        <v>119</v>
      </c>
      <c r="E804" s="1" t="s">
        <v>584</v>
      </c>
    </row>
    <row r="805" spans="1:5" x14ac:dyDescent="0.25">
      <c r="A805" s="5" t="s">
        <v>707</v>
      </c>
      <c r="B805" s="1" t="s">
        <v>708</v>
      </c>
      <c r="E805" s="1" t="s">
        <v>584</v>
      </c>
    </row>
    <row r="806" spans="1:5" x14ac:dyDescent="0.25">
      <c r="A806" s="5" t="s">
        <v>712</v>
      </c>
      <c r="B806" s="1" t="s">
        <v>316</v>
      </c>
      <c r="E806" s="1" t="s">
        <v>584</v>
      </c>
    </row>
    <row r="807" spans="1:5" x14ac:dyDescent="0.25">
      <c r="A807" s="5" t="s">
        <v>714</v>
      </c>
      <c r="B807" s="1" t="s">
        <v>80</v>
      </c>
      <c r="E807" s="1" t="s">
        <v>584</v>
      </c>
    </row>
    <row r="808" spans="1:5" x14ac:dyDescent="0.25">
      <c r="A808" s="5" t="s">
        <v>715</v>
      </c>
      <c r="B808" s="1" t="s">
        <v>64</v>
      </c>
      <c r="E808" s="1" t="s">
        <v>584</v>
      </c>
    </row>
    <row r="809" spans="1:5" x14ac:dyDescent="0.25">
      <c r="A809" s="5" t="s">
        <v>717</v>
      </c>
      <c r="B809" s="1" t="s">
        <v>718</v>
      </c>
      <c r="E809" s="1" t="s">
        <v>584</v>
      </c>
    </row>
    <row r="810" spans="1:5" x14ac:dyDescent="0.25">
      <c r="A810" s="5" t="s">
        <v>719</v>
      </c>
      <c r="B810" s="1" t="s">
        <v>720</v>
      </c>
      <c r="E810" s="1" t="s">
        <v>584</v>
      </c>
    </row>
    <row r="811" spans="1:5" x14ac:dyDescent="0.25">
      <c r="A811" s="5" t="s">
        <v>722</v>
      </c>
      <c r="B811" s="1" t="s">
        <v>76</v>
      </c>
      <c r="E811" s="1" t="s">
        <v>584</v>
      </c>
    </row>
    <row r="812" spans="1:5" x14ac:dyDescent="0.25">
      <c r="A812" s="5" t="s">
        <v>726</v>
      </c>
      <c r="B812" s="1" t="s">
        <v>228</v>
      </c>
      <c r="E812" s="1" t="s">
        <v>584</v>
      </c>
    </row>
    <row r="813" spans="1:5" x14ac:dyDescent="0.25">
      <c r="A813" s="5" t="s">
        <v>728</v>
      </c>
      <c r="B813" s="1" t="s">
        <v>37</v>
      </c>
      <c r="E813" s="1" t="s">
        <v>584</v>
      </c>
    </row>
    <row r="814" spans="1:5" x14ac:dyDescent="0.25">
      <c r="A814" s="5" t="s">
        <v>734</v>
      </c>
      <c r="B814" s="1" t="s">
        <v>225</v>
      </c>
      <c r="E814" s="1" t="s">
        <v>584</v>
      </c>
    </row>
    <row r="815" spans="1:5" x14ac:dyDescent="0.25">
      <c r="A815" s="5" t="s">
        <v>736</v>
      </c>
      <c r="B815" s="1" t="s">
        <v>91</v>
      </c>
      <c r="E815" s="1" t="s">
        <v>584</v>
      </c>
    </row>
    <row r="816" spans="1:5" x14ac:dyDescent="0.25">
      <c r="A816" s="5" t="s">
        <v>738</v>
      </c>
      <c r="B816" s="1" t="s">
        <v>67</v>
      </c>
      <c r="E816" s="1" t="s">
        <v>584</v>
      </c>
    </row>
    <row r="817" spans="1:5" x14ac:dyDescent="0.25">
      <c r="A817" s="5" t="s">
        <v>741</v>
      </c>
      <c r="B817" s="1" t="s">
        <v>27</v>
      </c>
      <c r="E817" s="1" t="s">
        <v>584</v>
      </c>
    </row>
    <row r="818" spans="1:5" x14ac:dyDescent="0.25">
      <c r="A818" s="5" t="s">
        <v>743</v>
      </c>
      <c r="B818" s="1" t="s">
        <v>163</v>
      </c>
      <c r="E818" s="1" t="s">
        <v>584</v>
      </c>
    </row>
    <row r="819" spans="1:5" x14ac:dyDescent="0.25">
      <c r="A819" s="5" t="s">
        <v>767</v>
      </c>
      <c r="B819" s="1" t="s">
        <v>55</v>
      </c>
      <c r="E819" s="1" t="s">
        <v>584</v>
      </c>
    </row>
    <row r="820" spans="1:5" x14ac:dyDescent="0.25">
      <c r="A820" s="5" t="s">
        <v>771</v>
      </c>
      <c r="B820" s="1" t="s">
        <v>23</v>
      </c>
      <c r="E820" s="1" t="s">
        <v>584</v>
      </c>
    </row>
    <row r="821" spans="1:5" x14ac:dyDescent="0.25">
      <c r="A821" s="5" t="s">
        <v>780</v>
      </c>
      <c r="B821" s="1" t="s">
        <v>202</v>
      </c>
      <c r="E821" s="1" t="s">
        <v>584</v>
      </c>
    </row>
    <row r="822" spans="1:5" x14ac:dyDescent="0.25">
      <c r="A822" s="5" t="s">
        <v>782</v>
      </c>
      <c r="B822" s="1" t="s">
        <v>278</v>
      </c>
      <c r="E822" s="1" t="s">
        <v>584</v>
      </c>
    </row>
  </sheetData>
  <autoFilter ref="A1:E822"/>
  <hyperlinks>
    <hyperlink ref="F2" r:id="rId1" display="mailto:marco.cavaliere@intesasanpaolo.com"/>
    <hyperlink ref="F3" r:id="rId2" display="mailto:marco.aruta@intesasanpaolo.com"/>
    <hyperlink ref="F4" r:id="rId3" display="mailto:flavio.astorino@intesasanpaolo.com"/>
    <hyperlink ref="F5" r:id="rId4" display="mailto:elio.bellucci@intesasanpaolo.com"/>
    <hyperlink ref="F6" r:id="rId5" display="mailto:sara.benincasa@intesasanpaolo.com"/>
    <hyperlink ref="F7" r:id="rId6" display="mailto:mario.buccigrossi@intesasanpaolo.com"/>
    <hyperlink ref="F8" r:id="rId7" display="mailto:paolo.camino@intesasanpaolo.com"/>
    <hyperlink ref="F9" r:id="rId8" display="mailto:lorenzo.caraco@intesasanpaolo.com"/>
    <hyperlink ref="F10" r:id="rId9" display="mailto:pietro.chiriaco@intesasanpaolo.com"/>
    <hyperlink ref="F11" r:id="rId10" display="mailto:giovanni.colombrita@intesasanpaolo.com"/>
    <hyperlink ref="F12" r:id="rId11" display="mailto:francesco.conti1@intesasanpaolo.com"/>
    <hyperlink ref="F13" r:id="rId12" display="mailto:davide.dandrea@intesasanpaolo.com"/>
    <hyperlink ref="F14" r:id="rId13" display="mailto:massimo.dapice@intesasanpaolo.com"/>
    <hyperlink ref="F15" r:id="rId14" display="mailto:biagio.fraudatario@intesasanpaolo.com"/>
    <hyperlink ref="F16" r:id="rId15" display="mailto:daniele.lombardi@intesasanpaolo.com"/>
    <hyperlink ref="F17" r:id="rId16" display="mailto:arianna.lotito@intesasanpaolo.com"/>
    <hyperlink ref="F18" r:id="rId17" display="mailto:tommaso.marano@intesasanpaolo.com"/>
    <hyperlink ref="F19" r:id="rId18" display="mailto:mauro.melli@intesasanpaolo.com"/>
    <hyperlink ref="F20" r:id="rId19" display="mailto:arianna.miola@intesasanpaolo.com"/>
    <hyperlink ref="F21" r:id="rId20" display="mailto:marco.pillon@intesasanpaolo.com"/>
    <hyperlink ref="F22" r:id="rId21" display="mailto:ugo.pisanimassamormile@intesasanpaolo.com"/>
    <hyperlink ref="F23" r:id="rId22" display="mailto:guido.pompeo@intesasanpaolo.com"/>
    <hyperlink ref="F24" r:id="rId23" display="mailto:alessandro.raso@intesasanpaolo.com"/>
    <hyperlink ref="F25" r:id="rId24" display="mailto:lorenzo.rivotto@intesasanpaolo.com"/>
    <hyperlink ref="F26" r:id="rId25" display="mailto:fabio.rossato@intesasanpaolo.com"/>
    <hyperlink ref="F27" r:id="rId26" display="mailto:enrico.rutigliano@intesasanpaolo.com"/>
    <hyperlink ref="F28" r:id="rId27" display="mailto:michele.sanfilippo@intesasanpaolo.com"/>
    <hyperlink ref="F29" r:id="rId28" display="mailto:stefano.spadaro@intesasanpaolo.com"/>
    <hyperlink ref="F30" r:id="rId29" display="mailto:liberato.striano@intesasanpaolo.com"/>
    <hyperlink ref="F31" r:id="rId30" display="mailto:massimo.torrengo@intesasanpaolo.com"/>
    <hyperlink ref="F32" r:id="rId31" display="mailto:valter.vacchiano@intesasanpaolo.com"/>
    <hyperlink ref="F33" r:id="rId32" display="mailto:giorgio.einaudi@intesasanpaolo.com"/>
    <hyperlink ref="F34" r:id="rId33" display="mailto:walter.alessandria@intesasanpaolo.com"/>
    <hyperlink ref="F35" r:id="rId34" display="mailto:piero.andreis@intesasanpaolo.com"/>
    <hyperlink ref="F36" r:id="rId35" display="mailto:danilo.canuto@intesasanpaolo.com"/>
    <hyperlink ref="F37" r:id="rId36" display="mailto:liliana.carena@intesasanpaolo.com"/>
    <hyperlink ref="F38" r:id="rId37" display="mailto:floriana.chiara@intesasanpaolo.com"/>
    <hyperlink ref="F39" r:id="rId38" display="mailto:alessandro.corgiolu@intesasanpaolo.com"/>
    <hyperlink ref="F40" r:id="rId39" display="mailto:alessia.cutrupi@intesasanpaolo.com"/>
    <hyperlink ref="F41" r:id="rId40" display="mailto:eugenio.garruto@intesasanpaolo.com"/>
    <hyperlink ref="F42" r:id="rId41" display="mailto:silvia.gili@intesasanpaolo.com"/>
    <hyperlink ref="F43" r:id="rId42" display="mailto:riccardo.lombardi@intesasanpaolo.com"/>
    <hyperlink ref="F44" r:id="rId43" display="mailto:lorena.lupo@intesasanpaolo.com"/>
    <hyperlink ref="F45" r:id="rId44" display="mailto:elena.maiarota@intesasanpaolo.com"/>
    <hyperlink ref="F46" r:id="rId45" display="mailto:mirko.mureddu@intesasanpaolo.com"/>
    <hyperlink ref="F47" r:id="rId46" display="mailto:antonio.revelli@intesasanpaolo.com"/>
    <hyperlink ref="F48" r:id="rId47" display="mailto:paolo.zuccone@intesasanpaolo.com"/>
    <hyperlink ref="F49" r:id="rId48" display="mailto:gianluca.traficante@intesasanpaolo.com"/>
    <hyperlink ref="F50" r:id="rId49" display="mailto:daniela.busani@intesasanpaolo.com"/>
    <hyperlink ref="F51" r:id="rId50" display="mailto:roberto.cogni@intesasanpaolo.com"/>
    <hyperlink ref="F52" r:id="rId51" display="mailto:davide.dacunto@intesasanpaolo.com"/>
    <hyperlink ref="F53" r:id="rId52" display="mailto:roberto.dami@intesasanpaolo.com"/>
    <hyperlink ref="F54" r:id="rId53" display="mailto:roberto.forti@intesasanpaolo.com"/>
    <hyperlink ref="F55" r:id="rId54" display="mailto:dario.panarese@intesasanpaolo.com"/>
    <hyperlink ref="F56" r:id="rId55" display="mailto:bruno.sbrana@intesasanpaolo.com"/>
    <hyperlink ref="F57" r:id="rId56" display="mailto:roberto.novaro@intesasanpaolo.com"/>
    <hyperlink ref="F58" r:id="rId57" display="mailto:erik.cenci@intesasanpaolo.com"/>
    <hyperlink ref="F59" r:id="rId58" display="mailto:mariangela.centonze@intesasanpaolo.com"/>
    <hyperlink ref="F60" r:id="rId59" display="mailto:stefano.cerrina@intesasanpaolo.com"/>
    <hyperlink ref="F61" r:id="rId60" display="mailto:milena.chialva@intesasanpaolo.com"/>
    <hyperlink ref="F62" r:id="rId61" display="mailto:salvatore.grasso@intesasanpaolo.com"/>
    <hyperlink ref="F63" r:id="rId62" display="mailto:emmanuele.lacavalla@intesasanpaolo.com"/>
    <hyperlink ref="F64" r:id="rId63" display="mailto:silvia.massi@intesasanpaolo.com"/>
    <hyperlink ref="F65" r:id="rId64" display="mailto:giovanni.mastronardi@intesasanpaolo.com"/>
    <hyperlink ref="F66" r:id="rId65" display="mailto:davide.menardi@intesasanpaolo.com"/>
    <hyperlink ref="F67" r:id="rId66" display="mailto:angelo.piras@intesasanpaolo.com"/>
    <hyperlink ref="F68" r:id="rId67" display="mailto:ezio.gribaudo@intesasanpaolo.com"/>
    <hyperlink ref="F69" r:id="rId68" display="mailto:giovanni.binello@intesasanpaolo.com"/>
    <hyperlink ref="F70" r:id="rId69" display="mailto:marco.catalano1@intesasanpaolo.com"/>
    <hyperlink ref="F71" r:id="rId70" display="mailto:marco.chiantello@intesasanpaolo.com"/>
    <hyperlink ref="F72" r:id="rId71" display="mailto:francesco.compari@intesasanpaolo.com"/>
    <hyperlink ref="F73" r:id="rId72" display="mailto:nunzio.dagostino@intesasanpaolo.com"/>
    <hyperlink ref="F74" r:id="rId73" display="mailto:manuel.durando@intesasanpaolo.com"/>
    <hyperlink ref="F75" r:id="rId74" display="mailto:nicola.fucilli@intesasanpaolo.com"/>
    <hyperlink ref="F76" r:id="rId75" display="mailto:giuliano.manciagli@intesasanpaolo.com"/>
    <hyperlink ref="F77" r:id="rId76" display="mailto:anna.morabito@intesasanpaolo.com"/>
    <hyperlink ref="F78" r:id="rId77" display="mailto:piero.occelli@intesasanpaolo.com"/>
    <hyperlink ref="F79" r:id="rId78" display="mailto:federica.pizzato@intesasanpaolo.com"/>
    <hyperlink ref="F80" r:id="rId79" display="mailto:ioannis.vlachodimos@intesasanpaolo.com"/>
    <hyperlink ref="F81" r:id="rId80" display="mailto:giovanni.bruno1@intesasanpaolo.com"/>
    <hyperlink ref="F82" r:id="rId81" display="mailto:piermario.alloisio@intesasanpaolo.com"/>
    <hyperlink ref="F83" r:id="rId82" display="mailto:cristina.anelli@intesasanpaolo.com"/>
    <hyperlink ref="F84" r:id="rId83" display="mailto:francesco.bellini@intesasanpaolo.com"/>
    <hyperlink ref="F85" r:id="rId84" display="mailto:ermanno.bertolotti@intesasanpaolo.com"/>
    <hyperlink ref="F86" r:id="rId85" display="mailto:giuseppe.capobianco@intesasanpaolo.com"/>
    <hyperlink ref="F87" r:id="rId86" display="mailto:giulia.genta@intesasanpaolo.com"/>
    <hyperlink ref="F88" r:id="rId87" display="mailto:mostafa.khalilibijargahi@intesasanpaolo.com"/>
    <hyperlink ref="F89" r:id="rId88" display="mailto:fabrizio.labate@intesasanpaolo.com"/>
    <hyperlink ref="F90" r:id="rId89" display="mailto:francesca.olivetta@intesasanpaolo.com"/>
    <hyperlink ref="F91" r:id="rId90" display="mailto:christian.ollari@intesasanpaolo.com"/>
    <hyperlink ref="F92" r:id="rId91" display="mailto:andrea.parodi@intesasanpaolo.com"/>
    <hyperlink ref="F93" r:id="rId92" display="mailto:raffaele.saggino@intesasanpaolo.com"/>
    <hyperlink ref="F94" r:id="rId93" display="mailto:enrico.trombin@intesasanpaolo.com"/>
    <hyperlink ref="F95" r:id="rId94" display="mailto:gabriella.vezzani@intesasanpaolo.com"/>
    <hyperlink ref="F96" r:id="rId95" display="mailto:flavio.fasano@intesasanpaolo.com"/>
    <hyperlink ref="F97" r:id="rId96" display="mailto:antonio.addario@intesasanpaolo.com"/>
    <hyperlink ref="F98" r:id="rId97" display="mailto:elisabetta.carita@intesasanpaolo.com"/>
    <hyperlink ref="F99" r:id="rId98" display="mailto:alessandro.conconi@intesasanpaolo.com"/>
    <hyperlink ref="F100" r:id="rId99" display="mailto:andrea.crovagna@intesasanpaolo.com"/>
    <hyperlink ref="F101" r:id="rId100" display="mailto:andrea.folli@intesasanpaolo.com"/>
    <hyperlink ref="F102" r:id="rId101" display="mailto:domenico.garibaldi@intesasanpaolo.com"/>
    <hyperlink ref="F103" r:id="rId102" display="mailto:valeria.mangiapane1@intesasanpaolo.com"/>
    <hyperlink ref="F104" r:id="rId103" display="mailto:alessandro.marchisio@intesasanpaolo.com"/>
    <hyperlink ref="F105" r:id="rId104" display="mailto:paolo.moncalero@intesasanpaolo.com"/>
    <hyperlink ref="F106" r:id="rId105" display="mailto:carlo.morello@intesasanpaolo.com"/>
    <hyperlink ref="F107" r:id="rId106" display="mailto:mario.musso@intesasanpaolo.com"/>
    <hyperlink ref="F108" r:id="rId107" display="mailto:ciro.ragone@intesasanpaolo.com"/>
    <hyperlink ref="F109" r:id="rId108" display="mailto:matteo.ricchetti@intesasanpaolo.com"/>
    <hyperlink ref="F110" r:id="rId109" display="mailto:alessandro.santini@intesasanpaolo.com"/>
    <hyperlink ref="F111" r:id="rId110" display="mailto:fabio.tramontana@intesasanpaolo.com"/>
    <hyperlink ref="F112" r:id="rId111" display="mailto:gianmario.parisi@intesasanpaolo.com"/>
    <hyperlink ref="F113" r:id="rId112" display="mailto:marco.anselmino@intesasanpaolo.com"/>
    <hyperlink ref="F114" r:id="rId113" display="mailto:daniele.balbisettino@intesasanpaolo.com"/>
    <hyperlink ref="F115" r:id="rId114" display="mailto:fabio.bernardo@intesasanpaolo.com"/>
    <hyperlink ref="F116" r:id="rId115" display="mailto:chiara.broglia@intesasanpaolo.com"/>
    <hyperlink ref="F117" r:id="rId116" display="mailto:cristian.curatolo@intesasanpaolo.com"/>
    <hyperlink ref="F118" r:id="rId117" display="mailto:davide.demartino@intesasanpaolo.com"/>
    <hyperlink ref="F119" r:id="rId118" display="mailto:giuseppe.delliquadri@intesasanpaolo.com"/>
    <hyperlink ref="F120" r:id="rId119" display="mailto:veaceslav.derli@intesasanpaolo.com"/>
    <hyperlink ref="F121" r:id="rId120" display="mailto:roberto.fogliasso@intesasanpaolo.com"/>
    <hyperlink ref="F122" r:id="rId121" display="mailto:valentina.gozzi@intesasanpaolo.com"/>
    <hyperlink ref="F123" r:id="rId122" display="mailto:roberto.lombardo@intesasanpaolo.com"/>
    <hyperlink ref="F124" r:id="rId123" display="mailto:florinda.monaco@intesasanpaolo.com"/>
    <hyperlink ref="F125" r:id="rId124" display="mailto:giuseppe.monardo@intesasanpaolo.com"/>
    <hyperlink ref="F126" r:id="rId125" display="mailto:roberto.oppici@intesasanpaolo.com"/>
    <hyperlink ref="F127" r:id="rId126" display="mailto:luigi.perfetti@intesasanpaolo.com"/>
    <hyperlink ref="F128" r:id="rId127" display="mailto:ciro.petitto@intesasanpaolo.com"/>
    <hyperlink ref="F129" r:id="rId128" display="mailto:ilaria.rastelli@intesasanpaolo.com"/>
    <hyperlink ref="F130" r:id="rId129" display="mailto:simone.santacroce@intesasanpaolo.com"/>
    <hyperlink ref="F131" r:id="rId130" display="mailto:daniele.uccellatore@intesasanpaolo.com"/>
    <hyperlink ref="F132" r:id="rId131" display="mailto:stefano.zuliani@intesasanpaolo.com"/>
    <hyperlink ref="F133" r:id="rId132" display="mailto:michele.zilli@intesasanpaolo.com"/>
    <hyperlink ref="F134" r:id="rId133" display="mailto:massimo.borrini@intesasanpaolo.com"/>
    <hyperlink ref="F135" r:id="rId134" display="mailto:bruno.calabrese@intesasanpaolo.com"/>
    <hyperlink ref="F136" r:id="rId135" display="mailto:giovanni.catallo@intesasanpaolo.com"/>
    <hyperlink ref="F137" r:id="rId136" display="mailto:luciano.cavalli@intesasanpaolo.com"/>
    <hyperlink ref="F138" r:id="rId137" display="mailto:daniele.delfini@intesasanpaolo.com"/>
    <hyperlink ref="F139" r:id="rId138" display="mailto:roberto.dimaio@intesasanpaolo.com"/>
    <hyperlink ref="F140" r:id="rId139" display="mailto:giuliano.grassi@intesasanpaolo.com"/>
    <hyperlink ref="F141" r:id="rId140" display="mailto:andrea.guida@intesasanpaolo.com"/>
    <hyperlink ref="F142" r:id="rId141" display="mailto:mauro.narducci@intesasanpaolo.com"/>
    <hyperlink ref="F143" r:id="rId142" display="mailto:paolo.rocca1@intesasanpaolo.com"/>
    <hyperlink ref="F144" r:id="rId143" display="mailto:pierluigi.savani@intesasanpaolo.com"/>
    <hyperlink ref="F145" r:id="rId144" display="mailto:alfredo.somma@intesasanpaolo.com"/>
    <hyperlink ref="F146" r:id="rId145" display="mailto:luigi.ubaldini@intesasanpaolo.com"/>
    <hyperlink ref="F147" r:id="rId146" display="mailto:marco.franceschinis@intesasanpaolo.com"/>
    <hyperlink ref="F148" r:id="rId147" display="mailto:sergiu.axinte@intesasanpaolo.com"/>
    <hyperlink ref="F149" r:id="rId148" display="mailto:francesco.bartoli@intesasanpaolo.com"/>
    <hyperlink ref="F150" r:id="rId149" display="mailto:michela.bauducco@intesasanpaolo.com"/>
    <hyperlink ref="F151" r:id="rId150" display="mailto:luca.chiarella@intesasanpaolo.com"/>
    <hyperlink ref="F152" r:id="rId151" display="mailto:francesco.demartino1@intesasanpaolo.com"/>
    <hyperlink ref="F153" r:id="rId152" display="mailto:luigi.digirolamo@intesasanpaolo.com"/>
    <hyperlink ref="F154" r:id="rId153" display="mailto:george.dragos@intesasanpaolo.com"/>
    <hyperlink ref="F155" r:id="rId154" display="mailto:walter.fulli@intesasanpaolo.com"/>
    <hyperlink ref="F156" r:id="rId155" display="mailto:luciano.giardini@intesasanpaolo.com"/>
    <hyperlink ref="F157" r:id="rId156" display="mailto:sebastiano.gibilisco@intesasanpaolo.com"/>
    <hyperlink ref="F158" r:id="rId157" display="mailto:marco.gori@intesasanpaolo.com"/>
    <hyperlink ref="F159" r:id="rId158" display="mailto:alessandro.maia@intesasanpaolo.com"/>
    <hyperlink ref="F160" r:id="rId159" display="mailto:fabio.martina@intesasanpaolo.com"/>
    <hyperlink ref="F161" r:id="rId160" display="mailto:giuseppe.mittica@intesasanpaolo.com"/>
    <hyperlink ref="F162" r:id="rId161" display="mailto:roberto.morando@intesasanpaolo.com"/>
    <hyperlink ref="F163" r:id="rId162" display="mailto:marco.pizzigati@intesasanpaolo.com"/>
    <hyperlink ref="F164" r:id="rId163" display="mailto:marco.pomponi@intesasanpaolo.com"/>
    <hyperlink ref="F165" r:id="rId164" display="mailto:andrea.sardo@intesasanpaolo.com"/>
    <hyperlink ref="F166" r:id="rId165" display="mailto:angelo.schembri@intesasanpaolo.com"/>
    <hyperlink ref="F167" r:id="rId166" display="mailto:daniele.tempo@intesasanpaolo.com"/>
    <hyperlink ref="F168" r:id="rId167" display="mailto:abel.vintur@intesasanpaolo.com"/>
    <hyperlink ref="F169" r:id="rId168" display="mailto:roberto.viscuso@intesasanpaolo.com"/>
    <hyperlink ref="F170" r:id="rId169" display="mailto:jure.zovko@intesasanpaolo.com"/>
    <hyperlink ref="F171" r:id="rId170" display="mailto:nicola.bottioni@intesasanpaolo.com"/>
    <hyperlink ref="F172" r:id="rId171" display="mailto:massimo.azzali@intesasanpaolo.com"/>
    <hyperlink ref="F173" r:id="rId172" display="mailto:fabio.balzano@intesasanpaolo.com"/>
    <hyperlink ref="F174" r:id="rId173" display="mailto:tiziano.battilocchi@intesasanpaolo.com"/>
    <hyperlink ref="F175" r:id="rId174" display="mailto:luca.bruseghini@intesasanpaolo.com"/>
    <hyperlink ref="F176" r:id="rId175" display="mailto:crescenzo.capuano@intesasanpaolo.com"/>
    <hyperlink ref="F177" r:id="rId176" display="mailto:davide.cavalca@intesasanpaolo.com"/>
    <hyperlink ref="F178" r:id="rId177" display="mailto:andrea.comelli@intesasanpaolo.com"/>
    <hyperlink ref="F179" r:id="rId178" display="mailto:simone.galeotti@intesasanpaolo.com"/>
    <hyperlink ref="F180" r:id="rId179" display="mailto:piergiorgio.gavarini@intesasanpaolo.com"/>
    <hyperlink ref="F181" r:id="rId180" display="mailto:giorgio.ghinelli@intesasanpaolo.com"/>
    <hyperlink ref="F182" r:id="rId181" display="mailto:dario.gorla@intesasanpaolo.com"/>
    <hyperlink ref="F183" r:id="rId182" display="mailto:roberto.iacono@intesasanpaolo.com"/>
    <hyperlink ref="F184" r:id="rId183" display="mailto:tommaso.iannuzzi@intesasanpaolo.com"/>
    <hyperlink ref="F185" r:id="rId184" display="mailto:ruggero.loi@intesasanpaolo.com"/>
    <hyperlink ref="F186" r:id="rId185" display="mailto:giacomo.lupi@intesasanpaolo.com"/>
    <hyperlink ref="F187" r:id="rId186" display="mailto:alessandro.maini@intesasanpaolo.com"/>
    <hyperlink ref="F188" r:id="rId187" display="mailto:paolo.maranzoni@intesasanpaolo.com"/>
    <hyperlink ref="F189" r:id="rId188" display="mailto:angelo.milardi@intesasanpaolo.com"/>
    <hyperlink ref="F190" r:id="rId189" display="mailto:fabio.murgia@intesasanpaolo.com"/>
    <hyperlink ref="F191" r:id="rId190" display="mailto:massimo.parodi@intesasanpaolo.com"/>
    <hyperlink ref="F192" r:id="rId191" display="mailto:matteo.pellerzi@intesasanpaolo.com"/>
    <hyperlink ref="F193" r:id="rId192" display="mailto:fabio.ponzi@intesasanpaolo.com"/>
    <hyperlink ref="F194" r:id="rId193" display="mailto:daniele.raiteri@intesasanpaolo.com"/>
    <hyperlink ref="F195" r:id="rId194" display="mailto:marco.robuschi@intesasanpaolo.com"/>
    <hyperlink ref="F196" r:id="rId195" display="mailto:marco.rossetti@intesasanpaolo.com"/>
    <hyperlink ref="F197" r:id="rId196" display="mailto:marcello.rotelli@intesasanpaolo.com"/>
    <hyperlink ref="F198" r:id="rId197" display="mailto:luca.scaccaglia@intesasanpaolo.com"/>
    <hyperlink ref="F199" r:id="rId198" display="mailto:leonardo.ubaldi@intesasanpaolo.com"/>
    <hyperlink ref="F200" r:id="rId199" display="mailto:andrea.verona@intesasanpaolo.com"/>
    <hyperlink ref="F201" r:id="rId200" display="mailto:massimo.garbellini@intesasanpaolo.com"/>
    <hyperlink ref="F202" r:id="rId201" display="mailto:enrico.basso@intesasanpaolo.com"/>
    <hyperlink ref="F203" r:id="rId202" display="mailto:lorenzo.belle@intesasanpaolo.com"/>
    <hyperlink ref="F204" r:id="rId203" display="mailto:andrea.bettin@intesasanpaolo.com"/>
    <hyperlink ref="F205" r:id="rId204" display="mailto:piergiorgio.centenaro@intesasanpaolo.com"/>
    <hyperlink ref="F206" r:id="rId205" display="mailto:stefano.ciriello@intesasanpaolo.com"/>
    <hyperlink ref="F207" r:id="rId206" display="mailto:armando.dellabella@intesasanpaolo.com"/>
    <hyperlink ref="F208" r:id="rId207" display="mailto:stefano.dimeo@intesasanpaolo.com"/>
    <hyperlink ref="F209" r:id="rId208" display="mailto:daniele.forner@intesasanpaolo.com"/>
    <hyperlink ref="F210" r:id="rId209" display="mailto:mario.giaretta@intesasanpaolo.com"/>
    <hyperlink ref="F211" r:id="rId210" display="mailto:linter.guglielmi@intesasanpaolo.com"/>
    <hyperlink ref="F212" r:id="rId211" display="mailto:antonio.loreggian@intesasanpaolo.com"/>
    <hyperlink ref="F213" r:id="rId212" display="mailto:marco.marin@intesasanpaolo.com"/>
    <hyperlink ref="F214" r:id="rId213" display="mailto:michele.sciacovelli@intesasanpaolo.com"/>
    <hyperlink ref="F215" r:id="rId214" display="mailto:damiano.secchiero@intesasanpaolo.com"/>
    <hyperlink ref="F216" r:id="rId215" display="mailto:daniele.villa@intesasanpaolo.com"/>
    <hyperlink ref="F217" r:id="rId216" display="mailto:maria.zampieri@intesasanpaolo.com"/>
    <hyperlink ref="F218" r:id="rId217" display="mailto:antonio.zen@intesasanpaolo.com"/>
    <hyperlink ref="F219" r:id="rId218" display="mailto:claudio.tinaglia@intesasanpaolo.com"/>
    <hyperlink ref="F220" r:id="rId219" display="mailto:stefano.andrioli@intesasanpaolo.com"/>
    <hyperlink ref="F221" r:id="rId220" display="mailto:bruno.berti@intesasanpaolo.com"/>
    <hyperlink ref="F222" r:id="rId221" display="mailto:lorenzo.estienne@intesasanpaolo.com"/>
    <hyperlink ref="F223" r:id="rId222" display="mailto:yuriy.kuntsyak@intesasanpaolo.com"/>
    <hyperlink ref="F224" r:id="rId223" display="mailto:riccardo.pagan@intesasanpaolo.com"/>
    <hyperlink ref="F225" r:id="rId224" display="mailto:luciano.piantoni@intesasanpaolo.com"/>
    <hyperlink ref="F226" r:id="rId225" display="mailto:mirko.piazza@intesasanpaolo.com"/>
    <hyperlink ref="F227" r:id="rId226" display="mailto:denis.rapiti@intesasanpaolo.com"/>
    <hyperlink ref="F228" r:id="rId227" display="mailto:eugenio.scarica@intesasanpaolo.com"/>
    <hyperlink ref="F229" r:id="rId228" display="mailto:alessandro.simionato@intesasanpaolo.com"/>
    <hyperlink ref="F230" r:id="rId229" display="mailto:mario.morino@intesasanpaolo.com"/>
    <hyperlink ref="F231" r:id="rId230" display="mailto:nicola.allinoro@intesasanpaolo.com"/>
    <hyperlink ref="F232" r:id="rId231" display="mailto:giovanni.bardella@intesasanpaolo.com"/>
    <hyperlink ref="F233" r:id="rId232" display="mailto:claudio.bernardelli@intesasanpaolo.com"/>
    <hyperlink ref="F234" r:id="rId233" display="mailto:diego.biscuola@intesasanpaolo.com"/>
    <hyperlink ref="F235" r:id="rId234" display="mailto:paolo.bocchio@intesasanpaolo.com"/>
    <hyperlink ref="F236" r:id="rId235" display="mailto:emilio.demartino@intesasanpaolo.com"/>
    <hyperlink ref="F237" r:id="rId236" display="mailto:alessandro.dimonte@intesasanpaolo.com"/>
    <hyperlink ref="F238" r:id="rId237" display="mailto:francesco.falbo@intesasanpaolo.com"/>
    <hyperlink ref="F239" r:id="rId238" display="mailto:daniele.giaimo@intesasanpaolo.com"/>
    <hyperlink ref="F240" r:id="rId239" display="mailto:donato.lucconavei@intesasanpaolo.com"/>
    <hyperlink ref="F241" r:id="rId240" display="mailto:valter.mari@intesasanpaolo.com"/>
    <hyperlink ref="F242" r:id="rId241" display="mailto:livio.musella@intesasanpaolo.com"/>
    <hyperlink ref="F243" r:id="rId242" display="mailto:aldo.piazza@intesasanpaolo.com"/>
    <hyperlink ref="F244" r:id="rId243" display="mailto:carlo.quattrocolo@intesasanpaolo.com"/>
    <hyperlink ref="F245" r:id="rId244" display="mailto:orazio.raciti@intesasanpaolo.com"/>
    <hyperlink ref="F246" r:id="rId245" display="mailto:fabrizio.ravasio@intesasanpaolo.com"/>
    <hyperlink ref="F247" r:id="rId246" display="mailto:gabriele.romeo@intesasanpaolo.com"/>
    <hyperlink ref="F248" r:id="rId247" display="mailto:mauro.russo@intesasanpaolo.com"/>
    <hyperlink ref="F249" r:id="rId248" display="mailto:luca.salvini@intesasanpaolo.com"/>
    <hyperlink ref="F250" r:id="rId249" display="mailto:leonardo.sampietro@intesasanpaolo.com"/>
    <hyperlink ref="F251" r:id="rId250" display="mailto:alberto.socci@intesasanpaolo.com"/>
    <hyperlink ref="F252" r:id="rId251" display="mailto:ottavio.tolve@intesasanpaolo.com"/>
    <hyperlink ref="F253" r:id="rId252" display="mailto:alessio.tonello@intesasanpaolo.com"/>
    <hyperlink ref="F254" r:id="rId253" display="mailto:michele.traficante@intesasanpaolo.com"/>
    <hyperlink ref="F255" r:id="rId254" display="mailto:paolo.valpreda@intesasanpaolo.com"/>
    <hyperlink ref="F256" r:id="rId255" display="mailto:bruno.vernero@intesasanpaolo.com"/>
    <hyperlink ref="F257" r:id="rId256" display="mailto:marco.loddo@intesasanpaolo.com"/>
    <hyperlink ref="F258" r:id="rId257" display="mailto:michele.ambrogio@intesasanpaolo.com"/>
    <hyperlink ref="F259" r:id="rId258" display="mailto:giambattista.azzini@intesasanpaolo.com"/>
    <hyperlink ref="F260" r:id="rId259" display="mailto:massimo.carrabs@intesasanpaolo.com"/>
    <hyperlink ref="F261" r:id="rId260" display="mailto:ferruccio.cinquesanti@intesasanpaolo.com"/>
    <hyperlink ref="F262" r:id="rId261" display="mailto:cristiano.galtarossa@intesasanpaolo.com"/>
    <hyperlink ref="F263" r:id="rId262" display="mailto:yuri.luccoborlera@intesasanpaolo.com"/>
    <hyperlink ref="F264" r:id="rId263" display="mailto:davide.moro@intesasanpaolo.com"/>
    <hyperlink ref="F265" r:id="rId264" display="mailto:martina.rizzati@intesasanpaolo.com"/>
    <hyperlink ref="F266" r:id="rId265" display="mailto:marco.serra1@intesasanpaolo.com"/>
    <hyperlink ref="F267" r:id="rId266" display="mailto:roberto.vecchierelli@intesasanpaolo.com"/>
    <hyperlink ref="F268" r:id="rId267" display="mailto:giuseppe.alessandrino@intesasanpaolo.com"/>
    <hyperlink ref="F269" r:id="rId268" display="mailto:simona.bastianello@intesasanpaolo.com"/>
    <hyperlink ref="F270" r:id="rId269" display="mailto:aurelio.birolini@intesasanpaolo.com"/>
    <hyperlink ref="F271" r:id="rId270" display="mailto:davide.bonatti@intesasanpaolo.com"/>
    <hyperlink ref="F272" r:id="rId271" display="mailto:veronica.bonsignore@intesasanpaolo.com"/>
    <hyperlink ref="F273" r:id="rId272" display="mailto:alessandro.carino@intesasanpaolo.com"/>
    <hyperlink ref="F274" r:id="rId273" display="mailto:giovanni.caselli@intesasanpaolo.com"/>
    <hyperlink ref="F275" r:id="rId274" display="mailto:paolo.cavanus@intesasanpaolo.com"/>
    <hyperlink ref="F276" r:id="rId275" display="mailto:fabio.colabona@intesasanpaolo.com"/>
    <hyperlink ref="F277" r:id="rId276" display="mailto:luigi.colombo@intesasanpaolo.com"/>
    <hyperlink ref="F278" r:id="rId277" display="mailto:claudio.dalba@intesasanpaolo.com"/>
    <hyperlink ref="F279" r:id="rId278" display="mailto:piergiuseppe.denardo@intesasanpaolo.com"/>
    <hyperlink ref="F280" r:id="rId279" display="mailto:claudio.degregori@intesasanpaolo.com"/>
    <hyperlink ref="F281" r:id="rId280" display="mailto:luca.distaso@intesasanpaolo.com"/>
    <hyperlink ref="F282" r:id="rId281" display="mailto:marco.gerussi@intesasanpaolo.com"/>
    <hyperlink ref="F283" r:id="rId282" display="mailto:claudio.gherardi@intesasanpaolo.com"/>
    <hyperlink ref="F284" r:id="rId283" display="mailto:giulio.giandomenico@intesasanpaolo.com"/>
    <hyperlink ref="F285" r:id="rId284" display="mailto:luigi.gianni@intesasanpaolo.com"/>
    <hyperlink ref="F286" r:id="rId285" display="mailto:roberto.giuffre@intesasanpaolo.com"/>
    <hyperlink ref="F287" r:id="rId286" display="mailto:damiano.manzoni@intesasanpaolo.com"/>
    <hyperlink ref="F288" r:id="rId287" display="mailto:carlo.pincelli@intesasanpaolo.com"/>
    <hyperlink ref="F289" r:id="rId288" display="mailto:marco.ragusa@intesasanpaolo.com"/>
    <hyperlink ref="F290" r:id="rId289" display="mailto:gianluca.salvadori@intesasanpaolo.com"/>
    <hyperlink ref="F291" r:id="rId290" display="mailto:marco.sambruna@intesasanpaolo.com"/>
    <hyperlink ref="F292" r:id="rId291" display="mailto:luca.sammito@intesasanpaolo.com"/>
    <hyperlink ref="F293" r:id="rId292" display="mailto:martina.spina@intesasanpaolo.com"/>
    <hyperlink ref="F294" r:id="rId293" display="mailto:sara.troullier@intesasanpaolo.com"/>
    <hyperlink ref="F295" r:id="rId294" display="mailto:manuel.tucci@intesasanpaolo.com"/>
    <hyperlink ref="F296" r:id="rId295" display="mailto:claudia.vai@intesasanpaolo.com"/>
    <hyperlink ref="F297" r:id="rId296" display="mailto:antonio.valia@intesasanpaolo.com"/>
    <hyperlink ref="F298" r:id="rId297" display="mailto:fabrizio.villano@intesasanpaolo.com"/>
    <hyperlink ref="F299" r:id="rId298" display="mailto:paola.viola1@intesasanpaolo.com"/>
    <hyperlink ref="F300" r:id="rId299" display="mailto:davide.zucchi@intesasanpaolo.com"/>
    <hyperlink ref="F301" r:id="rId300" display="mailto:annalisa.lionetti@intesasanpaolo.com"/>
    <hyperlink ref="F302" r:id="rId301" display="mailto:gianluca.castiglione@intesasanpaolo.com"/>
    <hyperlink ref="F303" r:id="rId302" display="mailto:chiara.cerrato@intesasanpaolo.com"/>
    <hyperlink ref="F304" r:id="rId303" display="mailto:francesco.cutolo@intesasanpaolo.com"/>
    <hyperlink ref="F305" r:id="rId304" display="mailto:salvatore.flauto@intesasanpaolo.com"/>
    <hyperlink ref="F306" r:id="rId305" display="mailto:fabio.greco1@intesasanpaolo.com"/>
    <hyperlink ref="F307" r:id="rId306" display="mailto:enrico.malacrino@intesasanpaolo.com"/>
    <hyperlink ref="F308" r:id="rId307" display="mailto:carlo.piedepalumbo@intesasanpaolo.com"/>
    <hyperlink ref="F309" r:id="rId308" display="mailto:massimo.stabile@intesasanpaolo.com"/>
    <hyperlink ref="F310" r:id="rId309" display="mailto:andrea.trombotto@intesasanpaolo.com"/>
    <hyperlink ref="F311" r:id="rId310" display="mailto:enrico.vair@intesasanpaolo.com"/>
    <hyperlink ref="F312" r:id="rId311" display="mailto:stefano.leoni@intesasanpaolo.com"/>
    <hyperlink ref="F313" r:id="rId312" display="mailto:alessandro.ametrano@intesasanpaolo.com"/>
    <hyperlink ref="F314" r:id="rId313" display="mailto:roberto.battiato@intesasanpaolo.com"/>
    <hyperlink ref="F315" r:id="rId314" display="mailto:pierluigi.bensi@intesasanpaolo.com"/>
    <hyperlink ref="F316" r:id="rId315" display="mailto:corrado.bevilacqua@intesasanpaolo.com"/>
    <hyperlink ref="F317" r:id="rId316" display="mailto:marco.bianchi1@intesasanpaolo.com"/>
    <hyperlink ref="F318" r:id="rId317" display="mailto:ivano.bizzarri@intesasanpaolo.com"/>
    <hyperlink ref="F319" r:id="rId318" display="mailto:bruno.borello@intesasanpaolo.com"/>
    <hyperlink ref="F320" r:id="rId319" display="mailto:marco.calvarese@intesasanpaolo.com"/>
    <hyperlink ref="F321" r:id="rId320" display="mailto:riccardo.carosso@intesasanpaolo.com"/>
    <hyperlink ref="F322" r:id="rId321" display="mailto:domenico.catino@intesasanpaolo.com"/>
    <hyperlink ref="F323" r:id="rId322" display="mailto:massimo.clementi@intesasanpaolo.com"/>
    <hyperlink ref="F324" r:id="rId323" display="mailto:claudio.coppola@intesasanpaolo.com"/>
    <hyperlink ref="F325" r:id="rId324" display="mailto:giuseppe.crisetti@intesasanpaolo.com"/>
    <hyperlink ref="F326" r:id="rId325" display="mailto:carlo.dambrosio@intesasanpaolo.com"/>
    <hyperlink ref="F327" r:id="rId326" display="mailto:raffaele.desantis@intesasanpaolo.com"/>
    <hyperlink ref="F328" r:id="rId327" display="mailto:antonello.dimitri@intesasanpaolo.com"/>
    <hyperlink ref="F329" r:id="rId328" display="mailto:federico.ferroni@intesasanpaolo.com"/>
    <hyperlink ref="F330" r:id="rId329" display="mailto:sandro.gabaglio@intesasanpaolo.com"/>
    <hyperlink ref="F331" r:id="rId330" display="mailto:ennio.gambazza@intesasanpaolo.com"/>
    <hyperlink ref="F332" r:id="rId331" display="mailto:emilio.ghitti@intesasanpaolo.com"/>
    <hyperlink ref="F333" r:id="rId332" display="mailto:federico.giacon@intesasanpaolo.com"/>
    <hyperlink ref="F334" r:id="rId333" display="mailto:mario.grigolato@intesasanpaolo.com"/>
    <hyperlink ref="F335" r:id="rId334" display="mailto:valter.lavagetto@intesasanpaolo.com"/>
    <hyperlink ref="F336" r:id="rId335" display="mailto:franco.madrigali@intesasanpaolo.com"/>
    <hyperlink ref="F337" r:id="rId336" display="mailto:biagio.maglione@intesasanpaolo.com"/>
    <hyperlink ref="F338" r:id="rId337" display="mailto:cristiano.marchetti@intesasanpaolo.com"/>
    <hyperlink ref="F339" r:id="rId338" display="mailto:roberto.marzaduri@intesasanpaolo.com"/>
    <hyperlink ref="F340" r:id="rId339" display="mailto:massimiliano.medici@intesasanpaolo.com"/>
    <hyperlink ref="F341" r:id="rId340" display="mailto:alessandro.moressa@intesasanpaolo.com"/>
    <hyperlink ref="F342" r:id="rId341" display="mailto:franco.omegna@intesasanpaolo.com"/>
    <hyperlink ref="F343" r:id="rId342" display="mailto:antonio.ongaro@intesasanpaolo.com"/>
    <hyperlink ref="F344" r:id="rId343" display="mailto:orietta.palazzo@intesasanpaolo.com"/>
    <hyperlink ref="F345" r:id="rId344" display="mailto:luca.pastorino@intesasanpaolo.com"/>
    <hyperlink ref="F346" r:id="rId345" display="mailto:pierpaolo.patruno@intesasanpaolo.com"/>
    <hyperlink ref="F347" r:id="rId346" display="mailto:renato.pegorin@intesasanpaolo.com"/>
    <hyperlink ref="F348" r:id="rId347" display="mailto:andrea.pepi@intesasanpaolo.com"/>
    <hyperlink ref="F349" r:id="rId348" display="mailto:giuseppe.re@intesasanpaolo.com"/>
    <hyperlink ref="F350" r:id="rId349" display="mailto:marco.rinaldi@intesasanpaolo.com"/>
    <hyperlink ref="F351" r:id="rId350" display="mailto:bruno.rolla@intesasanpaolo.com"/>
    <hyperlink ref="F352" r:id="rId351" display="mailto:massimiliano.sorato@intesasanpaolo.com"/>
    <hyperlink ref="F353" r:id="rId352" display="mailto:luigi.stucchi@intesasanpaolo.com"/>
    <hyperlink ref="F354" r:id="rId353" display="mailto:donatella.turi@intesasanpaolo.com"/>
    <hyperlink ref="F355" r:id="rId354" display="mailto:vincenzo.venturiero@intesasanpaolo.com"/>
    <hyperlink ref="F356" r:id="rId355" display="mailto:claudio.vitalini@intesasanpaolo.com"/>
    <hyperlink ref="F357" r:id="rId356" display="mailto:francesca.crispino@intesasanpaolo.com"/>
    <hyperlink ref="F358" r:id="rId357" display="mailto:francesco.abate@intesasanpaolo.com"/>
    <hyperlink ref="F359" r:id="rId358" display="mailto:claudia.aloi@intesasanpaolo.com"/>
    <hyperlink ref="F360" r:id="rId359" display="mailto:stefano.cifariello@intesasanpaolo.com"/>
    <hyperlink ref="F361" r:id="rId360" display="mailto:mariella.colaizzi@intesasanpaolo.com"/>
    <hyperlink ref="F362" r:id="rId361" display="mailto:alessandro.cosco@intesasanpaolo.com"/>
    <hyperlink ref="F363" r:id="rId362" display="mailto:massimo.defrancesco@intesasanpaolo.com"/>
    <hyperlink ref="F364" r:id="rId363" display="mailto:ugo.delindemann@intesasanpaolo.com"/>
    <hyperlink ref="F365" r:id="rId364" display="mailto:biagio.dibennardo@intesasanpaolo.com"/>
    <hyperlink ref="F366" r:id="rId365" display="mailto:gianfranco.dibonito@intesasanpaolo.com"/>
    <hyperlink ref="F367" r:id="rId366" display="mailto:matteo.didomenico@intesasanpaolo.com"/>
    <hyperlink ref="F368" r:id="rId367" display="mailto:attilio.diguida@intesasanpaolo.com"/>
    <hyperlink ref="F369" r:id="rId368" display="mailto:enrico.esposito@intesasanpaolo.com"/>
    <hyperlink ref="F370" r:id="rId369" display="mailto:mauro.giuliani@intesasanpaolo.com"/>
    <hyperlink ref="F371" r:id="rId370" display="mailto:mario.lettieri@intesasanpaolo.com"/>
    <hyperlink ref="F372" r:id="rId371" display="mailto:alfredo.liardo@intesasanpaolo.com"/>
    <hyperlink ref="F373" r:id="rId372" display="mailto:carlo.lotito@intesasanpaolo.com"/>
    <hyperlink ref="F374" r:id="rId373" display="mailto:luciano.lucci@intesasanpaolo.com"/>
    <hyperlink ref="F375" r:id="rId374" display="mailto:marco.maffucci@intesasanpaolo.com"/>
    <hyperlink ref="F376" r:id="rId375" display="mailto:alfredo.margio@intesasanpaolo.com"/>
    <hyperlink ref="F377" r:id="rId376" display="mailto:ernesto.marino@intesasanpaolo.com"/>
    <hyperlink ref="F378" r:id="rId377" display="mailto:fabio.matta1@intesasanpaolo.com"/>
    <hyperlink ref="F379" r:id="rId378" display="mailto:antonio.milano@intesasanpaolo.com"/>
    <hyperlink ref="F380" r:id="rId379" display="mailto:vincenzo.napolitano@intesasanpaolo.com"/>
    <hyperlink ref="F381" r:id="rId380" display="mailto:simone.pellegrino@intesasanpaolo.com"/>
    <hyperlink ref="F382" r:id="rId381" display="mailto:alfredo.picardi@intesasanpaolo.com"/>
    <hyperlink ref="F383" r:id="rId382" display="mailto:fabrizio.rippa@intesasanpaolo.com"/>
    <hyperlink ref="F384" r:id="rId383" display="mailto:mauro.rizzuto@intesasanpaolo.com"/>
    <hyperlink ref="F385" r:id="rId384" display="mailto:marco.rossetti1@intesasanpaolo.com"/>
    <hyperlink ref="F386" r:id="rId385" display="mailto:giuseppe.scognamiglio@intesasanpaolo.com"/>
    <hyperlink ref="F387" r:id="rId386" display="mailto:emmanuele.serino@intesasanpaolo.com"/>
    <hyperlink ref="F388" r:id="rId387" display="mailto:andrea.simonetti@intesasanpaolo.com"/>
    <hyperlink ref="F389" r:id="rId388" display="mailto:sergio.torresi@intesasanpaolo.com"/>
    <hyperlink ref="F390" r:id="rId389" display="mailto:gianpaolo.vinci@intesasanpaolo.com"/>
    <hyperlink ref="F391" r:id="rId390" display="mailto:claudio.amoretti@intesasanpaolo.com"/>
    <hyperlink ref="F392" r:id="rId391" display="mailto:giovanni.anelli@intesasanpaolo.com"/>
    <hyperlink ref="F393" r:id="rId392" display="mailto:paola.azzali@intesasanpaolo.com"/>
    <hyperlink ref="F394" r:id="rId393" display="mailto:rito.barri@intesasanpaolo.com"/>
    <hyperlink ref="F395" r:id="rId394" display="mailto:santi.berte@intesasanpaolo.com"/>
    <hyperlink ref="F396" r:id="rId395" display="mailto:giovanni.bonadeo@intesasanpaolo.com"/>
    <hyperlink ref="F397" r:id="rId396" display="mailto:adriano.bosetti@intesasanpaolo.com"/>
    <hyperlink ref="F398" r:id="rId397" display="mailto:roberto.buzzi@intesasanpaolo.com"/>
    <hyperlink ref="F399" r:id="rId398" display="mailto:fabio.caglio@intesasanpaolo.com"/>
    <hyperlink ref="F400" r:id="rId399" display="mailto:marco.caricati@intesasanpaolo.com"/>
    <hyperlink ref="F401" r:id="rId400" display="mailto:stefano.catellani@intesasanpaolo.com"/>
    <hyperlink ref="F402" r:id="rId401" display="mailto:francesco.cavalli@intesasanpaolo.com"/>
    <hyperlink ref="F403" r:id="rId402" display="mailto:antonio.chojwa@intesasanpaolo.com"/>
    <hyperlink ref="F404" r:id="rId403" display="mailto:emanuela.debernardi@intesasanpaolo.com"/>
    <hyperlink ref="F405" r:id="rId404" display="mailto:luca.fiorillo@intesasanpaolo.com"/>
    <hyperlink ref="F406" r:id="rId405" display="mailto:iacopo.inverardi@intesasanpaolo.com"/>
    <hyperlink ref="F407" r:id="rId406" display="mailto:giancarlo.lanzara@intesasanpaolo.com"/>
    <hyperlink ref="F408" r:id="rId407" display="mailto:massimo.meo@intesasanpaolo.com"/>
    <hyperlink ref="F409" r:id="rId408" display="mailto:ivo.orlandini@intesasanpaolo.com"/>
    <hyperlink ref="F410" r:id="rId409" display="mailto:paolo.pasquale@intesasanpaolo.com"/>
    <hyperlink ref="F411" r:id="rId410" display="mailto:paolo.zagni@intesasanpaolo.com"/>
    <hyperlink ref="F412" r:id="rId411" display="mailto:eliana.zatti@intesasanpaolo.com"/>
    <hyperlink ref="F413" r:id="rId412" display="mailto:beatrice.bernuzzi@intesasanpaolo.com"/>
    <hyperlink ref="F414" r:id="rId413" display="mailto:fabrizio.bonati@intesasanpaolo.com"/>
    <hyperlink ref="F415" r:id="rId414" display="mailto:graziano.castelli@intesasanpaolo.com"/>
    <hyperlink ref="F416" r:id="rId415" display="mailto:lorenzo.catalano@intesasanpaolo.com"/>
    <hyperlink ref="F417" r:id="rId416" display="mailto:carlo.ghidini@intesasanpaolo.com"/>
    <hyperlink ref="F418" r:id="rId417" display="mailto:armando.marchesi@intesasanpaolo.com"/>
    <hyperlink ref="F419" r:id="rId418" display="mailto:barbara.marchesi@intesasanpaolo.com"/>
    <hyperlink ref="F420" r:id="rId419" display="mailto:martina.montecroci@intesasanpaolo.com"/>
    <hyperlink ref="F421" r:id="rId420" display="mailto:giorgio.nocciolati@intesasanpaolo.com"/>
    <hyperlink ref="F422" r:id="rId421" display="mailto:alessandra.pucci@intesasanpaolo.com"/>
    <hyperlink ref="F423" r:id="rId422" display="mailto:marco.raboni@intesasanpaolo.com"/>
    <hyperlink ref="F424" r:id="rId423" display="mailto:raffaella.viani@intesasanpaolo.com"/>
    <hyperlink ref="F425" r:id="rId424" display="mailto:antonio.izzo@intesasanpaolo.com"/>
    <hyperlink ref="F426" r:id="rId425" display="mailto:gianluca.belvisi@intesasanpaolo.com"/>
    <hyperlink ref="F427" r:id="rId426" display="mailto:gionata.castellin@intesasanpaolo.com"/>
    <hyperlink ref="F428" r:id="rId427" display="mailto:mauro.cheli@intesasanpaolo.com"/>
    <hyperlink ref="F429" r:id="rId428" display="mailto:alessandra.demaria@intesasanpaolo.com"/>
    <hyperlink ref="F430" r:id="rId429" display="mailto:silvia.dianin@intesasanpaolo.com"/>
    <hyperlink ref="F431" r:id="rId430" display="mailto:claudio.garagnani@intesasanpaolo.com"/>
    <hyperlink ref="F432" r:id="rId431" display="mailto:claudio.tosi@intesasanpaolo.com"/>
    <hyperlink ref="F433" r:id="rId432" display="mailto:giuseppe.vitale1@intesasanpaolo.com"/>
    <hyperlink ref="F434" r:id="rId433" display="mailto:michele.vignali@intesasanpaolo.com"/>
    <hyperlink ref="F435" r:id="rId434" display="mailto:gabriele.allegretti@intesasanpaolo.com"/>
    <hyperlink ref="F436" r:id="rId435" display="mailto:giovanni.beccato@intesasanpaolo.com"/>
    <hyperlink ref="F437" r:id="rId436" display="mailto:fabio.berti@intesasanpaolo.com"/>
    <hyperlink ref="F438" r:id="rId437" display="mailto:mattia.biggi@intesasanpaolo.com"/>
    <hyperlink ref="F439" r:id="rId438" display="mailto:enrico.camosso@intesasanpaolo.com"/>
    <hyperlink ref="F440" r:id="rId439" display="mailto:cristina.chianca@intesasanpaolo.com"/>
    <hyperlink ref="F441" r:id="rId440" display="mailto:giuseppe.cirillo@intesasanpaolo.com"/>
    <hyperlink ref="F442" r:id="rId441" display="mailto:luca.corbani@intesasanpaolo.com"/>
    <hyperlink ref="F443" r:id="rId442" display="mailto:claudio.defrancesco@intesasanpaolo.com"/>
    <hyperlink ref="F444" r:id="rId443" display="mailto:enea.federici@intesasanpaolo.com"/>
    <hyperlink ref="F445" r:id="rId444" display="mailto:valeria.foddai@intesasanpaolo.com"/>
    <hyperlink ref="F446" r:id="rId445" display="mailto:nadia.galassi@intesasanpaolo.com"/>
    <hyperlink ref="F447" r:id="rId446" display="mailto:lodovico.ghisini@intesasanpaolo.com"/>
    <hyperlink ref="F448" r:id="rId447" display="mailto:francesco.grammatico@intesasanpaolo.com"/>
    <hyperlink ref="F449" r:id="rId448" display="mailto:fabrizio.lusardi@intesasanpaolo.com"/>
    <hyperlink ref="F450" r:id="rId449" display="mailto:michele.querze@intesasanpaolo.com"/>
    <hyperlink ref="F451" r:id="rId450" display="mailto:alessandro.scafidi@intesasanpaolo.com"/>
    <hyperlink ref="F452" r:id="rId451" display="mailto:andrea.zanella@intesasanpaolo.com"/>
    <hyperlink ref="F453" r:id="rId452" display="mailto:andrea.contardi@intesasanpaolo.com"/>
    <hyperlink ref="F454" r:id="rId453" display="mailto:tiziano.acqua@intesasanpaolo.com"/>
    <hyperlink ref="F455" r:id="rId454" display="mailto:josemanuel.adriani@intesasanpaolo.com"/>
    <hyperlink ref="F456" r:id="rId455" display="mailto:marco.campoli@intesasanpaolo.com"/>
    <hyperlink ref="F457" r:id="rId456" display="mailto:alessandro.cancellario@intesasanpaolo.com"/>
    <hyperlink ref="F458" r:id="rId457" display="mailto:federico.chiovini@intesasanpaolo.com"/>
    <hyperlink ref="F459" r:id="rId458" display="mailto:tommaso.cuomo@intesasanpaolo.com"/>
    <hyperlink ref="F460" r:id="rId459" display="mailto:paola.dalbon@intesasanpaolo.com"/>
    <hyperlink ref="F461" r:id="rId460" display="mailto:eleonora.distefano@intesasanpaolo.com"/>
    <hyperlink ref="F462" r:id="rId461" display="mailto:antonio.fraioli@intesasanpaolo.com"/>
    <hyperlink ref="F463" r:id="rId462" display="mailto:andrea.garcia@intesasanpaolo.com"/>
    <hyperlink ref="F464" r:id="rId463" display="mailto:simone.mazzotta@intesasanpaolo.com"/>
    <hyperlink ref="F465" r:id="rId464" display="mailto:mauro.mussini@intesasanpaolo.com"/>
    <hyperlink ref="F466" r:id="rId465" display="mailto:marco.quintili@intesasanpaolo.com"/>
    <hyperlink ref="F467" r:id="rId466" display="mailto:paolo.albertini1@intesasanpaolo.com"/>
    <hyperlink ref="F468" r:id="rId467" display="mailto:flavio.biancardi@intesasanpaolo.com"/>
    <hyperlink ref="F469" r:id="rId468" display="mailto:alessandro.biondo@intesasanpaolo.com"/>
    <hyperlink ref="F470" r:id="rId469" display="mailto:paolo.brega@intesasanpaolo.com"/>
    <hyperlink ref="F471" r:id="rId470" display="mailto:armando.campece@intesasanpaolo.com"/>
    <hyperlink ref="F472" r:id="rId471" display="mailto:marco.cefalo@intesasanpaolo.com"/>
    <hyperlink ref="F473" r:id="rId472" display="mailto:stefano.ceglia@intesasanpaolo.com"/>
    <hyperlink ref="F474" r:id="rId473" display="mailto:vito.colella@intesasanpaolo.com"/>
    <hyperlink ref="F475" r:id="rId474" display="mailto:oscar.cominetti@intesasanpaolo.com"/>
    <hyperlink ref="F476" r:id="rId475" display="mailto:stefano.dalessio@intesasanpaolo.com"/>
    <hyperlink ref="F477" r:id="rId476" display="mailto:alberto.dangelo@intesasanpaolo.com"/>
    <hyperlink ref="F478" r:id="rId477" display="mailto:luca.giordani@intesasanpaolo.com"/>
    <hyperlink ref="F479" r:id="rId478" display="mailto:matteo.ingegneri@intesasanpaolo.com"/>
    <hyperlink ref="F480" r:id="rId479" display="mailto:stefano.morato@intesasanpaolo.com"/>
    <hyperlink ref="F481" r:id="rId480" display="mailto:davide.munegato@intesasanpaolo.com"/>
    <hyperlink ref="F482" r:id="rId481" display="mailto:valentino.nobile@intesasanpaolo.com"/>
    <hyperlink ref="F483" r:id="rId482" display="mailto:stefano.passarella@intesasanpaolo.com"/>
    <hyperlink ref="F484" r:id="rId483" display="mailto:mariano.romeo@intesasanpaolo.com"/>
    <hyperlink ref="F485" r:id="rId484" display="mailto:fabio.scaramastra@intesasanpaolo.com"/>
    <hyperlink ref="F486" r:id="rId485" display="mailto:monica.spinelli@intesasanpaolo.com"/>
    <hyperlink ref="F487" r:id="rId486" display="mailto:gianmarco.ugenti@intesasanpaolo.com"/>
    <hyperlink ref="F488" r:id="rId487" display="mailto:matteo.zanetti@intesasanpaolo.com"/>
    <hyperlink ref="F489" r:id="rId488" display="mailto:paolo.zanotta@intesasanpaolo.com"/>
    <hyperlink ref="F490" r:id="rId489" display="mailto:romano.ruberti@intesasanpaolo.com"/>
    <hyperlink ref="F491" r:id="rId490" display="mailto:fulvio.bianchini@intesasanpaolo.com"/>
    <hyperlink ref="F492" r:id="rId491" display="mailto:giovanni.canaliderossi@intesasanpaolo.com"/>
    <hyperlink ref="F493" r:id="rId492" display="mailto:alessandro.chiofalo@intesasanpaolo.com"/>
    <hyperlink ref="F494" r:id="rId493" display="mailto:domenico.consalvi@intesasanpaolo.com"/>
    <hyperlink ref="F495" r:id="rId494" display="mailto:umberto.dortona@intesasanpaolo.com"/>
    <hyperlink ref="F496" r:id="rId495" display="mailto:franco.esposito@intesasanpaolo.com"/>
    <hyperlink ref="F497" r:id="rId496" display="mailto:cristiana.franco@intesasanpaolo.com"/>
    <hyperlink ref="F498" r:id="rId497" display="mailto:maurizio.manganiello@intesasanpaolo.com"/>
    <hyperlink ref="F499" r:id="rId498" display="mailto:vittorio.mattei@intesasanpaolo.com"/>
    <hyperlink ref="F500" r:id="rId499" display="mailto:massimiliano.pantaleone@intesasanpaolo.com"/>
    <hyperlink ref="F501" r:id="rId500" display="mailto:vincenzo.prevete@intesasanpaolo.com"/>
    <hyperlink ref="F502" r:id="rId501" display="mailto:giorgio.rugora@intesasanpaolo.com"/>
    <hyperlink ref="F503" r:id="rId502" display="mailto:oliviero.salerno@intesasanpaolo.com"/>
    <hyperlink ref="F504" r:id="rId503" display="mailto:antonio.sali@intesasanpaolo.com"/>
    <hyperlink ref="F505" r:id="rId504" display="mailto:dario.siracusa@intesasanpaolo.com"/>
    <hyperlink ref="F506" r:id="rId505" display="mailto:olivio.villo@intesasanpaolo.com"/>
    <hyperlink ref="F507" r:id="rId506" display="mailto:sergio.lancia@intesasanpaolo.com"/>
    <hyperlink ref="F508" r:id="rId507" display="mailto:carmela.cannatagalante@intesasanpaolo.com"/>
    <hyperlink ref="F509" r:id="rId508" display="mailto:gianluca.costantino@intesasanpaolo.com"/>
    <hyperlink ref="F510" r:id="rId509" display="mailto:fabio.donsi@intesasanpaolo.com"/>
    <hyperlink ref="F511" r:id="rId510" display="mailto:roberto.gorla1@intesasanpaolo.com"/>
    <hyperlink ref="F512" r:id="rId511" display="mailto:giuseppe.maddiona@intesasanpaolo.com"/>
    <hyperlink ref="F513" r:id="rId512" display="mailto:andrea.manclossi@intesasanpaolo.com"/>
    <hyperlink ref="F514" r:id="rId513" display="mailto:marco.merlini@intesasanpaolo.com"/>
    <hyperlink ref="F515" r:id="rId514" display="mailto:daniel.nardin@intesasanpaolo.com"/>
    <hyperlink ref="F516" r:id="rId515" display="mailto:paolo.pavia@intesasanpaolo.com"/>
    <hyperlink ref="F517" r:id="rId516" display="mailto:giuseppe.dallera@intesasanpaolo.com"/>
    <hyperlink ref="F518" r:id="rId517" display="mailto:daniele.barreca@intesasanpaolo.com"/>
    <hyperlink ref="F519" r:id="rId518" display="mailto:silvano.bellatorre@intesasanpaolo.com"/>
    <hyperlink ref="F520" r:id="rId519" display="mailto:diego.braga@intesasanpaolo.com"/>
    <hyperlink ref="F521" r:id="rId520" display="mailto:giulia.cardillo@intesasanpaolo.com"/>
    <hyperlink ref="F522" r:id="rId521" display="mailto:simone.cardinale@intesasanpaolo.com"/>
    <hyperlink ref="F523" r:id="rId522" display="mailto:gianmarco.gozzi@intesasanpaolo.com"/>
    <hyperlink ref="F524" r:id="rId523" display="mailto:manfredi.mangano@intesasanpaolo.com"/>
    <hyperlink ref="F525" r:id="rId524" display="mailto:luca.marchesi@intesasanpaolo.com"/>
    <hyperlink ref="F526" r:id="rId525" display="mailto:laura.nova@intesasanpaolo.com"/>
    <hyperlink ref="F527" r:id="rId526" display="mailto:renzo.piatti@intesasanpaolo.com"/>
    <hyperlink ref="F528" r:id="rId527" display="mailto:roberto.reibaldi@intesasanpaolo.com"/>
    <hyperlink ref="F529" r:id="rId528" display="mailto:raffaele.sicignano@intesasanpaolo.com"/>
    <hyperlink ref="F530" r:id="rId529" display="mailto:luca.barbiero@intesasanpaolo.com"/>
    <hyperlink ref="F531" r:id="rId530" display="mailto:umberto.bianchi@intesasanpaolo.com"/>
    <hyperlink ref="F532" r:id="rId531" display="mailto:enrico.biffi@intesasanpaolo.com"/>
    <hyperlink ref="F533" r:id="rId532" display="mailto:mattia.bocchi@intesasanpaolo.com"/>
    <hyperlink ref="F534" r:id="rId533" display="mailto:ilaria.bonati@intesasanpaolo.com"/>
    <hyperlink ref="F535" r:id="rId534" display="mailto:anna.delvecchio@intesasanpaolo.com"/>
    <hyperlink ref="F536" r:id="rId535" display="mailto:fausto.dellaragione@intesasanpaolo.com"/>
    <hyperlink ref="F537" r:id="rId536" display="mailto:antonio.dibiase@intesasanpaolo.com"/>
    <hyperlink ref="F538" r:id="rId537" display="mailto:andrea.ferradini@intesasanpaolo.com"/>
    <hyperlink ref="F539" r:id="rId538" display="mailto:alessandro.galassi@intesasanpaolo.com"/>
    <hyperlink ref="F540" r:id="rId539" display="mailto:michele.gervasoni@intesasanpaolo.com"/>
    <hyperlink ref="F541" r:id="rId540" display="mailto:carlo.grazioli@intesasanpaolo.com"/>
    <hyperlink ref="F542" r:id="rId541" display="mailto:fabio.marventano@intesasanpaolo.com"/>
    <hyperlink ref="F543" r:id="rId542" display="mailto:walter.marventano@intesasanpaolo.com"/>
    <hyperlink ref="F544" r:id="rId543" display="mailto:andrea.roncaglio@intesasanpaolo.com"/>
    <hyperlink ref="F545" r:id="rId544" display="mailto:danilo.filippi@intesasanpaolo.com"/>
    <hyperlink ref="F546" r:id="rId545" display="mailto:massimo.ferrari2@intesasanpaolo.com"/>
    <hyperlink ref="F547" r:id="rId546" display="mailto:margherita.giuliano@intesasanpaolo.com"/>
    <hyperlink ref="F548" r:id="rId547" display="mailto:piervittorio.larocca@intesasanpaolo.com"/>
    <hyperlink ref="F549" r:id="rId548" display="mailto:christopher.mangiaruga@intesasanpaolo.com"/>
    <hyperlink ref="F550" r:id="rId549" display="mailto:alberto.prior@intesasanpaolo.com"/>
    <hyperlink ref="F551" r:id="rId550" display="mailto:andrea.schillaci@intesasanpaolo.com"/>
    <hyperlink ref="F552" r:id="rId551" display="mailto:roberto.varotto@intesasanpaolo.com"/>
    <hyperlink ref="F553" r:id="rId552" display="mailto:antonio.barilla@intesasanpaolo.com"/>
    <hyperlink ref="F554" r:id="rId553" display="mailto:michele.biroli@intesasanpaolo.com"/>
    <hyperlink ref="F555" r:id="rId554" display="mailto:fabio.doglio@intesasanpaolo.com"/>
    <hyperlink ref="F556" r:id="rId555" display="mailto:massimo.facchinetti@intesasanpaolo.com"/>
    <hyperlink ref="F557" r:id="rId556" display="mailto:giorgio.magliano@intesasanpaolo.com"/>
    <hyperlink ref="F558" r:id="rId557" display="mailto:daniele.mastroti@intesasanpaolo.com"/>
    <hyperlink ref="F559" r:id="rId558" display="mailto:angelo.pepe@intesasanpaolo.com"/>
    <hyperlink ref="F560" r:id="rId559" display="mailto:lucio.radaelli@intesasanpaolo.com"/>
    <hyperlink ref="F561" r:id="rId560" display="mailto:davide.rendiniello@intesasanpaolo.com"/>
    <hyperlink ref="F562" r:id="rId561" display="mailto:ledio.ruci@intesasanpaolo.com"/>
    <hyperlink ref="F563" r:id="rId562" display="mailto:massimo.tagliabue@intesasanpaolo.com"/>
    <hyperlink ref="F564" r:id="rId563" display="mailto:michael.varrese@intesasanpaolo.com"/>
    <hyperlink ref="F565" r:id="rId564" display="mailto:corrado.ventura@intesasanpaolo.com"/>
    <hyperlink ref="F566" r:id="rId565" display="mailto:giorgio.roberto@intesasanpaolo.com"/>
    <hyperlink ref="F567" r:id="rId566" display="mailto:somayeh.amayeh@intesasanpaolo.com"/>
    <hyperlink ref="F568" r:id="rId567" display="mailto:elena.battisti@intesasanpaolo.com"/>
    <hyperlink ref="F569" r:id="rId568" display="mailto:ahmad.bayat@intesasanpaolo.com"/>
    <hyperlink ref="F570" r:id="rId569" display="mailto:renato.carrer@intesasanpaolo.com"/>
    <hyperlink ref="F571" r:id="rId570" display="mailto:manju.comerci@intesasanpaolo.com"/>
    <hyperlink ref="F572" r:id="rId571" display="mailto:enrico.coste@intesasanpaolo.com"/>
    <hyperlink ref="F573" r:id="rId572" display="mailto:daniele.fuda@intesasanpaolo.com"/>
    <hyperlink ref="F574" r:id="rId573" display="mailto:paolo.gelato@intesasanpaolo.com"/>
    <hyperlink ref="F575" r:id="rId574" display="mailto:marco.gregorio@intesasanpaolo.com"/>
    <hyperlink ref="F576" r:id="rId575" display="mailto:bruno.maccario@intesasanpaolo.com"/>
    <hyperlink ref="F577" r:id="rId576" display="mailto:claudio.miatello@intesasanpaolo.com"/>
    <hyperlink ref="F578" r:id="rId577" display="mailto:antonello.tenace@intesasanpaolo.com"/>
    <hyperlink ref="F579" r:id="rId578" display="mailto:davide.valsania@intesasanpaolo.com"/>
    <hyperlink ref="F580" r:id="rId579" display="mailto:nicola.ventra@intesasanpaolo.com"/>
    <hyperlink ref="F581" r:id="rId580" display="mailto:danilo.sala@intesasanpaolo.com"/>
    <hyperlink ref="F582" r:id="rId581" display="mailto:paolo.baldina@intesasanpaolo.com"/>
    <hyperlink ref="F583" r:id="rId582" display="mailto:alessandro.barbieri2@intesasanpaolo.com"/>
    <hyperlink ref="F584" r:id="rId583" display="mailto:domenico.barletta@intesasanpaolo.com"/>
    <hyperlink ref="F585" r:id="rId584" display="mailto:massimo.cellini@intesasanpaolo.com"/>
    <hyperlink ref="F586" r:id="rId585" display="mailto:roberto.chiavettieri@intesasanpaolo.com"/>
    <hyperlink ref="F587" r:id="rId586" display="mailto:stefano.majerna@intesasanpaolo.com"/>
    <hyperlink ref="F588" r:id="rId587" display="mailto:mauro.novi@intesasanpaolo.com"/>
    <hyperlink ref="F589" r:id="rId588" display="mailto:federico.persiani@intesasanpaolo.com"/>
    <hyperlink ref="F590" r:id="rId589" display="mailto:gianmaria.cogni@intesasanpaolo.com"/>
    <hyperlink ref="F591" r:id="rId590" display="mailto:andrea.amadori@intesasanpaolo.com"/>
    <hyperlink ref="F592" r:id="rId591" display="mailto:stefano.borla@intesasanpaolo.com"/>
    <hyperlink ref="F593" r:id="rId592" display="mailto:cosimo.catalano@intesasanpaolo.com"/>
    <hyperlink ref="F594" r:id="rId593" display="mailto:luca.dellorto@intesasanpaolo.com"/>
    <hyperlink ref="F595" r:id="rId594" display="mailto:lorenzo.gatto@intesasanpaolo.com"/>
    <hyperlink ref="F596" r:id="rId595" display="mailto:massimo.giribono@intesasanpaolo.com"/>
    <hyperlink ref="F597" r:id="rId596" display="mailto:enrico.mondino@intesasanpaolo.com"/>
    <hyperlink ref="F598" r:id="rId597" display="mailto:paolo.parpanesi@intesasanpaolo.com"/>
    <hyperlink ref="F599" r:id="rId598" display="mailto:mariano.pietrangelo@intesasanpaolo.com"/>
    <hyperlink ref="F600" r:id="rId599" display="mailto:gianmarco.poggi@intesasanpaolo.com"/>
    <hyperlink ref="F601" r:id="rId600" display="mailto:diego.salvati@intesasanpaolo.com"/>
    <hyperlink ref="F602" r:id="rId601" display="mailto:kevin.turra@intesasanpaolo.com"/>
    <hyperlink ref="F603" r:id="rId602" display="mailto:ludovico.calabro@intesasanpaolo.com"/>
    <hyperlink ref="F604" r:id="rId603" display="mailto:simone.boaretto@intesasanpaolo.com"/>
    <hyperlink ref="F605" r:id="rId604" display="mailto:franco.masera@intesasanpaolo.com"/>
    <hyperlink ref="F606" r:id="rId605" display="mailto:gabriele.masseroni@intesasanpaolo.com"/>
    <hyperlink ref="F607" r:id="rId606" display="mailto:franco.monti@intesasanpaolo.com"/>
    <hyperlink ref="F608" r:id="rId607" display="mailto:fabio.paparo@intesasanpaolo.com"/>
    <hyperlink ref="F609" r:id="rId608" display="mailto:sergio.spina@intesasanpaolo.com"/>
    <hyperlink ref="F610" r:id="rId609" display="mailto:paolo.bonandin@intesasanpaolo.com"/>
    <hyperlink ref="F611" r:id="rId610" display="mailto:giovanni.allocco@intesasanpaolo.com"/>
    <hyperlink ref="F612" r:id="rId611" display="mailto:agnese.andrione@intesasanpaolo.com"/>
    <hyperlink ref="F613" r:id="rId612" display="mailto:luciana.apis@intesasanpaolo.com"/>
    <hyperlink ref="F614" r:id="rId613" display="mailto:dario.boni@intesasanpaolo.com"/>
    <hyperlink ref="F615" r:id="rId614" display="mailto:sergio.cangemi@intesasanpaolo.com"/>
    <hyperlink ref="F616" r:id="rId615" display="mailto:daniela.ceretta@intesasanpaolo.com"/>
    <hyperlink ref="F617" r:id="rId616" display="mailto:valeria.davite@intesasanpaolo.com"/>
    <hyperlink ref="F618" r:id="rId617" display="mailto:franco.decesare@intesasanpaolo.com"/>
    <hyperlink ref="F619" r:id="rId618" display="mailto:antonio.delisio@intesasanpaolo.com"/>
    <hyperlink ref="F620" r:id="rId619" display="mailto:enzo.fucci@intesasanpaolo.com"/>
    <hyperlink ref="F621" r:id="rId620" display="mailto:monica.garabello@intesasanpaolo.com"/>
    <hyperlink ref="F622" r:id="rId621" display="mailto:giampiero.giacalone@intesasanpaolo.com"/>
    <hyperlink ref="F623" r:id="rId622" display="mailto:giuseppe.lietz@intesasanpaolo.com"/>
    <hyperlink ref="F624" r:id="rId623" display="mailto:tiziana.maero@intesasanpaolo.com"/>
    <hyperlink ref="F625" r:id="rId624" display="mailto:roberto.pavan@intesasanpaolo.com"/>
    <hyperlink ref="F626" r:id="rId625" display="mailto:nadia.peracchi@intesasanpaolo.com"/>
    <hyperlink ref="F627" r:id="rId626" display="mailto:nicolo.pollara@intesasanpaolo.com"/>
    <hyperlink ref="F628" r:id="rId627" display="mailto:donatella.santagata@intesasanpaolo.com"/>
    <hyperlink ref="F629" r:id="rId628" display="mailto:salvatore.talluto@intesasanpaolo.com"/>
    <hyperlink ref="F630" r:id="rId629" display="mailto:giulio.padovani@intesasanpaolo.com"/>
    <hyperlink ref="F631" r:id="rId630" display="mailto:luca.avanzini@intesasanpaolo.com"/>
    <hyperlink ref="F632" r:id="rId631" display="mailto:gianluca.cantarelli@intesasanpaolo.com"/>
    <hyperlink ref="F633" r:id="rId632" display="mailto:paolo.cantoni@intesasanpaolo.com"/>
    <hyperlink ref="F634" r:id="rId633" display="mailto:concetta.cautiero@intesasanpaolo.com"/>
    <hyperlink ref="F635" r:id="rId634" display="mailto:francesco.ceci@intesasanpaolo.com"/>
    <hyperlink ref="F636" r:id="rId635" display="mailto:valerio.dangelo@intesasanpaolo.com"/>
    <hyperlink ref="F637" r:id="rId636" display="mailto:rochy.desiena@intesasanpaolo.com"/>
    <hyperlink ref="F638" r:id="rId637" display="mailto:dario.derasmo@intesasanpaolo.com"/>
    <hyperlink ref="F639" r:id="rId638" display="mailto:lorenzo.duca@intesasanpaolo.com"/>
    <hyperlink ref="F640" r:id="rId639" display="mailto:francesco.ferrari3@intesasanpaolo.com"/>
    <hyperlink ref="F641" r:id="rId640" display="mailto:federico.fortini@intesasanpaolo.com"/>
    <hyperlink ref="F642" r:id="rId641" display="mailto:ilaria.ganazzoli@intesasanpaolo.com"/>
    <hyperlink ref="F643" r:id="rId642" display="mailto:luciano.giovannini@intesasanpaolo.com"/>
    <hyperlink ref="F644" r:id="rId643" display="mailto:andrea.lanaro@intesasanpaolo.com"/>
    <hyperlink ref="F645" r:id="rId644" display="mailto:serena.mazzieri@intesasanpaolo.com"/>
    <hyperlink ref="F646" r:id="rId645" display="mailto:maurizio.mossini@intesasanpaolo.com"/>
    <hyperlink ref="F647" r:id="rId646" display="mailto:simone.padovani@intesasanpaolo.com"/>
    <hyperlink ref="F648" r:id="rId647" display="mailto:alberto.peracchi@intesasanpaolo.com"/>
    <hyperlink ref="F649" r:id="rId648" display="mailto:barbara.romanini@intesasanpaolo.com"/>
    <hyperlink ref="F650" r:id="rId649" display="mailto:antonio.salviati@intesasanpaolo.com"/>
    <hyperlink ref="F651" r:id="rId650" display="mailto:alessandro.sartori@intesasanpaolo.com"/>
    <hyperlink ref="F652" r:id="rId651" display="mailto:giorgio.stecconi@intesasanpaolo.com"/>
    <hyperlink ref="F653" r:id="rId652" display="mailto:michele.tignonsini@intesasanpaolo.com"/>
    <hyperlink ref="F654" r:id="rId653" display="mailto:daniela.trevisan@intesasanpaolo.com"/>
    <hyperlink ref="F655" r:id="rId654" display="mailto:sergio.villa@intesasanpaolo.com"/>
    <hyperlink ref="F656" r:id="rId655" display="mailto:francesco.mezzofranco@intesasanpaolo.com"/>
    <hyperlink ref="F657" r:id="rId656" display="mailto:antonio.accarino@intesasanpaolo.com"/>
    <hyperlink ref="F658" r:id="rId657" display="mailto:luigi.bagno@intesasanpaolo.com"/>
    <hyperlink ref="F659" r:id="rId658" display="mailto:michele.campanella@intesasanpaolo.com"/>
    <hyperlink ref="F660" r:id="rId659" display="mailto:ignazio.ciccolella@intesasanpaolo.com"/>
    <hyperlink ref="F661" r:id="rId660" display="mailto:marco.corti@intesasanpaolo.com"/>
    <hyperlink ref="F662" r:id="rId661" display="mailto:antonio.debari@intesasanpaolo.com"/>
    <hyperlink ref="F663" r:id="rId662" display="mailto:massimo.derosa@intesasanpaolo.com"/>
    <hyperlink ref="F664" r:id="rId663" display="mailto:alfredo.esposito@intesasanpaolo.com"/>
    <hyperlink ref="F665" r:id="rId664" display="mailto:federica.fantini@intesasanpaolo.com"/>
    <hyperlink ref="F666" r:id="rId665" display="mailto:massimo.giordan@intesasanpaolo.com"/>
    <hyperlink ref="F667" r:id="rId666" display="mailto:alessio.miccoli@intesasanpaolo.com"/>
    <hyperlink ref="F668" r:id="rId667" display="mailto:elena.monfroglio@intesasanpaolo.com"/>
    <hyperlink ref="F669" r:id="rId668" display="mailto:pierangelo.terzulli@intesasanpaolo.com"/>
    <hyperlink ref="F670" r:id="rId669" display="mailto:danilo.testa1@intesasanpaolo.com"/>
    <hyperlink ref="F671" r:id="rId670" display="mailto:gabriele.paquola@intesasanpaolo.com"/>
    <hyperlink ref="F672" r:id="rId671" display="mailto:salvatore.catalanotto@intesasanpaolo.com"/>
    <hyperlink ref="F673" r:id="rId672" display="mailto:angelo.dabrosca@intesasanpaolo.com"/>
    <hyperlink ref="F674" r:id="rId673" display="mailto:marta.fioravazzi@intesasanpaolo.com"/>
    <hyperlink ref="F675" r:id="rId674" display="mailto:luciano.giaconegriva@intesasanpaolo.com"/>
    <hyperlink ref="F676" r:id="rId675" display="mailto:sharjeel.khan@intesasanpaolo.com"/>
    <hyperlink ref="F677" r:id="rId676" display="mailto:silvia.marocco@intesasanpaolo.com"/>
    <hyperlink ref="F678" r:id="rId677" display="mailto:federica.marra@intesasanpaolo.com"/>
    <hyperlink ref="F679" r:id="rId678" display="mailto:roberto.martinetto@intesasanpaolo.com"/>
    <hyperlink ref="F680" r:id="rId679" display="mailto:francesco.menchetti@intesasanpaolo.com"/>
    <hyperlink ref="F681" r:id="rId680" display="mailto:marco.peca@intesasanpaolo.com"/>
    <hyperlink ref="F682" r:id="rId681" display="mailto:leandro.puccio@intesasanpaolo.com"/>
    <hyperlink ref="F683" r:id="rId682" display="mailto:andrea.richiardi@intesasanpaolo.com"/>
    <hyperlink ref="F684" r:id="rId683" display="mailto:lorenzo.varvelli@intesasanpaolo.com"/>
    <hyperlink ref="F685" r:id="rId684" display="mailto:damiano.vittone@intesasanpaolo.com"/>
    <hyperlink ref="F686" r:id="rId685" display="mailto:andrea.crea@intesasanpaolo.com"/>
    <hyperlink ref="F687" r:id="rId686" display="mailto:rino.andreani@intesasanpaolo.com"/>
    <hyperlink ref="F688" r:id="rId687" display="mailto:roberto.bontempo@intesasanpaolo.com"/>
    <hyperlink ref="F689" r:id="rId688" display="mailto:marco.caltagirone@intesasanpaolo.com"/>
    <hyperlink ref="F690" r:id="rId689" display="mailto:antonio.culcasi@intesasanpaolo.com"/>
    <hyperlink ref="F691" r:id="rId690" display="mailto:sandro.fornasier@intesasanpaolo.com"/>
    <hyperlink ref="F692" r:id="rId691" display="mailto:yoshika.fratello@intesasanpaolo.com"/>
    <hyperlink ref="F693" r:id="rId692" display="mailto:davide.fusaro@intesasanpaolo.com"/>
    <hyperlink ref="F694" r:id="rId693" display="mailto:nicola.girardi@intesasanpaolo.com"/>
    <hyperlink ref="F695" r:id="rId694" display="mailto:enrico.grasso@intesasanpaolo.com"/>
    <hyperlink ref="F696" r:id="rId695" display="mailto:marco.luise@intesasanpaolo.com"/>
    <hyperlink ref="F697" r:id="rId696" display="mailto:fulvio.marsiglia@intesasanpaolo.com"/>
    <hyperlink ref="F698" r:id="rId697" display="mailto:mariano.masullo@intesasanpaolo.com"/>
    <hyperlink ref="F699" r:id="rId698" display="mailto:enzo.milanesio@intesasanpaolo.com"/>
    <hyperlink ref="F700" r:id="rId699" display="mailto:alessandro.nicolati@intesasanpaolo.com"/>
    <hyperlink ref="F701" r:id="rId700" display="mailto:andrea.oliviero@intesasanpaolo.com"/>
    <hyperlink ref="F702" r:id="rId701" display="mailto:francesco.pavan@intesasanpaolo.com"/>
    <hyperlink ref="F703" r:id="rId702" display="mailto:alessio.rubini@intesasanpaolo.com"/>
    <hyperlink ref="F704" r:id="rId703" display="mailto:gregorio.scialpi@intesasanpaolo.com"/>
    <hyperlink ref="F705" r:id="rId704" display="mailto:alessia.suma@intesasanpaolo.com"/>
    <hyperlink ref="F706" r:id="rId705" display="mailto:luca.vincelli@intesasanpaolo.com"/>
    <hyperlink ref="F707" r:id="rId706" display="mailto:giuseppe.zampino@intesasanpaolo.com"/>
    <hyperlink ref="F708" r:id="rId707" display="mailto:alessandro.bruno2@intesasanpaolo.com"/>
    <hyperlink ref="F709" r:id="rId708" display="mailto:samuele.dedomenico@intesasanpaolo.com"/>
    <hyperlink ref="F710" r:id="rId709" display="mailto:luca.giommoni@intesasanpaolo.com"/>
    <hyperlink ref="F711" r:id="rId710" display="mailto:federico.vibrati@intesasanpaolo.com"/>
    <hyperlink ref="F712" r:id="rId711" display="mailto:giuseppe.villari@intesasanpaolo.com"/>
    <hyperlink ref="F713" r:id="rId712" display="mailto:alessandro.giorcelli@intesasanpaolo.com"/>
    <hyperlink ref="F714" r:id="rId713" display="mailto:andrea.avidano@intesasanpaolo.com"/>
    <hyperlink ref="F715" r:id="rId714" display="mailto:paolo.ballone@intesasanpaolo.com"/>
    <hyperlink ref="F716" r:id="rId715" display="mailto:fabio.biondi@intesasanpaolo.com"/>
    <hyperlink ref="F717" r:id="rId716" display="mailto:fiorenzo.carpi@intesasanpaolo.com"/>
    <hyperlink ref="F718" r:id="rId717" display="mailto:raffaele.centomani@intesasanpaolo.com"/>
    <hyperlink ref="F719" r:id="rId718" display="mailto:antonino.cipollone@intesasanpaolo.com"/>
    <hyperlink ref="F720" r:id="rId719" display="mailto:francesco.giordano@intesasanpaolo.com"/>
    <hyperlink ref="F721" r:id="rId720" display="mailto:jean.kanazebaze@intesasanpaolo.com"/>
    <hyperlink ref="F722" r:id="rId721" display="mailto:luca.lastella@intesasanpaolo.com"/>
    <hyperlink ref="F723" r:id="rId722" display="mailto:daniel.lacatusu@intesasanpaolo.com"/>
    <hyperlink ref="F724" r:id="rId723" display="mailto:alessandro.leuzzi@intesasanpaolo.com"/>
    <hyperlink ref="F725" r:id="rId724" display="mailto:sergio.mangialardo@intesasanpaolo.com"/>
    <hyperlink ref="F726" r:id="rId725" display="mailto:giovanni.monteferrante@intesasanpaolo.com"/>
    <hyperlink ref="F727" r:id="rId726" display="mailto:marco.senno@intesasanpaolo.com"/>
    <hyperlink ref="F728" r:id="rId727" display="mailto:alessandro.zelferino@intesasanpaolo.com"/>
    <hyperlink ref="F729" r:id="rId728" display="mailto:eugenio.livigni@intesasanpaolo.com"/>
    <hyperlink ref="F730" r:id="rId729" display="mailto:carlo.donnini@intesasanpaolo.com"/>
    <hyperlink ref="F731" r:id="rId730" display="mailto:gianpaolo.franco@intesasanpaolo.com"/>
    <hyperlink ref="F732" r:id="rId731" display="mailto:antonio.gandolfi@intesasanpaolo.com"/>
    <hyperlink ref="F733" r:id="rId732" display="mailto:gianpaolo.giovanelli@intesasanpaolo.com"/>
    <hyperlink ref="F734" r:id="rId733" display="mailto:roberto.patelli@intesasanpaolo.com"/>
    <hyperlink ref="F735" r:id="rId734" display="mailto:cristiano.pedrazzini@intesasanpaolo.com"/>
    <hyperlink ref="F736" r:id="rId735" display="mailto:giuliano.sina@intesasanpaolo.com"/>
    <hyperlink ref="F737" r:id="rId736" display="mailto:giuseppe.soavi@intesasanpaolo.com"/>
    <hyperlink ref="F738" r:id="rId737" display="mailto:fabio.vannoni@intesasanpaolo.com"/>
    <hyperlink ref="F739" r:id="rId738" display="mailto:andrea.longagnani@intesasanpaolo.com"/>
    <hyperlink ref="F740" r:id="rId739" display="mailto:roberto.bosi1@intesasanpaolo.com"/>
    <hyperlink ref="F741" r:id="rId740" display="mailto:marco.busani@intesasanpaolo.com"/>
    <hyperlink ref="F742" r:id="rId741" display="mailto:alessandro.fragni@intesasanpaolo.com"/>
    <hyperlink ref="F743" r:id="rId742" display="mailto:simone.lazzari@intesasanpaolo.com"/>
    <hyperlink ref="F744" r:id="rId743" display="mailto:gabriele.morza@intesasanpaolo.com"/>
    <hyperlink ref="F745" r:id="rId744" display="mailto:marco.rognoni@intesasanpaolo.com"/>
    <hyperlink ref="F746" r:id="rId745" display="mailto:stefano.salvini@intesasanpaolo.com"/>
    <hyperlink ref="F747" r:id="rId746" display="mailto:massimo.sassi@intesasanpaolo.com"/>
    <hyperlink ref="F748" r:id="rId747" display="mailto:giuseppe.franzi@intesasanpaolo.com"/>
    <hyperlink ref="F749" r:id="rId748" display="mailto:cristina.barrera@intesasanpaolo.com"/>
    <hyperlink ref="F750" r:id="rId749" display="mailto:alice.battaglio@intesasanpaolo.com"/>
    <hyperlink ref="F751" r:id="rId750" display="mailto:davide.belfiore@intesasanpaolo.com"/>
    <hyperlink ref="F752" r:id="rId751" display="mailto:sauro.bertozzi@intesasanpaolo.com"/>
    <hyperlink ref="F753" r:id="rId752" display="mailto:stefano.brasa@intesasanpaolo.com"/>
    <hyperlink ref="F754" r:id="rId753" display="mailto:maximilian.bravin@intesasanpaolo.com"/>
    <hyperlink ref="F755" r:id="rId754" display="mailto:luca.capaccio@intesasanpaolo.com"/>
    <hyperlink ref="F756" r:id="rId755" display="mailto:renato.carella@intesasanpaolo.com"/>
    <hyperlink ref="F757" r:id="rId756" display="mailto:fabio.carta@intesasanpaolo.com"/>
    <hyperlink ref="F758" r:id="rId757" display="mailto:fabrizio.celli@intesasanpaolo.com"/>
    <hyperlink ref="F759" r:id="rId758" display="mailto:pasquale.chiaravalle@intesasanpaolo.com"/>
    <hyperlink ref="F760" r:id="rId759" display="mailto:filippo.cottone@intesasanpaolo.com"/>
    <hyperlink ref="F761" r:id="rId760" display="mailto:alessandro.cuccolini@intesasanpaolo.com"/>
    <hyperlink ref="F762" r:id="rId761" display="mailto:fabio.decrescenzo@intesasanpaolo.com"/>
    <hyperlink ref="F763" r:id="rId762" display="mailto:fabio.derosa1@intesasanpaolo.com"/>
    <hyperlink ref="F764" r:id="rId763" display="mailto:fabrizio.dettoni@intesasanpaolo.com"/>
    <hyperlink ref="F765" r:id="rId764" display="mailto:paolo.dilabio@intesasanpaolo.com"/>
    <hyperlink ref="F766" r:id="rId765" display="mailto:bruno.ferrarese@intesasanpaolo.com"/>
    <hyperlink ref="F767" r:id="rId766" display="mailto:alberto.germano@intesasanpaolo.com"/>
    <hyperlink ref="F768" r:id="rId767" display="mailto:enzo.giacalone@intesasanpaolo.com"/>
    <hyperlink ref="F769" r:id="rId768" display="mailto:flavia.latino@intesasanpaolo.com"/>
    <hyperlink ref="F770" r:id="rId769" display="mailto:gianluca.ramundo@intesasanpaolo.com"/>
    <hyperlink ref="F771" r:id="rId770" display="mailto:giovanni.romano3@intesasanpaolo.com"/>
    <hyperlink ref="F772" r:id="rId771" display="mailto:simona.rovere@intesasanpaolo.com"/>
    <hyperlink ref="F773" r:id="rId772" display="mailto:alessandro.rubba@intesasanpaolo.com"/>
    <hyperlink ref="F774" r:id="rId773" display="mailto:khurram.saleem@intesasanpaolo.com"/>
    <hyperlink ref="F775" r:id="rId774" display="mailto:antonia.saponaro@intesasanpaolo.com"/>
    <hyperlink ref="F776" r:id="rId775" display="mailto:maurizio.scarparo@intesasanpaolo.com"/>
    <hyperlink ref="F777" r:id="rId776" display="mailto:andrea.sorgente@intesasanpaolo.com"/>
    <hyperlink ref="F778" r:id="rId777" display="mailto:elisa.stroscio@intesasanpaolo.com"/>
    <hyperlink ref="F779" r:id="rId778" display="mailto:krist.thimjo@intesasanpaolo.com"/>
    <hyperlink ref="F780" r:id="rId779" display="mailto:simone.tron@intesasanpaolo.com"/>
    <hyperlink ref="F781" r:id="rId780" display="mailto:paola.zanellato@intesasanpaolo.com"/>
    <hyperlink ref="F782" r:id="rId781" display="mailto:roberto.aiello@intesasanpaolo.com"/>
    <hyperlink ref="F783" r:id="rId782" display="mailto:emanuela.antonelli@intesasanpaolo.com"/>
    <hyperlink ref="F784" r:id="rId783" display="mailto:massimo.audero@intesasanpaolo.com"/>
    <hyperlink ref="F785" r:id="rId784" display="mailto:alessandro.bambara@intesasanpaolo.com"/>
    <hyperlink ref="F786" r:id="rId785" display="mailto:gianfranco.bellingeri@intesasanpaolo.com"/>
    <hyperlink ref="F787" r:id="rId786" display="mailto:renato.borsato@intesasanpaolo.com"/>
    <hyperlink ref="F788" r:id="rId787" display="mailto:cosimo.botrugno@intesasanpaolo.com"/>
    <hyperlink ref="F789" r:id="rId788" display="mailto:roberto.brescia@intesasanpaolo.com"/>
    <hyperlink ref="F790" r:id="rId789" display="mailto:roberto.cannaviello@intesasanpaolo.com"/>
    <hyperlink ref="F791" r:id="rId790" display="mailto:fabrizio.cena@intesasanpaolo.com"/>
    <hyperlink ref="F792" r:id="rId791" display="mailto:valentino.coletta@intesasanpaolo.com"/>
    <hyperlink ref="F793" r:id="rId792" display="mailto:pietro.contegiacomo@intesasanpaolo.com"/>
    <hyperlink ref="F794" r:id="rId793" display="mailto:davide.derosa@intesasanpaolo.com"/>
    <hyperlink ref="F795" r:id="rId794" display="mailto:tommaso.delre@intesasanpaolo.com"/>
    <hyperlink ref="F796" r:id="rId795" display="mailto:ornella.dileo@intesasanpaolo.com"/>
    <hyperlink ref="F797" r:id="rId796" display="mailto:enzo.diroma@intesasanpaolo.com"/>
    <hyperlink ref="F798" r:id="rId797" display="mailto:antonio.donnarumma@intesasanpaolo.com"/>
    <hyperlink ref="F799" r:id="rId798" display="mailto:emanuele.fava@intesasanpaolo.com"/>
    <hyperlink ref="F800" r:id="rId799" display="mailto:riccardo.fontanot@intesasanpaolo.com"/>
    <hyperlink ref="F801" r:id="rId800" display="mailto:mauro.franco@intesasanpaolo.com"/>
    <hyperlink ref="F802" r:id="rId801" display="mailto:mauro.garavaglia@intesasanpaolo.com"/>
    <hyperlink ref="F803" r:id="rId802" display="mailto:ennio.gorlato@intesasanpaolo.com"/>
    <hyperlink ref="F804" r:id="rId803" display="mailto:stefano.incannila@intesasanpaolo.com"/>
    <hyperlink ref="F805" r:id="rId804" display="mailto:gilberto.maldini@intesasanpaolo.com"/>
    <hyperlink ref="F806" r:id="rId805" display="mailto:gianluca.marciano@intesasanpaolo.com"/>
    <hyperlink ref="F807" r:id="rId806" display="mailto:umberto.marotta@intesasanpaolo.com"/>
    <hyperlink ref="F808" r:id="rId807" display="mailto:gabriele.massari@intesasanpaolo.com"/>
    <hyperlink ref="F809" r:id="rId808" display="mailto:serena.mattalia@intesasanpaolo.com"/>
    <hyperlink ref="F810" r:id="rId809" display="mailto:eleuterio.migliori@intesasanpaolo.com"/>
    <hyperlink ref="F811" r:id="rId810" display="mailto:flavio.monticone@intesasanpaolo.com"/>
    <hyperlink ref="F812" r:id="rId811" display="mailto:mauro.moschelli@intesasanpaolo.com"/>
    <hyperlink ref="F813" r:id="rId812" display="mailto:luca.negossi@intesasanpaolo.com"/>
    <hyperlink ref="F814" r:id="rId813" display="mailto:davide.piazza@intesasanpaolo.com"/>
    <hyperlink ref="F815" r:id="rId814" display="mailto:alessandro.pieri@intesasanpaolo.com"/>
    <hyperlink ref="F816" r:id="rId815" display="mailto:giovanni.piron@intesasanpaolo.com"/>
    <hyperlink ref="F817" r:id="rId816" display="mailto:roberto.recchioni@intesasanpaolo.com"/>
    <hyperlink ref="F818" r:id="rId817" display="mailto:franco.ripamonti@intesasanpaolo.com"/>
    <hyperlink ref="F819" r:id="rId818" display="mailto:michele.spotti@intesasanpaolo.com"/>
    <hyperlink ref="F820" r:id="rId819" display="mailto:alberto.tamietti@intesasanpaolo.com"/>
    <hyperlink ref="F821" r:id="rId820" display="mailto:fabrizio.vincenzi@intesasanpaolo.com"/>
    <hyperlink ref="F822" r:id="rId821" display="mailto:monica.visioli@intesasanpaolo.com"/>
  </hyperlinks>
  <pageMargins left="0.7" right="0.7" top="0.75" bottom="0.75" header="0.3" footer="0.3"/>
  <pageSetup orientation="portrait" r:id="rId82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BBC51E245761814C8C12A8E6E794A9F6" ma:contentTypeVersion="0" ma:contentTypeDescription="Creare un nuovo documento." ma:contentTypeScope="" ma:versionID="54cf5cda709353576da650021350db36">
  <xsd:schema xmlns:xsd="http://www.w3.org/2001/XMLSchema" xmlns:xs="http://www.w3.org/2001/XMLSchema" xmlns:p="http://schemas.microsoft.com/office/2006/metadata/properties" targetNamespace="http://schemas.microsoft.com/office/2006/metadata/properties" ma:root="true" ma:fieldsID="de2c2bff39701977361371fca1d1563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0E9557D-C302-48F2-95B8-316505AED929}">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AE50C0CF-92BA-43F9-971C-A5856915B7C0}">
  <ds:schemaRefs>
    <ds:schemaRef ds:uri="http://schemas.microsoft.com/sharepoint/v3/contenttype/forms"/>
  </ds:schemaRefs>
</ds:datastoreItem>
</file>

<file path=customXml/itemProps3.xml><?xml version="1.0" encoding="utf-8"?>
<ds:datastoreItem xmlns:ds="http://schemas.openxmlformats.org/officeDocument/2006/customXml" ds:itemID="{198CCE2F-BB6D-4B16-AFC2-E413F289F64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9</vt:i4>
      </vt:variant>
    </vt:vector>
  </HeadingPairs>
  <TitlesOfParts>
    <vt:vector size="9" baseType="lpstr">
      <vt:lpstr>Cover</vt:lpstr>
      <vt:lpstr>Ruoli AS-IS (2015)</vt:lpstr>
      <vt:lpstr>SINTESI RISULTATI</vt:lpstr>
      <vt:lpstr>INPUT</vt:lpstr>
      <vt:lpstr>Glossario Ruoli</vt:lpstr>
      <vt:lpstr>Famiglie vs Ruoli</vt:lpstr>
      <vt:lpstr>Famiglie</vt:lpstr>
      <vt:lpstr>Conteggi VLOOKUP</vt:lpstr>
      <vt:lpstr>ATTIVITA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Castelli, Michele</dc:creator>
  <cp:keywords/>
  <dc:description/>
  <cp:lastModifiedBy>GARBELLINI MASSIMO</cp:lastModifiedBy>
  <cp:revision/>
  <cp:lastPrinted>2018-09-25T07:22:54Z</cp:lastPrinted>
  <dcterms:created xsi:type="dcterms:W3CDTF">2018-05-18T10:54:24Z</dcterms:created>
  <dcterms:modified xsi:type="dcterms:W3CDTF">2018-10-19T12:42:58Z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0x010100BBC51E245761814C8C12A8E6E794A9F6</vt:lpwstr>
  </property>
</Properties>
</file>